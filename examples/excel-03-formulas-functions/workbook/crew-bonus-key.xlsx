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" sheetId="1" state="visible" r:id="rId1"/>
    <sheet name="Checks" sheetId="2" state="visible" r:id="rId2"/>
    <sheet name="Timeclock" sheetId="3" state="visible" r:id="rId3"/>
    <sheet name="WMS" sheetId="4" state="visible" r:id="rId4"/>
    <sheet name="HR" sheetId="5" state="visible" r:id="rId5"/>
    <sheet name="Safety" sheetId="6" state="visible" r:id="rId6"/>
    <sheet name="Ti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/dd/yyyy"/>
    <numFmt numFmtId="166" formatCode="$#,##0.00"/>
    <numFmt numFmtId="167" formatCode="$#,##0.0000"/>
    <numFmt numFmtId="168" formatCode="$#,##0"/>
    <numFmt numFmtId="169" formatCode="0.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7D0"/>
      </patternFill>
    </fill>
    <fill>
      <patternFill patternType="solid">
        <fgColor rgb="00FF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/>
    </xf>
    <xf numFmtId="0" fontId="1" fillId="3" borderId="0" applyAlignment="1" pivotButton="0" quotePrefix="0" xfId="0">
      <alignment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1" fillId="0" borderId="0" pivotButton="0" quotePrefix="0" xfId="0"/>
    <xf numFmtId="168" fontId="1" fillId="0" borderId="0" pivotButton="0" quotePrefix="0" xfId="0"/>
    <xf numFmtId="0" fontId="1" fillId="0" borderId="0" applyAlignment="1" pivotButton="0" quotePrefix="0" xfId="0">
      <alignment/>
    </xf>
    <xf numFmtId="0" fontId="0" fillId="0" borderId="0" applyAlignment="1" pivotButton="0" quotePrefix="0" xfId="0">
      <alignment/>
    </xf>
    <xf numFmtId="169" fontId="0" fillId="3" borderId="0" pivotButton="0" quotePrefix="0" xfId="0"/>
    <xf numFmtId="1" fontId="0" fillId="3" borderId="0" pivotButton="0" quotePrefix="0" xfId="0"/>
    <xf numFmtId="2" fontId="0" fillId="3" borderId="0" pivotButton="0" quotePrefix="0" xfId="0"/>
    <xf numFmtId="166" fontId="0" fillId="3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0" fillId="3" borderId="0" pivotButton="0" quotePrefix="0" xfId="0"/>
    <xf numFmtId="18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1" customWidth="1" min="3" max="3"/>
    <col width="10" customWidth="1" min="4" max="4"/>
    <col width="10" customWidth="1" min="5" max="5"/>
    <col width="12" customWidth="1" min="6" max="6"/>
    <col width="10" customWidth="1" min="7" max="7"/>
    <col width="11" customWidth="1" min="8" max="8"/>
    <col width="9" customWidth="1" min="9" max="9"/>
    <col width="6" customWidth="1" min="10" max="10"/>
    <col width="12" customWidth="1" min="11" max="11"/>
    <col width="9" customWidth="1" min="12" max="12"/>
    <col width="7" customWidth="1" min="13" max="13"/>
    <col width="11" customWidth="1" min="14" max="14"/>
  </cols>
  <sheetData>
    <row r="1">
      <c r="A1" s="1" t="inlineStr">
        <is>
          <t>Emp ID</t>
        </is>
      </c>
      <c r="B1" s="2" t="inlineStr">
        <is>
          <t>Name</t>
        </is>
      </c>
      <c r="C1" s="2" t="inlineStr">
        <is>
          <t>Base</t>
        </is>
      </c>
      <c r="D1" s="2" t="inlineStr">
        <is>
          <t>Pallets/hr</t>
        </is>
      </c>
      <c r="E1" s="2" t="inlineStr">
        <is>
          <t>Tier name</t>
        </is>
      </c>
      <c r="F1" s="2" t="inlineStr">
        <is>
          <t>Days worked</t>
        </is>
      </c>
      <c r="G1" s="2" t="inlineStr">
        <is>
          <t>Incidents</t>
        </is>
      </c>
      <c r="H1" s="2" t="inlineStr">
        <is>
          <t>Status</t>
        </is>
      </c>
      <c r="I1" s="2" t="inlineStr">
        <is>
          <t>Eligible</t>
        </is>
      </c>
      <c r="J1" s="2" t="inlineStr">
        <is>
          <t>Tier</t>
        </is>
      </c>
      <c r="K1" s="2" t="inlineStr">
        <is>
          <t>Raw bonus</t>
        </is>
      </c>
      <c r="L1" s="2" t="inlineStr">
        <is>
          <t>Bonus</t>
        </is>
      </c>
      <c r="M1" s="2" t="inlineStr">
        <is>
          <t>Paid?</t>
        </is>
      </c>
      <c r="N1" s="2" t="inlineStr">
        <is>
          <t>Full weeks</t>
        </is>
      </c>
    </row>
    <row r="2">
      <c r="A2" t="n">
        <v>1101</v>
      </c>
      <c r="B2">
        <f>IFERROR(VLOOKUP(A2,HR!$A:$F,2,FALSE),0)</f>
        <v/>
      </c>
      <c r="C2" s="3">
        <f>IFERROR(VLOOKUP(A2,HR!$A:$F,4,FALSE),0)</f>
        <v/>
      </c>
      <c r="D2">
        <f>ROUND(AVERAGEIF(WMS!A:A,A2,WMS!D:D),0)</f>
        <v/>
      </c>
      <c r="E2">
        <f>_xlfn.IFS(J2=3,"Gold",J2=2,"Silver",J2=1,"Bronze",J2=0,"Base")</f>
        <v/>
      </c>
      <c r="F2">
        <f>COUNTIF(Timeclock!A:A,A2)</f>
        <v/>
      </c>
      <c r="G2">
        <f>COUNTIF(Safety!B:B,A2)</f>
        <v/>
      </c>
      <c r="H2">
        <f>IFERROR(VLOOKUP(A2,HR!$A:$F,6,FALSE)&amp;"",0)</f>
        <v/>
      </c>
      <c r="I2">
        <f>OR(AND(F2&gt;=60,G2=0),H2="Light duty",H2="Leave")</f>
        <v/>
      </c>
      <c r="J2">
        <f>VLOOKUP(D2,Tiers!$A$2:$C$5,2,TRUE)</f>
        <v/>
      </c>
      <c r="K2" s="4">
        <f>C2*VLOOKUP(D2,Tiers!$A$2:$C$5,3,TRUE)</f>
        <v/>
      </c>
      <c r="L2" s="5">
        <f>MROUND(K2,5)</f>
        <v/>
      </c>
      <c r="M2">
        <f>IF(I2,1,0)</f>
        <v/>
      </c>
      <c r="N2">
        <f>INT(F2/5)</f>
        <v/>
      </c>
    </row>
    <row r="3">
      <c r="A3" t="n">
        <v>1102</v>
      </c>
      <c r="B3">
        <f>IFERROR(VLOOKUP(A3,HR!$A:$F,2,FALSE),0)</f>
        <v/>
      </c>
      <c r="C3" s="3">
        <f>IFERROR(VLOOKUP(A3,HR!$A:$F,4,FALSE),0)</f>
        <v/>
      </c>
      <c r="D3">
        <f>ROUND(AVERAGEIF(WMS!A:A,A3,WMS!D:D),0)</f>
        <v/>
      </c>
      <c r="E3">
        <f>_xlfn.IFS(J3=3,"Gold",J3=2,"Silver",J3=1,"Bronze",J3=0,"Base")</f>
        <v/>
      </c>
      <c r="F3">
        <f>COUNTIF(Timeclock!A:A,A3)</f>
        <v/>
      </c>
      <c r="G3">
        <f>COUNTIF(Safety!B:B,A3)</f>
        <v/>
      </c>
      <c r="H3">
        <f>IFERROR(VLOOKUP(A3,HR!$A:$F,6,FALSE)&amp;"",0)</f>
        <v/>
      </c>
      <c r="I3">
        <f>OR(AND(F3&gt;=60,G3=0),H3="Light duty",H3="Leave")</f>
        <v/>
      </c>
      <c r="J3">
        <f>VLOOKUP(D3,Tiers!$A$2:$C$5,2,TRUE)</f>
        <v/>
      </c>
      <c r="K3" s="4">
        <f>C3*VLOOKUP(D3,Tiers!$A$2:$C$5,3,TRUE)</f>
        <v/>
      </c>
      <c r="L3" s="5">
        <f>MROUND(K3,5)</f>
        <v/>
      </c>
      <c r="M3">
        <f>IF(I3,1,0)</f>
        <v/>
      </c>
      <c r="N3">
        <f>INT(F3/5)</f>
        <v/>
      </c>
    </row>
    <row r="4">
      <c r="A4" t="n">
        <v>1103</v>
      </c>
      <c r="B4">
        <f>IFERROR(VLOOKUP(A4,HR!$A:$F,2,FALSE),0)</f>
        <v/>
      </c>
      <c r="C4" s="3">
        <f>IFERROR(VLOOKUP(A4,HR!$A:$F,4,FALSE),0)</f>
        <v/>
      </c>
      <c r="D4">
        <f>ROUND(AVERAGEIF(WMS!A:A,A4,WMS!D:D),0)</f>
        <v/>
      </c>
      <c r="E4">
        <f>_xlfn.IFS(J4=3,"Gold",J4=2,"Silver",J4=1,"Bronze",J4=0,"Base")</f>
        <v/>
      </c>
      <c r="F4">
        <f>COUNTIF(Timeclock!A:A,A4)</f>
        <v/>
      </c>
      <c r="G4">
        <f>COUNTIF(Safety!B:B,A4)</f>
        <v/>
      </c>
      <c r="H4">
        <f>IFERROR(VLOOKUP(A4,HR!$A:$F,6,FALSE)&amp;"",0)</f>
        <v/>
      </c>
      <c r="I4">
        <f>OR(AND(F4&gt;=60,G4=0),H4="Light duty",H4="Leave")</f>
        <v/>
      </c>
      <c r="J4">
        <f>VLOOKUP(D4,Tiers!$A$2:$C$5,2,TRUE)</f>
        <v/>
      </c>
      <c r="K4" s="4">
        <f>C4*VLOOKUP(D4,Tiers!$A$2:$C$5,3,TRUE)</f>
        <v/>
      </c>
      <c r="L4" s="5">
        <f>MROUND(K4,5)</f>
        <v/>
      </c>
      <c r="M4">
        <f>IF(I4,1,0)</f>
        <v/>
      </c>
      <c r="N4">
        <f>INT(F4/5)</f>
        <v/>
      </c>
    </row>
    <row r="5">
      <c r="A5" t="n">
        <v>1104</v>
      </c>
      <c r="B5">
        <f>IFERROR(VLOOKUP(A5,HR!$A:$F,2,FALSE),0)</f>
        <v/>
      </c>
      <c r="C5" s="3">
        <f>IFERROR(VLOOKUP(A5,HR!$A:$F,4,FALSE),0)</f>
        <v/>
      </c>
      <c r="D5">
        <f>ROUND(AVERAGEIF(WMS!A:A,A5,WMS!D:D),0)</f>
        <v/>
      </c>
      <c r="E5">
        <f>_xlfn.IFS(J5=3,"Gold",J5=2,"Silver",J5=1,"Bronze",J5=0,"Base")</f>
        <v/>
      </c>
      <c r="F5">
        <f>COUNTIF(Timeclock!A:A,A5)</f>
        <v/>
      </c>
      <c r="G5">
        <f>COUNTIF(Safety!B:B,A5)</f>
        <v/>
      </c>
      <c r="H5">
        <f>IFERROR(VLOOKUP(A5,HR!$A:$F,6,FALSE)&amp;"",0)</f>
        <v/>
      </c>
      <c r="I5">
        <f>OR(AND(F5&gt;=60,G5=0),H5="Light duty",H5="Leave")</f>
        <v/>
      </c>
      <c r="J5">
        <f>VLOOKUP(D5,Tiers!$A$2:$C$5,2,TRUE)</f>
        <v/>
      </c>
      <c r="K5" s="4">
        <f>C5*VLOOKUP(D5,Tiers!$A$2:$C$5,3,TRUE)</f>
        <v/>
      </c>
      <c r="L5" s="5">
        <f>MROUND(K5,5)</f>
        <v/>
      </c>
      <c r="M5">
        <f>IF(I5,1,0)</f>
        <v/>
      </c>
      <c r="N5">
        <f>INT(F5/5)</f>
        <v/>
      </c>
    </row>
    <row r="6">
      <c r="A6" t="n">
        <v>1147</v>
      </c>
      <c r="B6">
        <f>IFERROR(VLOOKUP(A6,HR!$A:$F,2,FALSE),0)</f>
        <v/>
      </c>
      <c r="C6" s="3">
        <f>IFERROR(VLOOKUP(A6,HR!$A:$F,4,FALSE),0)</f>
        <v/>
      </c>
      <c r="D6">
        <f>ROUND(AVERAGEIF(WMS!A:A,A6,WMS!D:D),0)</f>
        <v/>
      </c>
      <c r="E6">
        <f>_xlfn.IFS(J6=3,"Gold",J6=2,"Silver",J6=1,"Bronze",J6=0,"Base")</f>
        <v/>
      </c>
      <c r="F6">
        <f>COUNTIF(Timeclock!A:A,A6)</f>
        <v/>
      </c>
      <c r="G6">
        <f>COUNTIF(Safety!B:B,A6)</f>
        <v/>
      </c>
      <c r="H6">
        <f>IFERROR(VLOOKUP(A6,HR!$A:$F,6,FALSE)&amp;"",0)</f>
        <v/>
      </c>
      <c r="I6">
        <f>OR(AND(F6&gt;=60,G6=0),H6="Light duty",H6="Leave")</f>
        <v/>
      </c>
      <c r="J6">
        <f>VLOOKUP(D6,Tiers!$A$2:$C$5,2,TRUE)</f>
        <v/>
      </c>
      <c r="K6" s="4">
        <f>C6*VLOOKUP(D6,Tiers!$A$2:$C$5,3,TRUE)</f>
        <v/>
      </c>
      <c r="L6" s="5">
        <f>MROUND(K6,5)</f>
        <v/>
      </c>
      <c r="M6">
        <f>IF(I6,1,0)</f>
        <v/>
      </c>
      <c r="N6">
        <f>INT(F6/5)</f>
        <v/>
      </c>
    </row>
    <row r="7">
      <c r="A7" t="n">
        <v>1106</v>
      </c>
      <c r="B7">
        <f>IFERROR(VLOOKUP(A7,HR!$A:$F,2,FALSE),0)</f>
        <v/>
      </c>
      <c r="C7" s="3">
        <f>IFERROR(VLOOKUP(A7,HR!$A:$F,4,FALSE),0)</f>
        <v/>
      </c>
      <c r="D7">
        <f>ROUND(AVERAGEIF(WMS!A:A,A7,WMS!D:D),0)</f>
        <v/>
      </c>
      <c r="E7">
        <f>_xlfn.IFS(J7=3,"Gold",J7=2,"Silver",J7=1,"Bronze",J7=0,"Base")</f>
        <v/>
      </c>
      <c r="F7">
        <f>COUNTIF(Timeclock!A:A,A7)</f>
        <v/>
      </c>
      <c r="G7">
        <f>COUNTIF(Safety!B:B,A7)</f>
        <v/>
      </c>
      <c r="H7">
        <f>IFERROR(VLOOKUP(A7,HR!$A:$F,6,FALSE)&amp;"",0)</f>
        <v/>
      </c>
      <c r="I7">
        <f>OR(AND(F7&gt;=60,G7=0),H7="Light duty",H7="Leave")</f>
        <v/>
      </c>
      <c r="J7">
        <f>VLOOKUP(D7,Tiers!$A$2:$C$5,2,TRUE)</f>
        <v/>
      </c>
      <c r="K7" s="4">
        <f>C7*VLOOKUP(D7,Tiers!$A$2:$C$5,3,TRUE)</f>
        <v/>
      </c>
      <c r="L7" s="5">
        <f>MROUND(K7,5)</f>
        <v/>
      </c>
      <c r="M7">
        <f>IF(I7,1,0)</f>
        <v/>
      </c>
      <c r="N7">
        <f>INT(F7/5)</f>
        <v/>
      </c>
    </row>
    <row r="8">
      <c r="A8" t="n">
        <v>1107</v>
      </c>
      <c r="B8">
        <f>IFERROR(VLOOKUP(A8,HR!$A:$F,2,FALSE),0)</f>
        <v/>
      </c>
      <c r="C8" s="3">
        <f>IFERROR(VLOOKUP(A8,HR!$A:$F,4,FALSE),0)</f>
        <v/>
      </c>
      <c r="D8">
        <f>ROUND(AVERAGEIF(WMS!A:A,A8,WMS!D:D),0)</f>
        <v/>
      </c>
      <c r="E8">
        <f>_xlfn.IFS(J8=3,"Gold",J8=2,"Silver",J8=1,"Bronze",J8=0,"Base")</f>
        <v/>
      </c>
      <c r="F8">
        <f>COUNTIF(Timeclock!A:A,A8)</f>
        <v/>
      </c>
      <c r="G8">
        <f>COUNTIF(Safety!B:B,A8)</f>
        <v/>
      </c>
      <c r="H8">
        <f>IFERROR(VLOOKUP(A8,HR!$A:$F,6,FALSE)&amp;"",0)</f>
        <v/>
      </c>
      <c r="I8">
        <f>OR(AND(F8&gt;=60,G8=0),H8="Light duty",H8="Leave")</f>
        <v/>
      </c>
      <c r="J8">
        <f>VLOOKUP(D8,Tiers!$A$2:$C$5,2,TRUE)</f>
        <v/>
      </c>
      <c r="K8" s="4">
        <f>C8*VLOOKUP(D8,Tiers!$A$2:$C$5,3,TRUE)</f>
        <v/>
      </c>
      <c r="L8" s="5">
        <f>MROUND(K8,5)</f>
        <v/>
      </c>
      <c r="M8">
        <f>IF(I8,1,0)</f>
        <v/>
      </c>
      <c r="N8">
        <f>INT(F8/5)</f>
        <v/>
      </c>
    </row>
    <row r="9">
      <c r="A9" t="n">
        <v>1108</v>
      </c>
      <c r="B9">
        <f>IFERROR(VLOOKUP(A9,HR!$A:$F,2,FALSE),0)</f>
        <v/>
      </c>
      <c r="C9" s="3">
        <f>IFERROR(VLOOKUP(A9,HR!$A:$F,4,FALSE),0)</f>
        <v/>
      </c>
      <c r="D9">
        <f>ROUND(AVERAGEIF(WMS!A:A,A9,WMS!D:D),0)</f>
        <v/>
      </c>
      <c r="E9">
        <f>_xlfn.IFS(J9=3,"Gold",J9=2,"Silver",J9=1,"Bronze",J9=0,"Base")</f>
        <v/>
      </c>
      <c r="F9">
        <f>COUNTIF(Timeclock!A:A,A9)</f>
        <v/>
      </c>
      <c r="G9">
        <f>COUNTIF(Safety!B:B,A9)</f>
        <v/>
      </c>
      <c r="H9">
        <f>IFERROR(VLOOKUP(A9,HR!$A:$F,6,FALSE)&amp;"",0)</f>
        <v/>
      </c>
      <c r="I9">
        <f>OR(AND(F9&gt;=60,G9=0),H9="Light duty",H9="Leave")</f>
        <v/>
      </c>
      <c r="J9">
        <f>VLOOKUP(D9,Tiers!$A$2:$C$5,2,TRUE)</f>
        <v/>
      </c>
      <c r="K9" s="4">
        <f>C9*VLOOKUP(D9,Tiers!$A$2:$C$5,3,TRUE)</f>
        <v/>
      </c>
      <c r="L9" s="5">
        <f>MROUND(K9,5)</f>
        <v/>
      </c>
      <c r="M9">
        <f>IF(I9,1,0)</f>
        <v/>
      </c>
      <c r="N9">
        <f>INT(F9/5)</f>
        <v/>
      </c>
    </row>
    <row r="10">
      <c r="A10" t="n">
        <v>1109</v>
      </c>
      <c r="B10">
        <f>IFERROR(VLOOKUP(A10,HR!$A:$F,2,FALSE),0)</f>
        <v/>
      </c>
      <c r="C10" s="3">
        <f>IFERROR(VLOOKUP(A10,HR!$A:$F,4,FALSE),0)</f>
        <v/>
      </c>
      <c r="D10">
        <f>ROUND(AVERAGEIF(WMS!A:A,A10,WMS!D:D),0)</f>
        <v/>
      </c>
      <c r="E10">
        <f>_xlfn.IFS(J10=3,"Gold",J10=2,"Silver",J10=1,"Bronze",J10=0,"Base")</f>
        <v/>
      </c>
      <c r="F10">
        <f>COUNTIF(Timeclock!A:A,A10)</f>
        <v/>
      </c>
      <c r="G10">
        <f>COUNTIF(Safety!B:B,A10)</f>
        <v/>
      </c>
      <c r="H10">
        <f>IFERROR(VLOOKUP(A10,HR!$A:$F,6,FALSE)&amp;"",0)</f>
        <v/>
      </c>
      <c r="I10">
        <f>OR(AND(F10&gt;=60,G10=0),H10="Light duty",H10="Leave")</f>
        <v/>
      </c>
      <c r="J10">
        <f>VLOOKUP(D10,Tiers!$A$2:$C$5,2,TRUE)</f>
        <v/>
      </c>
      <c r="K10" s="4">
        <f>C10*VLOOKUP(D10,Tiers!$A$2:$C$5,3,TRUE)</f>
        <v/>
      </c>
      <c r="L10" s="5">
        <f>MROUND(K10,5)</f>
        <v/>
      </c>
      <c r="M10">
        <f>IF(I10,1,0)</f>
        <v/>
      </c>
      <c r="N10">
        <f>INT(F10/5)</f>
        <v/>
      </c>
    </row>
    <row r="11">
      <c r="A11" t="n">
        <v>1110</v>
      </c>
      <c r="B11">
        <f>IFERROR(VLOOKUP(A11,HR!$A:$F,2,FALSE),0)</f>
        <v/>
      </c>
      <c r="C11" s="3">
        <f>IFERROR(VLOOKUP(A11,HR!$A:$F,4,FALSE),0)</f>
        <v/>
      </c>
      <c r="D11">
        <f>ROUND(AVERAGEIF(WMS!A:A,A11,WMS!D:D),0)</f>
        <v/>
      </c>
      <c r="E11">
        <f>_xlfn.IFS(J11=3,"Gold",J11=2,"Silver",J11=1,"Bronze",J11=0,"Base")</f>
        <v/>
      </c>
      <c r="F11">
        <f>COUNTIF(Timeclock!A:A,A11)</f>
        <v/>
      </c>
      <c r="G11">
        <f>COUNTIF(Safety!B:B,A11)</f>
        <v/>
      </c>
      <c r="H11">
        <f>IFERROR(VLOOKUP(A11,HR!$A:$F,6,FALSE)&amp;"",0)</f>
        <v/>
      </c>
      <c r="I11">
        <f>OR(AND(F11&gt;=60,G11=0),H11="Light duty",H11="Leave")</f>
        <v/>
      </c>
      <c r="J11">
        <f>VLOOKUP(D11,Tiers!$A$2:$C$5,2,TRUE)</f>
        <v/>
      </c>
      <c r="K11" s="4">
        <f>C11*VLOOKUP(D11,Tiers!$A$2:$C$5,3,TRUE)</f>
        <v/>
      </c>
      <c r="L11" s="5">
        <f>MROUND(K11,5)</f>
        <v/>
      </c>
      <c r="M11">
        <f>IF(I11,1,0)</f>
        <v/>
      </c>
      <c r="N11">
        <f>INT(F11/5)</f>
        <v/>
      </c>
    </row>
    <row r="12">
      <c r="A12" t="n">
        <v>1111</v>
      </c>
      <c r="B12">
        <f>IFERROR(VLOOKUP(A12,HR!$A:$F,2,FALSE),0)</f>
        <v/>
      </c>
      <c r="C12" s="3">
        <f>IFERROR(VLOOKUP(A12,HR!$A:$F,4,FALSE),0)</f>
        <v/>
      </c>
      <c r="D12">
        <f>ROUND(AVERAGEIF(WMS!A:A,A12,WMS!D:D),0)</f>
        <v/>
      </c>
      <c r="E12">
        <f>_xlfn.IFS(J12=3,"Gold",J12=2,"Silver",J12=1,"Bronze",J12=0,"Base")</f>
        <v/>
      </c>
      <c r="F12">
        <f>COUNTIF(Timeclock!A:A,A12)</f>
        <v/>
      </c>
      <c r="G12">
        <f>COUNTIF(Safety!B:B,A12)</f>
        <v/>
      </c>
      <c r="H12">
        <f>IFERROR(VLOOKUP(A12,HR!$A:$F,6,FALSE)&amp;"",0)</f>
        <v/>
      </c>
      <c r="I12">
        <f>OR(AND(F12&gt;=60,G12=0),H12="Light duty",H12="Leave")</f>
        <v/>
      </c>
      <c r="J12">
        <f>VLOOKUP(D12,Tiers!$A$2:$C$5,2,TRUE)</f>
        <v/>
      </c>
      <c r="K12" s="4">
        <f>C12*VLOOKUP(D12,Tiers!$A$2:$C$5,3,TRUE)</f>
        <v/>
      </c>
      <c r="L12" s="5">
        <f>MROUND(K12,5)</f>
        <v/>
      </c>
      <c r="M12">
        <f>IF(I12,1,0)</f>
        <v/>
      </c>
      <c r="N12">
        <f>INT(F12/5)</f>
        <v/>
      </c>
    </row>
    <row r="13">
      <c r="A13" t="n">
        <v>1112</v>
      </c>
      <c r="B13">
        <f>IFERROR(VLOOKUP(A13,HR!$A:$F,2,FALSE),0)</f>
        <v/>
      </c>
      <c r="C13" s="3">
        <f>IFERROR(VLOOKUP(A13,HR!$A:$F,4,FALSE),0)</f>
        <v/>
      </c>
      <c r="D13">
        <f>ROUND(AVERAGEIF(WMS!A:A,A13,WMS!D:D),0)</f>
        <v/>
      </c>
      <c r="E13">
        <f>_xlfn.IFS(J13=3,"Gold",J13=2,"Silver",J13=1,"Bronze",J13=0,"Base")</f>
        <v/>
      </c>
      <c r="F13">
        <f>COUNTIF(Timeclock!A:A,A13)</f>
        <v/>
      </c>
      <c r="G13">
        <f>COUNTIF(Safety!B:B,A13)</f>
        <v/>
      </c>
      <c r="H13">
        <f>IFERROR(VLOOKUP(A13,HR!$A:$F,6,FALSE)&amp;"",0)</f>
        <v/>
      </c>
      <c r="I13">
        <f>OR(AND(F13&gt;=60,G13=0),H13="Light duty",H13="Leave")</f>
        <v/>
      </c>
      <c r="J13">
        <f>VLOOKUP(D13,Tiers!$A$2:$C$5,2,TRUE)</f>
        <v/>
      </c>
      <c r="K13" s="4">
        <f>C13*VLOOKUP(D13,Tiers!$A$2:$C$5,3,TRUE)</f>
        <v/>
      </c>
      <c r="L13" s="5">
        <f>MROUND(K13,5)</f>
        <v/>
      </c>
      <c r="M13">
        <f>IF(I13,1,0)</f>
        <v/>
      </c>
      <c r="N13">
        <f>INT(F13/5)</f>
        <v/>
      </c>
    </row>
    <row r="14">
      <c r="A14" t="n">
        <v>1113</v>
      </c>
      <c r="B14">
        <f>IFERROR(VLOOKUP(A14,HR!$A:$F,2,FALSE),0)</f>
        <v/>
      </c>
      <c r="C14" s="3">
        <f>IFERROR(VLOOKUP(A14,HR!$A:$F,4,FALSE),0)</f>
        <v/>
      </c>
      <c r="D14">
        <f>ROUND(AVERAGEIF(WMS!A:A,A14,WMS!D:D),0)</f>
        <v/>
      </c>
      <c r="E14">
        <f>_xlfn.IFS(J14=3,"Gold",J14=2,"Silver",J14=1,"Bronze",J14=0,"Base")</f>
        <v/>
      </c>
      <c r="F14">
        <f>COUNTIF(Timeclock!A:A,A14)</f>
        <v/>
      </c>
      <c r="G14">
        <f>COUNTIF(Safety!B:B,A14)</f>
        <v/>
      </c>
      <c r="H14">
        <f>IFERROR(VLOOKUP(A14,HR!$A:$F,6,FALSE)&amp;"",0)</f>
        <v/>
      </c>
      <c r="I14">
        <f>OR(AND(F14&gt;=60,G14=0),H14="Light duty",H14="Leave")</f>
        <v/>
      </c>
      <c r="J14">
        <f>VLOOKUP(D14,Tiers!$A$2:$C$5,2,TRUE)</f>
        <v/>
      </c>
      <c r="K14" s="4">
        <f>C14*VLOOKUP(D14,Tiers!$A$2:$C$5,3,TRUE)</f>
        <v/>
      </c>
      <c r="L14" s="5">
        <f>MROUND(K14,5)</f>
        <v/>
      </c>
      <c r="M14">
        <f>IF(I14,1,0)</f>
        <v/>
      </c>
      <c r="N14">
        <f>INT(F14/5)</f>
        <v/>
      </c>
    </row>
    <row r="15">
      <c r="A15" t="n">
        <v>1114</v>
      </c>
      <c r="B15">
        <f>IFERROR(VLOOKUP(A15,HR!$A:$F,2,FALSE),0)</f>
        <v/>
      </c>
      <c r="C15" s="3">
        <f>IFERROR(VLOOKUP(A15,HR!$A:$F,4,FALSE),0)</f>
        <v/>
      </c>
      <c r="D15">
        <f>ROUND(AVERAGEIF(WMS!A:A,A15,WMS!D:D),0)</f>
        <v/>
      </c>
      <c r="E15">
        <f>_xlfn.IFS(J15=3,"Gold",J15=2,"Silver",J15=1,"Bronze",J15=0,"Base")</f>
        <v/>
      </c>
      <c r="F15">
        <f>COUNTIF(Timeclock!A:A,A15)</f>
        <v/>
      </c>
      <c r="G15">
        <f>COUNTIF(Safety!B:B,A15)</f>
        <v/>
      </c>
      <c r="H15">
        <f>IFERROR(VLOOKUP(A15,HR!$A:$F,6,FALSE)&amp;"",0)</f>
        <v/>
      </c>
      <c r="I15">
        <f>OR(AND(F15&gt;=60,G15=0),H15="Light duty",H15="Leave")</f>
        <v/>
      </c>
      <c r="J15">
        <f>VLOOKUP(D15,Tiers!$A$2:$C$5,2,TRUE)</f>
        <v/>
      </c>
      <c r="K15" s="4">
        <f>C15*VLOOKUP(D15,Tiers!$A$2:$C$5,3,TRUE)</f>
        <v/>
      </c>
      <c r="L15" s="5">
        <f>MROUND(K15,5)</f>
        <v/>
      </c>
      <c r="M15">
        <f>IF(I15,1,0)</f>
        <v/>
      </c>
      <c r="N15">
        <f>INT(F15/5)</f>
        <v/>
      </c>
    </row>
    <row r="16">
      <c r="A16" t="n">
        <v>1115</v>
      </c>
      <c r="B16">
        <f>IFERROR(VLOOKUP(A16,HR!$A:$F,2,FALSE),0)</f>
        <v/>
      </c>
      <c r="C16" s="3">
        <f>IFERROR(VLOOKUP(A16,HR!$A:$F,4,FALSE),0)</f>
        <v/>
      </c>
      <c r="D16">
        <f>ROUND(AVERAGEIF(WMS!A:A,A16,WMS!D:D),0)</f>
        <v/>
      </c>
      <c r="E16">
        <f>_xlfn.IFS(J16=3,"Gold",J16=2,"Silver",J16=1,"Bronze",J16=0,"Base")</f>
        <v/>
      </c>
      <c r="F16">
        <f>COUNTIF(Timeclock!A:A,A16)</f>
        <v/>
      </c>
      <c r="G16">
        <f>COUNTIF(Safety!B:B,A16)</f>
        <v/>
      </c>
      <c r="H16">
        <f>IFERROR(VLOOKUP(A16,HR!$A:$F,6,FALSE)&amp;"",0)</f>
        <v/>
      </c>
      <c r="I16">
        <f>OR(AND(F16&gt;=60,G16=0),H16="Light duty",H16="Leave")</f>
        <v/>
      </c>
      <c r="J16">
        <f>VLOOKUP(D16,Tiers!$A$2:$C$5,2,TRUE)</f>
        <v/>
      </c>
      <c r="K16" s="4">
        <f>C16*VLOOKUP(D16,Tiers!$A$2:$C$5,3,TRUE)</f>
        <v/>
      </c>
      <c r="L16" s="5">
        <f>MROUND(K16,5)</f>
        <v/>
      </c>
      <c r="M16">
        <f>IF(I16,1,0)</f>
        <v/>
      </c>
      <c r="N16">
        <f>INT(F16/5)</f>
        <v/>
      </c>
    </row>
    <row r="17">
      <c r="A17" t="n">
        <v>1116</v>
      </c>
      <c r="B17">
        <f>IFERROR(VLOOKUP(A17,HR!$A:$F,2,FALSE),0)</f>
        <v/>
      </c>
      <c r="C17" s="3">
        <f>IFERROR(VLOOKUP(A17,HR!$A:$F,4,FALSE),0)</f>
        <v/>
      </c>
      <c r="D17">
        <f>ROUND(AVERAGEIF(WMS!A:A,A17,WMS!D:D),0)</f>
        <v/>
      </c>
      <c r="E17">
        <f>_xlfn.IFS(J17=3,"Gold",J17=2,"Silver",J17=1,"Bronze",J17=0,"Base")</f>
        <v/>
      </c>
      <c r="F17">
        <f>COUNTIF(Timeclock!A:A,A17)</f>
        <v/>
      </c>
      <c r="G17">
        <f>COUNTIF(Safety!B:B,A17)</f>
        <v/>
      </c>
      <c r="H17">
        <f>IFERROR(VLOOKUP(A17,HR!$A:$F,6,FALSE)&amp;"",0)</f>
        <v/>
      </c>
      <c r="I17">
        <f>OR(AND(F17&gt;=60,G17=0),H17="Light duty",H17="Leave")</f>
        <v/>
      </c>
      <c r="J17">
        <f>VLOOKUP(D17,Tiers!$A$2:$C$5,2,TRUE)</f>
        <v/>
      </c>
      <c r="K17" s="4">
        <f>C17*VLOOKUP(D17,Tiers!$A$2:$C$5,3,TRUE)</f>
        <v/>
      </c>
      <c r="L17" s="5">
        <f>MROUND(K17,5)</f>
        <v/>
      </c>
      <c r="M17">
        <f>IF(I17,1,0)</f>
        <v/>
      </c>
      <c r="N17">
        <f>INT(F17/5)</f>
        <v/>
      </c>
    </row>
    <row r="18">
      <c r="A18" t="n">
        <v>1117</v>
      </c>
      <c r="B18">
        <f>IFERROR(VLOOKUP(A18,HR!$A:$F,2,FALSE),0)</f>
        <v/>
      </c>
      <c r="C18" s="3">
        <f>IFERROR(VLOOKUP(A18,HR!$A:$F,4,FALSE),0)</f>
        <v/>
      </c>
      <c r="D18">
        <f>ROUND(AVERAGEIF(WMS!A:A,A18,WMS!D:D),0)</f>
        <v/>
      </c>
      <c r="E18">
        <f>_xlfn.IFS(J18=3,"Gold",J18=2,"Silver",J18=1,"Bronze",J18=0,"Base")</f>
        <v/>
      </c>
      <c r="F18">
        <f>COUNTIF(Timeclock!A:A,A18)</f>
        <v/>
      </c>
      <c r="G18">
        <f>COUNTIF(Safety!B:B,A18)</f>
        <v/>
      </c>
      <c r="H18">
        <f>IFERROR(VLOOKUP(A18,HR!$A:$F,6,FALSE)&amp;"",0)</f>
        <v/>
      </c>
      <c r="I18">
        <f>OR(AND(F18&gt;=60,G18=0),H18="Light duty",H18="Leave")</f>
        <v/>
      </c>
      <c r="J18">
        <f>VLOOKUP(D18,Tiers!$A$2:$C$5,2,TRUE)</f>
        <v/>
      </c>
      <c r="K18" s="4">
        <f>C18*VLOOKUP(D18,Tiers!$A$2:$C$5,3,TRUE)</f>
        <v/>
      </c>
      <c r="L18" s="5">
        <f>MROUND(K18,5)</f>
        <v/>
      </c>
      <c r="M18">
        <f>IF(I18,1,0)</f>
        <v/>
      </c>
      <c r="N18">
        <f>INT(F18/5)</f>
        <v/>
      </c>
    </row>
    <row r="19">
      <c r="A19" t="n">
        <v>1118</v>
      </c>
      <c r="B19">
        <f>IFERROR(VLOOKUP(A19,HR!$A:$F,2,FALSE),0)</f>
        <v/>
      </c>
      <c r="C19" s="3">
        <f>IFERROR(VLOOKUP(A19,HR!$A:$F,4,FALSE),0)</f>
        <v/>
      </c>
      <c r="D19">
        <f>ROUND(AVERAGEIF(WMS!A:A,A19,WMS!D:D),0)</f>
        <v/>
      </c>
      <c r="E19">
        <f>_xlfn.IFS(J19=3,"Gold",J19=2,"Silver",J19=1,"Bronze",J19=0,"Base")</f>
        <v/>
      </c>
      <c r="F19">
        <f>COUNTIF(Timeclock!A:A,A19)</f>
        <v/>
      </c>
      <c r="G19">
        <f>COUNTIF(Safety!B:B,A19)</f>
        <v/>
      </c>
      <c r="H19">
        <f>IFERROR(VLOOKUP(A19,HR!$A:$F,6,FALSE)&amp;"",0)</f>
        <v/>
      </c>
      <c r="I19">
        <f>OR(AND(F19&gt;=60,G19=0),H19="Light duty",H19="Leave")</f>
        <v/>
      </c>
      <c r="J19">
        <f>VLOOKUP(D19,Tiers!$A$2:$C$5,2,TRUE)</f>
        <v/>
      </c>
      <c r="K19" s="4">
        <f>C19*VLOOKUP(D19,Tiers!$A$2:$C$5,3,TRUE)</f>
        <v/>
      </c>
      <c r="L19" s="5">
        <f>MROUND(K19,5)</f>
        <v/>
      </c>
      <c r="M19">
        <f>IF(I19,1,0)</f>
        <v/>
      </c>
      <c r="N19">
        <f>INT(F19/5)</f>
        <v/>
      </c>
    </row>
    <row r="20">
      <c r="A20" t="n">
        <v>1119</v>
      </c>
      <c r="B20">
        <f>IFERROR(VLOOKUP(A20,HR!$A:$F,2,FALSE),0)</f>
        <v/>
      </c>
      <c r="C20" s="3">
        <f>IFERROR(VLOOKUP(A20,HR!$A:$F,4,FALSE),0)</f>
        <v/>
      </c>
      <c r="D20">
        <f>ROUND(AVERAGEIF(WMS!A:A,A20,WMS!D:D),0)</f>
        <v/>
      </c>
      <c r="E20">
        <f>_xlfn.IFS(J20=3,"Gold",J20=2,"Silver",J20=1,"Bronze",J20=0,"Base")</f>
        <v/>
      </c>
      <c r="F20">
        <f>COUNTIF(Timeclock!A:A,A20)</f>
        <v/>
      </c>
      <c r="G20">
        <f>COUNTIF(Safety!B:B,A20)</f>
        <v/>
      </c>
      <c r="H20">
        <f>IFERROR(VLOOKUP(A20,HR!$A:$F,6,FALSE)&amp;"",0)</f>
        <v/>
      </c>
      <c r="I20">
        <f>OR(AND(F20&gt;=60,G20=0),H20="Light duty",H20="Leave")</f>
        <v/>
      </c>
      <c r="J20">
        <f>VLOOKUP(D20,Tiers!$A$2:$C$5,2,TRUE)</f>
        <v/>
      </c>
      <c r="K20" s="4">
        <f>C20*VLOOKUP(D20,Tiers!$A$2:$C$5,3,TRUE)</f>
        <v/>
      </c>
      <c r="L20" s="5">
        <f>MROUND(K20,5)</f>
        <v/>
      </c>
      <c r="M20">
        <f>IF(I20,1,0)</f>
        <v/>
      </c>
      <c r="N20">
        <f>INT(F20/5)</f>
        <v/>
      </c>
    </row>
    <row r="21">
      <c r="A21" t="n">
        <v>1120</v>
      </c>
      <c r="B21">
        <f>IFERROR(VLOOKUP(A21,HR!$A:$F,2,FALSE),0)</f>
        <v/>
      </c>
      <c r="C21" s="3">
        <f>IFERROR(VLOOKUP(A21,HR!$A:$F,4,FALSE),0)</f>
        <v/>
      </c>
      <c r="D21">
        <f>ROUND(AVERAGEIF(WMS!A:A,A21,WMS!D:D),0)</f>
        <v/>
      </c>
      <c r="E21">
        <f>_xlfn.IFS(J21=3,"Gold",J21=2,"Silver",J21=1,"Bronze",J21=0,"Base")</f>
        <v/>
      </c>
      <c r="F21">
        <f>COUNTIF(Timeclock!A:A,A21)</f>
        <v/>
      </c>
      <c r="G21">
        <f>COUNTIF(Safety!B:B,A21)</f>
        <v/>
      </c>
      <c r="H21">
        <f>IFERROR(VLOOKUP(A21,HR!$A:$F,6,FALSE)&amp;"",0)</f>
        <v/>
      </c>
      <c r="I21">
        <f>OR(AND(F21&gt;=60,G21=0),H21="Light duty",H21="Leave")</f>
        <v/>
      </c>
      <c r="J21">
        <f>VLOOKUP(D21,Tiers!$A$2:$C$5,2,TRUE)</f>
        <v/>
      </c>
      <c r="K21" s="4">
        <f>C21*VLOOKUP(D21,Tiers!$A$2:$C$5,3,TRUE)</f>
        <v/>
      </c>
      <c r="L21" s="5">
        <f>MROUND(K21,5)</f>
        <v/>
      </c>
      <c r="M21">
        <f>IF(I21,1,0)</f>
        <v/>
      </c>
      <c r="N21">
        <f>INT(F21/5)</f>
        <v/>
      </c>
    </row>
    <row r="22">
      <c r="A22" t="n">
        <v>1121</v>
      </c>
      <c r="B22">
        <f>IFERROR(VLOOKUP(A22,HR!$A:$F,2,FALSE),0)</f>
        <v/>
      </c>
      <c r="C22" s="3">
        <f>IFERROR(VLOOKUP(A22,HR!$A:$F,4,FALSE),0)</f>
        <v/>
      </c>
      <c r="D22">
        <f>ROUND(AVERAGEIF(WMS!A:A,A22,WMS!D:D),0)</f>
        <v/>
      </c>
      <c r="E22">
        <f>_xlfn.IFS(J22=3,"Gold",J22=2,"Silver",J22=1,"Bronze",J22=0,"Base")</f>
        <v/>
      </c>
      <c r="F22">
        <f>COUNTIF(Timeclock!A:A,A22)</f>
        <v/>
      </c>
      <c r="G22">
        <f>COUNTIF(Safety!B:B,A22)</f>
        <v/>
      </c>
      <c r="H22">
        <f>IFERROR(VLOOKUP(A22,HR!$A:$F,6,FALSE)&amp;"",0)</f>
        <v/>
      </c>
      <c r="I22">
        <f>OR(AND(F22&gt;=60,G22=0),H22="Light duty",H22="Leave")</f>
        <v/>
      </c>
      <c r="J22">
        <f>VLOOKUP(D22,Tiers!$A$2:$C$5,2,TRUE)</f>
        <v/>
      </c>
      <c r="K22" s="4">
        <f>C22*VLOOKUP(D22,Tiers!$A$2:$C$5,3,TRUE)</f>
        <v/>
      </c>
      <c r="L22" s="5">
        <f>MROUND(K22,5)</f>
        <v/>
      </c>
      <c r="M22">
        <f>IF(I22,1,0)</f>
        <v/>
      </c>
      <c r="N22">
        <f>INT(F22/5)</f>
        <v/>
      </c>
    </row>
    <row r="23">
      <c r="A23" t="n">
        <v>1122</v>
      </c>
      <c r="B23">
        <f>IFERROR(VLOOKUP(A23,HR!$A:$F,2,FALSE),0)</f>
        <v/>
      </c>
      <c r="C23" s="3">
        <f>IFERROR(VLOOKUP(A23,HR!$A:$F,4,FALSE),0)</f>
        <v/>
      </c>
      <c r="D23">
        <f>ROUND(AVERAGEIF(WMS!A:A,A23,WMS!D:D),0)</f>
        <v/>
      </c>
      <c r="E23">
        <f>_xlfn.IFS(J23=3,"Gold",J23=2,"Silver",J23=1,"Bronze",J23=0,"Base")</f>
        <v/>
      </c>
      <c r="F23">
        <f>COUNTIF(Timeclock!A:A,A23)</f>
        <v/>
      </c>
      <c r="G23">
        <f>COUNTIF(Safety!B:B,A23)</f>
        <v/>
      </c>
      <c r="H23">
        <f>IFERROR(VLOOKUP(A23,HR!$A:$F,6,FALSE)&amp;"",0)</f>
        <v/>
      </c>
      <c r="I23">
        <f>OR(AND(F23&gt;=60,G23=0),H23="Light duty",H23="Leave")</f>
        <v/>
      </c>
      <c r="J23">
        <f>VLOOKUP(D23,Tiers!$A$2:$C$5,2,TRUE)</f>
        <v/>
      </c>
      <c r="K23" s="4">
        <f>C23*VLOOKUP(D23,Tiers!$A$2:$C$5,3,TRUE)</f>
        <v/>
      </c>
      <c r="L23" s="5">
        <f>MROUND(K23,5)</f>
        <v/>
      </c>
      <c r="M23">
        <f>IF(I23,1,0)</f>
        <v/>
      </c>
      <c r="N23">
        <f>INT(F23/5)</f>
        <v/>
      </c>
    </row>
    <row r="24">
      <c r="A24" t="n">
        <v>1123</v>
      </c>
      <c r="B24">
        <f>IFERROR(VLOOKUP(A24,HR!$A:$F,2,FALSE),0)</f>
        <v/>
      </c>
      <c r="C24" s="3">
        <f>IFERROR(VLOOKUP(A24,HR!$A:$F,4,FALSE),0)</f>
        <v/>
      </c>
      <c r="D24">
        <f>ROUND(AVERAGEIF(WMS!A:A,A24,WMS!D:D),0)</f>
        <v/>
      </c>
      <c r="E24">
        <f>_xlfn.IFS(J24=3,"Gold",J24=2,"Silver",J24=1,"Bronze",J24=0,"Base")</f>
        <v/>
      </c>
      <c r="F24">
        <f>COUNTIF(Timeclock!A:A,A24)</f>
        <v/>
      </c>
      <c r="G24">
        <f>COUNTIF(Safety!B:B,A24)</f>
        <v/>
      </c>
      <c r="H24">
        <f>IFERROR(VLOOKUP(A24,HR!$A:$F,6,FALSE)&amp;"",0)</f>
        <v/>
      </c>
      <c r="I24">
        <f>OR(AND(F24&gt;=60,G24=0),H24="Light duty",H24="Leave")</f>
        <v/>
      </c>
      <c r="J24">
        <f>VLOOKUP(D24,Tiers!$A$2:$C$5,2,TRUE)</f>
        <v/>
      </c>
      <c r="K24" s="4">
        <f>C24*VLOOKUP(D24,Tiers!$A$2:$C$5,3,TRUE)</f>
        <v/>
      </c>
      <c r="L24" s="5">
        <f>MROUND(K24,5)</f>
        <v/>
      </c>
      <c r="M24">
        <f>IF(I24,1,0)</f>
        <v/>
      </c>
      <c r="N24">
        <f>INT(F24/5)</f>
        <v/>
      </c>
    </row>
    <row r="25">
      <c r="A25" t="n">
        <v>1124</v>
      </c>
      <c r="B25">
        <f>IFERROR(VLOOKUP(A25,HR!$A:$F,2,FALSE),0)</f>
        <v/>
      </c>
      <c r="C25" s="3">
        <f>IFERROR(VLOOKUP(A25,HR!$A:$F,4,FALSE),0)</f>
        <v/>
      </c>
      <c r="D25">
        <f>ROUND(AVERAGEIF(WMS!A:A,A25,WMS!D:D),0)</f>
        <v/>
      </c>
      <c r="E25">
        <f>_xlfn.IFS(J25=3,"Gold",J25=2,"Silver",J25=1,"Bronze",J25=0,"Base")</f>
        <v/>
      </c>
      <c r="F25">
        <f>COUNTIF(Timeclock!A:A,A25)</f>
        <v/>
      </c>
      <c r="G25">
        <f>COUNTIF(Safety!B:B,A25)</f>
        <v/>
      </c>
      <c r="H25">
        <f>IFERROR(VLOOKUP(A25,HR!$A:$F,6,FALSE)&amp;"",0)</f>
        <v/>
      </c>
      <c r="I25">
        <f>OR(AND(F25&gt;=60,G25=0),H25="Light duty",H25="Leave")</f>
        <v/>
      </c>
      <c r="J25">
        <f>VLOOKUP(D25,Tiers!$A$2:$C$5,2,TRUE)</f>
        <v/>
      </c>
      <c r="K25" s="4">
        <f>C25*VLOOKUP(D25,Tiers!$A$2:$C$5,3,TRUE)</f>
        <v/>
      </c>
      <c r="L25" s="5">
        <f>MROUND(K25,5)</f>
        <v/>
      </c>
      <c r="M25">
        <f>IF(I25,1,0)</f>
        <v/>
      </c>
      <c r="N25">
        <f>INT(F25/5)</f>
        <v/>
      </c>
    </row>
    <row r="26">
      <c r="A26" t="n">
        <v>1125</v>
      </c>
      <c r="B26">
        <f>IFERROR(VLOOKUP(A26,HR!$A:$F,2,FALSE),0)</f>
        <v/>
      </c>
      <c r="C26" s="3">
        <f>IFERROR(VLOOKUP(A26,HR!$A:$F,4,FALSE),0)</f>
        <v/>
      </c>
      <c r="D26">
        <f>ROUND(AVERAGEIF(WMS!A:A,A26,WMS!D:D),0)</f>
        <v/>
      </c>
      <c r="E26">
        <f>_xlfn.IFS(J26=3,"Gold",J26=2,"Silver",J26=1,"Bronze",J26=0,"Base")</f>
        <v/>
      </c>
      <c r="F26">
        <f>COUNTIF(Timeclock!A:A,A26)</f>
        <v/>
      </c>
      <c r="G26">
        <f>COUNTIF(Safety!B:B,A26)</f>
        <v/>
      </c>
      <c r="H26">
        <f>IFERROR(VLOOKUP(A26,HR!$A:$F,6,FALSE)&amp;"",0)</f>
        <v/>
      </c>
      <c r="I26">
        <f>OR(AND(F26&gt;=60,G26=0),H26="Light duty",H26="Leave")</f>
        <v/>
      </c>
      <c r="J26">
        <f>VLOOKUP(D26,Tiers!$A$2:$C$5,2,TRUE)</f>
        <v/>
      </c>
      <c r="K26" s="4">
        <f>C26*VLOOKUP(D26,Tiers!$A$2:$C$5,3,TRUE)</f>
        <v/>
      </c>
      <c r="L26" s="5">
        <f>MROUND(K26,5)</f>
        <v/>
      </c>
      <c r="M26">
        <f>IF(I26,1,0)</f>
        <v/>
      </c>
      <c r="N26">
        <f>INT(F26/5)</f>
        <v/>
      </c>
    </row>
    <row r="27">
      <c r="A27" t="n">
        <v>1126</v>
      </c>
      <c r="B27">
        <f>IFERROR(VLOOKUP(A27,HR!$A:$F,2,FALSE),0)</f>
        <v/>
      </c>
      <c r="C27" s="3">
        <f>IFERROR(VLOOKUP(A27,HR!$A:$F,4,FALSE),0)</f>
        <v/>
      </c>
      <c r="D27">
        <f>ROUND(AVERAGEIF(WMS!A:A,A27,WMS!D:D),0)</f>
        <v/>
      </c>
      <c r="E27">
        <f>_xlfn.IFS(J27=3,"Gold",J27=2,"Silver",J27=1,"Bronze",J27=0,"Base")</f>
        <v/>
      </c>
      <c r="F27">
        <f>COUNTIF(Timeclock!A:A,A27)</f>
        <v/>
      </c>
      <c r="G27">
        <f>COUNTIF(Safety!B:B,A27)</f>
        <v/>
      </c>
      <c r="H27">
        <f>IFERROR(VLOOKUP(A27,HR!$A:$F,6,FALSE)&amp;"",0)</f>
        <v/>
      </c>
      <c r="I27">
        <f>OR(AND(F27&gt;=60,G27=0),H27="Light duty",H27="Leave")</f>
        <v/>
      </c>
      <c r="J27">
        <f>VLOOKUP(D27,Tiers!$A$2:$C$5,2,TRUE)</f>
        <v/>
      </c>
      <c r="K27" s="4">
        <f>C27*VLOOKUP(D27,Tiers!$A$2:$C$5,3,TRUE)</f>
        <v/>
      </c>
      <c r="L27" s="5">
        <f>MROUND(K27,5)</f>
        <v/>
      </c>
      <c r="M27">
        <f>IF(I27,1,0)</f>
        <v/>
      </c>
      <c r="N27">
        <f>INT(F27/5)</f>
        <v/>
      </c>
    </row>
    <row r="28">
      <c r="A28" t="n">
        <v>1127</v>
      </c>
      <c r="B28">
        <f>IFERROR(VLOOKUP(A28,HR!$A:$F,2,FALSE),0)</f>
        <v/>
      </c>
      <c r="C28" s="3">
        <f>IFERROR(VLOOKUP(A28,HR!$A:$F,4,FALSE),0)</f>
        <v/>
      </c>
      <c r="D28">
        <f>ROUND(AVERAGEIF(WMS!A:A,A28,WMS!D:D),0)</f>
        <v/>
      </c>
      <c r="E28">
        <f>_xlfn.IFS(J28=3,"Gold",J28=2,"Silver",J28=1,"Bronze",J28=0,"Base")</f>
        <v/>
      </c>
      <c r="F28">
        <f>COUNTIF(Timeclock!A:A,A28)</f>
        <v/>
      </c>
      <c r="G28">
        <f>COUNTIF(Safety!B:B,A28)</f>
        <v/>
      </c>
      <c r="H28">
        <f>IFERROR(VLOOKUP(A28,HR!$A:$F,6,FALSE)&amp;"",0)</f>
        <v/>
      </c>
      <c r="I28">
        <f>OR(AND(F28&gt;=60,G28=0),H28="Light duty",H28="Leave")</f>
        <v/>
      </c>
      <c r="J28">
        <f>VLOOKUP(D28,Tiers!$A$2:$C$5,2,TRUE)</f>
        <v/>
      </c>
      <c r="K28" s="4">
        <f>C28*VLOOKUP(D28,Tiers!$A$2:$C$5,3,TRUE)</f>
        <v/>
      </c>
      <c r="L28" s="5">
        <f>MROUND(K28,5)</f>
        <v/>
      </c>
      <c r="M28">
        <f>IF(I28,1,0)</f>
        <v/>
      </c>
      <c r="N28">
        <f>INT(F28/5)</f>
        <v/>
      </c>
    </row>
    <row r="29">
      <c r="A29" t="n">
        <v>1128</v>
      </c>
      <c r="B29">
        <f>IFERROR(VLOOKUP(A29,HR!$A:$F,2,FALSE),0)</f>
        <v/>
      </c>
      <c r="C29" s="3">
        <f>IFERROR(VLOOKUP(A29,HR!$A:$F,4,FALSE),0)</f>
        <v/>
      </c>
      <c r="D29">
        <f>ROUND(AVERAGEIF(WMS!A:A,A29,WMS!D:D),0)</f>
        <v/>
      </c>
      <c r="E29">
        <f>_xlfn.IFS(J29=3,"Gold",J29=2,"Silver",J29=1,"Bronze",J29=0,"Base")</f>
        <v/>
      </c>
      <c r="F29">
        <f>COUNTIF(Timeclock!A:A,A29)</f>
        <v/>
      </c>
      <c r="G29">
        <f>COUNTIF(Safety!B:B,A29)</f>
        <v/>
      </c>
      <c r="H29">
        <f>IFERROR(VLOOKUP(A29,HR!$A:$F,6,FALSE)&amp;"",0)</f>
        <v/>
      </c>
      <c r="I29">
        <f>OR(AND(F29&gt;=60,G29=0),H29="Light duty",H29="Leave")</f>
        <v/>
      </c>
      <c r="J29">
        <f>VLOOKUP(D29,Tiers!$A$2:$C$5,2,TRUE)</f>
        <v/>
      </c>
      <c r="K29" s="4">
        <f>C29*VLOOKUP(D29,Tiers!$A$2:$C$5,3,TRUE)</f>
        <v/>
      </c>
      <c r="L29" s="5">
        <f>MROUND(K29,5)</f>
        <v/>
      </c>
      <c r="M29">
        <f>IF(I29,1,0)</f>
        <v/>
      </c>
      <c r="N29">
        <f>INT(F29/5)</f>
        <v/>
      </c>
    </row>
    <row r="30">
      <c r="A30" t="n">
        <v>1129</v>
      </c>
      <c r="B30">
        <f>IFERROR(VLOOKUP(A30,HR!$A:$F,2,FALSE),0)</f>
        <v/>
      </c>
      <c r="C30" s="3">
        <f>IFERROR(VLOOKUP(A30,HR!$A:$F,4,FALSE),0)</f>
        <v/>
      </c>
      <c r="D30">
        <f>ROUND(AVERAGEIF(WMS!A:A,A30,WMS!D:D),0)</f>
        <v/>
      </c>
      <c r="E30">
        <f>_xlfn.IFS(J30=3,"Gold",J30=2,"Silver",J30=1,"Bronze",J30=0,"Base")</f>
        <v/>
      </c>
      <c r="F30">
        <f>COUNTIF(Timeclock!A:A,A30)</f>
        <v/>
      </c>
      <c r="G30">
        <f>COUNTIF(Safety!B:B,A30)</f>
        <v/>
      </c>
      <c r="H30">
        <f>IFERROR(VLOOKUP(A30,HR!$A:$F,6,FALSE)&amp;"",0)</f>
        <v/>
      </c>
      <c r="I30">
        <f>OR(AND(F30&gt;=60,G30=0),H30="Light duty",H30="Leave")</f>
        <v/>
      </c>
      <c r="J30">
        <f>VLOOKUP(D30,Tiers!$A$2:$C$5,2,TRUE)</f>
        <v/>
      </c>
      <c r="K30" s="4">
        <f>C30*VLOOKUP(D30,Tiers!$A$2:$C$5,3,TRUE)</f>
        <v/>
      </c>
      <c r="L30" s="5">
        <f>MROUND(K30,5)</f>
        <v/>
      </c>
      <c r="M30">
        <f>IF(I30,1,0)</f>
        <v/>
      </c>
      <c r="N30">
        <f>INT(F30/5)</f>
        <v/>
      </c>
    </row>
    <row r="31">
      <c r="A31" t="n">
        <v>1130</v>
      </c>
      <c r="B31">
        <f>IFERROR(VLOOKUP(A31,HR!$A:$F,2,FALSE),0)</f>
        <v/>
      </c>
      <c r="C31" s="3">
        <f>IFERROR(VLOOKUP(A31,HR!$A:$F,4,FALSE),0)</f>
        <v/>
      </c>
      <c r="D31">
        <f>ROUND(AVERAGEIF(WMS!A:A,A31,WMS!D:D),0)</f>
        <v/>
      </c>
      <c r="E31">
        <f>_xlfn.IFS(J31=3,"Gold",J31=2,"Silver",J31=1,"Bronze",J31=0,"Base")</f>
        <v/>
      </c>
      <c r="F31">
        <f>COUNTIF(Timeclock!A:A,A31)</f>
        <v/>
      </c>
      <c r="G31">
        <f>COUNTIF(Safety!B:B,A31)</f>
        <v/>
      </c>
      <c r="H31">
        <f>IFERROR(VLOOKUP(A31,HR!$A:$F,6,FALSE)&amp;"",0)</f>
        <v/>
      </c>
      <c r="I31">
        <f>OR(AND(F31&gt;=60,G31=0),H31="Light duty",H31="Leave")</f>
        <v/>
      </c>
      <c r="J31">
        <f>VLOOKUP(D31,Tiers!$A$2:$C$5,2,TRUE)</f>
        <v/>
      </c>
      <c r="K31" s="4">
        <f>C31*VLOOKUP(D31,Tiers!$A$2:$C$5,3,TRUE)</f>
        <v/>
      </c>
      <c r="L31" s="5">
        <f>MROUND(K31,5)</f>
        <v/>
      </c>
      <c r="M31">
        <f>IF(I31,1,0)</f>
        <v/>
      </c>
      <c r="N31">
        <f>INT(F31/5)</f>
        <v/>
      </c>
    </row>
    <row r="32">
      <c r="A32" t="n">
        <v>1131</v>
      </c>
      <c r="B32">
        <f>IFERROR(VLOOKUP(A32,HR!$A:$F,2,FALSE),0)</f>
        <v/>
      </c>
      <c r="C32" s="3">
        <f>IFERROR(VLOOKUP(A32,HR!$A:$F,4,FALSE),0)</f>
        <v/>
      </c>
      <c r="D32">
        <f>ROUND(AVERAGEIF(WMS!A:A,A32,WMS!D:D),0)</f>
        <v/>
      </c>
      <c r="E32">
        <f>_xlfn.IFS(J32=3,"Gold",J32=2,"Silver",J32=1,"Bronze",J32=0,"Base")</f>
        <v/>
      </c>
      <c r="F32">
        <f>COUNTIF(Timeclock!A:A,A32)</f>
        <v/>
      </c>
      <c r="G32">
        <f>COUNTIF(Safety!B:B,A32)</f>
        <v/>
      </c>
      <c r="H32">
        <f>IFERROR(VLOOKUP(A32,HR!$A:$F,6,FALSE)&amp;"",0)</f>
        <v/>
      </c>
      <c r="I32">
        <f>OR(AND(F32&gt;=60,G32=0),H32="Light duty",H32="Leave")</f>
        <v/>
      </c>
      <c r="J32">
        <f>VLOOKUP(D32,Tiers!$A$2:$C$5,2,TRUE)</f>
        <v/>
      </c>
      <c r="K32" s="4">
        <f>C32*VLOOKUP(D32,Tiers!$A$2:$C$5,3,TRUE)</f>
        <v/>
      </c>
      <c r="L32" s="5">
        <f>MROUND(K32,5)</f>
        <v/>
      </c>
      <c r="M32">
        <f>IF(I32,1,0)</f>
        <v/>
      </c>
      <c r="N32">
        <f>INT(F32/5)</f>
        <v/>
      </c>
    </row>
    <row r="33">
      <c r="A33" t="n">
        <v>1132</v>
      </c>
      <c r="B33">
        <f>IFERROR(VLOOKUP(A33,HR!$A:$F,2,FALSE),0)</f>
        <v/>
      </c>
      <c r="C33" s="3">
        <f>IFERROR(VLOOKUP(A33,HR!$A:$F,4,FALSE),0)</f>
        <v/>
      </c>
      <c r="D33">
        <f>ROUND(AVERAGEIF(WMS!A:A,A33,WMS!D:D),0)</f>
        <v/>
      </c>
      <c r="E33">
        <f>_xlfn.IFS(J33=3,"Gold",J33=2,"Silver",J33=1,"Bronze",J33=0,"Base")</f>
        <v/>
      </c>
      <c r="F33">
        <f>COUNTIF(Timeclock!A:A,A33)</f>
        <v/>
      </c>
      <c r="G33">
        <f>COUNTIF(Safety!B:B,A33)</f>
        <v/>
      </c>
      <c r="H33">
        <f>IFERROR(VLOOKUP(A33,HR!$A:$F,6,FALSE)&amp;"",0)</f>
        <v/>
      </c>
      <c r="I33">
        <f>OR(AND(F33&gt;=60,G33=0),H33="Light duty",H33="Leave")</f>
        <v/>
      </c>
      <c r="J33">
        <f>VLOOKUP(D33,Tiers!$A$2:$C$5,2,TRUE)</f>
        <v/>
      </c>
      <c r="K33" s="4">
        <f>C33*VLOOKUP(D33,Tiers!$A$2:$C$5,3,TRUE)</f>
        <v/>
      </c>
      <c r="L33" s="5">
        <f>MROUND(K33,5)</f>
        <v/>
      </c>
      <c r="M33">
        <f>IF(I33,1,0)</f>
        <v/>
      </c>
      <c r="N33">
        <f>INT(F33/5)</f>
        <v/>
      </c>
    </row>
    <row r="34">
      <c r="A34" t="n">
        <v>1133</v>
      </c>
      <c r="B34">
        <f>IFERROR(VLOOKUP(A34,HR!$A:$F,2,FALSE),0)</f>
        <v/>
      </c>
      <c r="C34" s="3">
        <f>IFERROR(VLOOKUP(A34,HR!$A:$F,4,FALSE),0)</f>
        <v/>
      </c>
      <c r="D34">
        <f>ROUND(AVERAGEIF(WMS!A:A,A34,WMS!D:D),0)</f>
        <v/>
      </c>
      <c r="E34">
        <f>_xlfn.IFS(J34=3,"Gold",J34=2,"Silver",J34=1,"Bronze",J34=0,"Base")</f>
        <v/>
      </c>
      <c r="F34">
        <f>COUNTIF(Timeclock!A:A,A34)</f>
        <v/>
      </c>
      <c r="G34">
        <f>COUNTIF(Safety!B:B,A34)</f>
        <v/>
      </c>
      <c r="H34">
        <f>IFERROR(VLOOKUP(A34,HR!$A:$F,6,FALSE)&amp;"",0)</f>
        <v/>
      </c>
      <c r="I34">
        <f>OR(AND(F34&gt;=60,G34=0),H34="Light duty",H34="Leave")</f>
        <v/>
      </c>
      <c r="J34">
        <f>VLOOKUP(D34,Tiers!$A$2:$C$5,2,TRUE)</f>
        <v/>
      </c>
      <c r="K34" s="4">
        <f>C34*VLOOKUP(D34,Tiers!$A$2:$C$5,3,TRUE)</f>
        <v/>
      </c>
      <c r="L34" s="5">
        <f>MROUND(K34,5)</f>
        <v/>
      </c>
      <c r="M34">
        <f>IF(I34,1,0)</f>
        <v/>
      </c>
      <c r="N34">
        <f>INT(F34/5)</f>
        <v/>
      </c>
    </row>
    <row r="35">
      <c r="A35" t="n">
        <v>1134</v>
      </c>
      <c r="B35">
        <f>IFERROR(VLOOKUP(A35,HR!$A:$F,2,FALSE),0)</f>
        <v/>
      </c>
      <c r="C35" s="3">
        <f>IFERROR(VLOOKUP(A35,HR!$A:$F,4,FALSE),0)</f>
        <v/>
      </c>
      <c r="D35">
        <f>ROUND(AVERAGEIF(WMS!A:A,A35,WMS!D:D),0)</f>
        <v/>
      </c>
      <c r="E35">
        <f>_xlfn.IFS(J35=3,"Gold",J35=2,"Silver",J35=1,"Bronze",J35=0,"Base")</f>
        <v/>
      </c>
      <c r="F35">
        <f>COUNTIF(Timeclock!A:A,A35)</f>
        <v/>
      </c>
      <c r="G35">
        <f>COUNTIF(Safety!B:B,A35)</f>
        <v/>
      </c>
      <c r="H35">
        <f>IFERROR(VLOOKUP(A35,HR!$A:$F,6,FALSE)&amp;"",0)</f>
        <v/>
      </c>
      <c r="I35">
        <f>OR(AND(F35&gt;=60,G35=0),H35="Light duty",H35="Leave")</f>
        <v/>
      </c>
      <c r="J35">
        <f>VLOOKUP(D35,Tiers!$A$2:$C$5,2,TRUE)</f>
        <v/>
      </c>
      <c r="K35" s="4">
        <f>C35*VLOOKUP(D35,Tiers!$A$2:$C$5,3,TRUE)</f>
        <v/>
      </c>
      <c r="L35" s="5">
        <f>MROUND(K35,5)</f>
        <v/>
      </c>
      <c r="M35">
        <f>IF(I35,1,0)</f>
        <v/>
      </c>
      <c r="N35">
        <f>INT(F35/5)</f>
        <v/>
      </c>
    </row>
    <row r="36">
      <c r="A36" t="n">
        <v>1135</v>
      </c>
      <c r="B36">
        <f>IFERROR(VLOOKUP(A36,HR!$A:$F,2,FALSE),0)</f>
        <v/>
      </c>
      <c r="C36" s="3">
        <f>IFERROR(VLOOKUP(A36,HR!$A:$F,4,FALSE),0)</f>
        <v/>
      </c>
      <c r="D36">
        <f>ROUND(AVERAGEIF(WMS!A:A,A36,WMS!D:D),0)</f>
        <v/>
      </c>
      <c r="E36">
        <f>_xlfn.IFS(J36=3,"Gold",J36=2,"Silver",J36=1,"Bronze",J36=0,"Base")</f>
        <v/>
      </c>
      <c r="F36">
        <f>COUNTIF(Timeclock!A:A,A36)</f>
        <v/>
      </c>
      <c r="G36">
        <f>COUNTIF(Safety!B:B,A36)</f>
        <v/>
      </c>
      <c r="H36">
        <f>IFERROR(VLOOKUP(A36,HR!$A:$F,6,FALSE)&amp;"",0)</f>
        <v/>
      </c>
      <c r="I36">
        <f>OR(AND(F36&gt;=60,G36=0),H36="Light duty",H36="Leave")</f>
        <v/>
      </c>
      <c r="J36">
        <f>VLOOKUP(D36,Tiers!$A$2:$C$5,2,TRUE)</f>
        <v/>
      </c>
      <c r="K36" s="4">
        <f>C36*VLOOKUP(D36,Tiers!$A$2:$C$5,3,TRUE)</f>
        <v/>
      </c>
      <c r="L36" s="5">
        <f>MROUND(K36,5)</f>
        <v/>
      </c>
      <c r="M36">
        <f>IF(I36,1,0)</f>
        <v/>
      </c>
      <c r="N36">
        <f>INT(F36/5)</f>
        <v/>
      </c>
    </row>
    <row r="37">
      <c r="A37" t="n">
        <v>1136</v>
      </c>
      <c r="B37">
        <f>IFERROR(VLOOKUP(A37,HR!$A:$F,2,FALSE),0)</f>
        <v/>
      </c>
      <c r="C37" s="3">
        <f>IFERROR(VLOOKUP(A37,HR!$A:$F,4,FALSE),0)</f>
        <v/>
      </c>
      <c r="D37">
        <f>ROUND(AVERAGEIF(WMS!A:A,A37,WMS!D:D),0)</f>
        <v/>
      </c>
      <c r="E37">
        <f>_xlfn.IFS(J37=3,"Gold",J37=2,"Silver",J37=1,"Bronze",J37=0,"Base")</f>
        <v/>
      </c>
      <c r="F37">
        <f>COUNTIF(Timeclock!A:A,A37)</f>
        <v/>
      </c>
      <c r="G37">
        <f>COUNTIF(Safety!B:B,A37)</f>
        <v/>
      </c>
      <c r="H37">
        <f>IFERROR(VLOOKUP(A37,HR!$A:$F,6,FALSE)&amp;"",0)</f>
        <v/>
      </c>
      <c r="I37">
        <f>OR(AND(F37&gt;=60,G37=0),H37="Light duty",H37="Leave")</f>
        <v/>
      </c>
      <c r="J37">
        <f>VLOOKUP(D37,Tiers!$A$2:$C$5,2,TRUE)</f>
        <v/>
      </c>
      <c r="K37" s="4">
        <f>C37*VLOOKUP(D37,Tiers!$A$2:$C$5,3,TRUE)</f>
        <v/>
      </c>
      <c r="L37" s="5">
        <f>MROUND(K37,5)</f>
        <v/>
      </c>
      <c r="M37">
        <f>IF(I37,1,0)</f>
        <v/>
      </c>
      <c r="N37">
        <f>INT(F37/5)</f>
        <v/>
      </c>
    </row>
    <row r="38">
      <c r="A38" t="n">
        <v>1137</v>
      </c>
      <c r="B38">
        <f>IFERROR(VLOOKUP(A38,HR!$A:$F,2,FALSE),0)</f>
        <v/>
      </c>
      <c r="C38" s="3">
        <f>IFERROR(VLOOKUP(A38,HR!$A:$F,4,FALSE),0)</f>
        <v/>
      </c>
      <c r="D38">
        <f>ROUND(AVERAGEIF(WMS!A:A,A38,WMS!D:D),0)</f>
        <v/>
      </c>
      <c r="E38">
        <f>_xlfn.IFS(J38=3,"Gold",J38=2,"Silver",J38=1,"Bronze",J38=0,"Base")</f>
        <v/>
      </c>
      <c r="F38">
        <f>COUNTIF(Timeclock!A:A,A38)</f>
        <v/>
      </c>
      <c r="G38">
        <f>COUNTIF(Safety!B:B,A38)</f>
        <v/>
      </c>
      <c r="H38">
        <f>IFERROR(VLOOKUP(A38,HR!$A:$F,6,FALSE)&amp;"",0)</f>
        <v/>
      </c>
      <c r="I38">
        <f>OR(AND(F38&gt;=60,G38=0),H38="Light duty",H38="Leave")</f>
        <v/>
      </c>
      <c r="J38">
        <f>VLOOKUP(D38,Tiers!$A$2:$C$5,2,TRUE)</f>
        <v/>
      </c>
      <c r="K38" s="4">
        <f>C38*VLOOKUP(D38,Tiers!$A$2:$C$5,3,TRUE)</f>
        <v/>
      </c>
      <c r="L38" s="5">
        <f>MROUND(K38,5)</f>
        <v/>
      </c>
      <c r="M38">
        <f>IF(I38,1,0)</f>
        <v/>
      </c>
      <c r="N38">
        <f>INT(F38/5)</f>
        <v/>
      </c>
    </row>
    <row r="40">
      <c r="K40" s="6" t="inlineStr">
        <is>
          <t>Total payout</t>
        </is>
      </c>
      <c r="L40" s="7">
        <f t="array" ref="L40">SUM(L2:L38*M2:M38)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0" customWidth="1" min="3" max="3"/>
  </cols>
  <sheetData>
    <row r="1">
      <c r="A1" s="8" t="inlineStr">
        <is>
          <t>Ruth: what is a normal pallets/hr?</t>
        </is>
      </c>
      <c r="B1" s="9" t="n"/>
      <c r="C1" s="9" t="n"/>
    </row>
    <row r="2">
      <c r="A2" t="inlineStr">
        <is>
          <t>Crew average (AVERAGE)</t>
        </is>
      </c>
      <c r="B2" s="10">
        <f>AVERAGE(WMS!D:D)</f>
        <v/>
      </c>
    </row>
    <row r="3">
      <c r="A3" t="inlineStr">
        <is>
          <t>Crew median (MEDIAN)</t>
        </is>
      </c>
      <c r="B3" s="11">
        <f>MEDIAN(WMS!D:D)</f>
        <v/>
      </c>
    </row>
    <row r="4">
      <c r="A4" t="inlineStr">
        <is>
          <t>Crew mode (MODE.MULT)</t>
        </is>
      </c>
      <c r="B4" s="11">
        <f>_xlfn.MODE.MULT(WMS!D:D)</f>
        <v/>
      </c>
    </row>
    <row r="5">
      <c r="A5" s="6" t="inlineStr">
        <is>
          <t>Hank: overtime</t>
        </is>
      </c>
    </row>
    <row r="6">
      <c r="A6" t="inlineStr">
        <is>
          <t>Night overtime hours (SUMIF)</t>
        </is>
      </c>
      <c r="B6" s="10">
        <f>SUMIF(Timeclock!E:E,"Night",Timeclock!H:H)</f>
        <v/>
      </c>
    </row>
    <row r="7">
      <c r="A7" t="inlineStr">
        <is>
          <t>Shifts over 10 hours (COUNTIF)</t>
        </is>
      </c>
      <c r="B7" s="11">
        <f>COUNTIF(Timeclock!G:G,"&gt;10")</f>
        <v/>
      </c>
    </row>
    <row r="8">
      <c r="A8" t="inlineStr">
        <is>
          <t>Average night shift (AVERAGEIF)</t>
        </is>
      </c>
      <c r="B8" s="12">
        <f>AVERAGEIF(Timeclock!E:E,"Night",Timeclock!G:G)</f>
        <v/>
      </c>
    </row>
    <row r="9">
      <c r="A9" t="inlineStr">
        <is>
          <t>Night overtime, September (SUMIFS)</t>
        </is>
      </c>
      <c r="B9" s="10">
        <f>SUMIFS(Timeclock!H:H,Timeclock!E:E,"Night",Timeclock!F:F,"Sep")</f>
        <v/>
      </c>
    </row>
    <row r="10">
      <c r="A10" t="inlineStr">
        <is>
          <t>Night shifts over 10 hrs, September (COUNTIFS)</t>
        </is>
      </c>
      <c r="B10" s="11">
        <f>COUNTIFS(Timeclock!E:E,"Night",Timeclock!F:F,"Sep",Timeclock!G:G,"&gt;10")</f>
        <v/>
      </c>
    </row>
    <row r="11">
      <c r="A11" t="inlineStr">
        <is>
          <t>Average night shift, September (AVERAGEIFS)</t>
        </is>
      </c>
      <c r="B11" s="12">
        <f>AVERAGEIFS(Timeclock!G:G,Timeclock!E:E,"Night",Timeclock!F:F,"Sep")</f>
        <v/>
      </c>
    </row>
    <row r="12">
      <c r="A12" t="inlineStr">
        <is>
          <t>Longest night shift, September (MAXIFS)</t>
        </is>
      </c>
      <c r="B12" s="12">
        <f>_xlfn.MAXIFS(Timeclock!G:G,Timeclock!E:E,"Night",Timeclock!F:F,"Sep")</f>
        <v/>
      </c>
    </row>
    <row r="13">
      <c r="A13" t="inlineStr">
        <is>
          <t>Shortest night shift, August (MINIFS)</t>
        </is>
      </c>
      <c r="B13" s="12">
        <f>_xlfn.MINIFS(Timeclock!G:G,Timeclock!E:E,"Night",Timeclock!F:F,"Aug")</f>
        <v/>
      </c>
    </row>
    <row r="14">
      <c r="A14" s="6" t="inlineStr">
        <is>
          <t>Rounding the $412.6875 example (Bonus!K2)</t>
        </is>
      </c>
    </row>
    <row r="15">
      <c r="A15" t="inlineStr">
        <is>
          <t>ROUND to cents</t>
        </is>
      </c>
      <c r="B15" s="13">
        <f>ROUND(Bonus!K2,2)</f>
        <v/>
      </c>
    </row>
    <row r="16">
      <c r="A16" t="inlineStr">
        <is>
          <t>ROUNDDOWN to dollars</t>
        </is>
      </c>
      <c r="B16" s="13">
        <f>ROUNDDOWN(Bonus!K2,0)</f>
        <v/>
      </c>
    </row>
    <row r="17">
      <c r="A17" t="inlineStr">
        <is>
          <t>MROUND to $5</t>
        </is>
      </c>
      <c r="B17" s="13">
        <f>MROUND(Bonus!K2,5)</f>
        <v/>
      </c>
    </row>
    <row r="18">
      <c r="A18" t="inlineStr">
        <is>
          <t>Practice: ROUNDDOWN(-1.9,0)</t>
        </is>
      </c>
      <c r="B18" s="11">
        <f>ROUNDDOWN(-1.9,0)</f>
        <v/>
      </c>
    </row>
    <row r="19">
      <c r="A19" t="inlineStr">
        <is>
          <t>Practice: INT(-1.9)</t>
        </is>
      </c>
      <c r="B19" s="11">
        <f>INT(-1.9)</f>
        <v/>
      </c>
    </row>
    <row r="20">
      <c r="A20" s="6" t="inlineStr">
        <is>
          <t>Dates</t>
        </is>
      </c>
    </row>
    <row r="21">
      <c r="A21" t="inlineStr">
        <is>
          <t>Quarter end</t>
        </is>
      </c>
      <c r="B21" s="14" t="n">
        <v>46295</v>
      </c>
    </row>
    <row r="22">
      <c r="A22" t="inlineStr">
        <is>
          <t>Payout date (WORKDAY, 10 working days)</t>
        </is>
      </c>
      <c r="B22" s="15">
        <f>WORKDAY(B21,10)</f>
        <v/>
      </c>
    </row>
    <row r="23">
      <c r="A23" t="inlineStr">
        <is>
          <t>Possible days: Tyler Brooks (NETWORKDAYS)</t>
        </is>
      </c>
      <c r="B23" s="11">
        <f>NETWORKDAYS(HR!E7,B21)</f>
        <v/>
      </c>
    </row>
    <row r="24">
      <c r="A24" t="inlineStr">
        <is>
          <t>Possible days: Kyle Banks</t>
        </is>
      </c>
      <c r="B24" s="11">
        <f>NETWORKDAYS(HR!E27,B21)</f>
        <v/>
      </c>
    </row>
    <row r="25">
      <c r="A25" t="inlineStr">
        <is>
          <t>Possible days: Lena Novak</t>
        </is>
      </c>
      <c r="B25" s="11">
        <f>NETWORKDAYS(HR!E28,B21)</f>
        <v/>
      </c>
    </row>
    <row r="26">
      <c r="A26" t="inlineStr">
        <is>
          <t>Calculated as of</t>
        </is>
      </c>
      <c r="B26" s="14" t="n">
        <v>46301</v>
      </c>
      <c r="C26" t="inlineStr">
        <is>
          <t>Typed, not =TODAY(): TODAY is volatile and changes every day.</t>
        </is>
      </c>
    </row>
    <row r="27">
      <c r="A27" t="inlineStr">
        <is>
          <t>This file</t>
        </is>
      </c>
      <c r="B27" s="16">
        <f>CELL("filename",A1)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8" customWidth="1" min="5" max="5"/>
    <col width="8" customWidth="1" min="6" max="6"/>
    <col width="9" customWidth="1" min="7" max="7"/>
    <col width="10" customWidth="1" min="8" max="8"/>
  </cols>
  <sheetData>
    <row r="1">
      <c r="A1" s="1" t="inlineStr">
        <is>
          <t>Emp ID</t>
        </is>
      </c>
      <c r="B1" s="1" t="inlineStr">
        <is>
          <t>Date</t>
        </is>
      </c>
      <c r="C1" s="1" t="inlineStr">
        <is>
          <t>Clock in</t>
        </is>
      </c>
      <c r="D1" s="1" t="inlineStr">
        <is>
          <t>Clock out</t>
        </is>
      </c>
      <c r="E1" s="1" t="inlineStr">
        <is>
          <t>Crew</t>
        </is>
      </c>
      <c r="F1" s="1" t="inlineStr">
        <is>
          <t>Month</t>
        </is>
      </c>
      <c r="G1" s="2" t="inlineStr">
        <is>
          <t>Hours</t>
        </is>
      </c>
      <c r="H1" s="2" t="inlineStr">
        <is>
          <t>Overtime</t>
        </is>
      </c>
    </row>
    <row r="2">
      <c r="A2" t="n">
        <v>1101</v>
      </c>
      <c r="B2" s="14" t="n">
        <v>46204</v>
      </c>
      <c r="C2" s="17" t="n">
        <v>0.9270833333333334</v>
      </c>
      <c r="D2" s="17" t="n">
        <v>0.40625</v>
      </c>
      <c r="E2" t="inlineStr">
        <is>
          <t>Night</t>
        </is>
      </c>
      <c r="F2" t="inlineStr">
        <is>
          <t>Jul</t>
        </is>
      </c>
      <c r="G2" s="18">
        <f>IF(D2&lt;C2,D2+1-C2,D2-C2)*24</f>
        <v/>
      </c>
      <c r="H2" s="18">
        <f>MAX(0,G2-8)</f>
        <v/>
      </c>
    </row>
    <row r="3">
      <c r="A3" t="n">
        <v>1102</v>
      </c>
      <c r="B3" s="14" t="n">
        <v>46204</v>
      </c>
      <c r="C3" s="17" t="n">
        <v>0.9375</v>
      </c>
      <c r="D3" s="17" t="n">
        <v>0.2916666666666667</v>
      </c>
      <c r="E3" t="inlineStr">
        <is>
          <t>Night</t>
        </is>
      </c>
      <c r="F3" t="inlineStr">
        <is>
          <t>Jul</t>
        </is>
      </c>
      <c r="G3" s="18">
        <f>IF(D3&lt;C3,D3+1-C3,D3-C3)*24</f>
        <v/>
      </c>
      <c r="H3" s="18">
        <f>MAX(0,G3-8)</f>
        <v/>
      </c>
    </row>
    <row r="4">
      <c r="A4" t="n">
        <v>1104</v>
      </c>
      <c r="B4" s="14" t="n">
        <v>46204</v>
      </c>
      <c r="C4" s="17" t="n">
        <v>0.9166666666666666</v>
      </c>
      <c r="D4" s="17" t="n">
        <v>0.2708333333333333</v>
      </c>
      <c r="E4" t="inlineStr">
        <is>
          <t>Night</t>
        </is>
      </c>
      <c r="F4" t="inlineStr">
        <is>
          <t>Jul</t>
        </is>
      </c>
      <c r="G4" s="18">
        <f>IF(D4&lt;C4,D4+1-C4,D4-C4)*24</f>
        <v/>
      </c>
      <c r="H4" s="18">
        <f>MAX(0,G4-8)</f>
        <v/>
      </c>
    </row>
    <row r="5">
      <c r="A5" t="n">
        <v>1107</v>
      </c>
      <c r="B5" s="14" t="n">
        <v>46204</v>
      </c>
      <c r="C5" s="17" t="n">
        <v>0.9166666666666666</v>
      </c>
      <c r="D5" s="17" t="n">
        <v>0.25</v>
      </c>
      <c r="E5" t="inlineStr">
        <is>
          <t>Night</t>
        </is>
      </c>
      <c r="F5" t="inlineStr">
        <is>
          <t>Jul</t>
        </is>
      </c>
      <c r="G5" s="18">
        <f>IF(D5&lt;C5,D5+1-C5,D5-C5)*24</f>
        <v/>
      </c>
      <c r="H5" s="18">
        <f>MAX(0,G5-8)</f>
        <v/>
      </c>
    </row>
    <row r="6">
      <c r="A6" t="n">
        <v>1108</v>
      </c>
      <c r="B6" s="14" t="n">
        <v>46204</v>
      </c>
      <c r="C6" s="17" t="n">
        <v>0.9166666666666666</v>
      </c>
      <c r="D6" s="17" t="n">
        <v>0.25</v>
      </c>
      <c r="E6" t="inlineStr">
        <is>
          <t>Night</t>
        </is>
      </c>
      <c r="F6" t="inlineStr">
        <is>
          <t>Jul</t>
        </is>
      </c>
      <c r="G6" s="18">
        <f>IF(D6&lt;C6,D6+1-C6,D6-C6)*24</f>
        <v/>
      </c>
      <c r="H6" s="18">
        <f>MAX(0,G6-8)</f>
        <v/>
      </c>
    </row>
    <row r="7">
      <c r="A7" t="n">
        <v>1109</v>
      </c>
      <c r="B7" s="14" t="n">
        <v>46204</v>
      </c>
      <c r="C7" s="17" t="n">
        <v>0.9166666666666666</v>
      </c>
      <c r="D7" s="17" t="n">
        <v>0.3958333333333333</v>
      </c>
      <c r="E7" t="inlineStr">
        <is>
          <t>Night</t>
        </is>
      </c>
      <c r="F7" t="inlineStr">
        <is>
          <t>Jul</t>
        </is>
      </c>
      <c r="G7" s="18">
        <f>IF(D7&lt;C7,D7+1-C7,D7-C7)*24</f>
        <v/>
      </c>
      <c r="H7" s="18">
        <f>MAX(0,G7-8)</f>
        <v/>
      </c>
    </row>
    <row r="8">
      <c r="A8" t="n">
        <v>1110</v>
      </c>
      <c r="B8" s="14" t="n">
        <v>46204</v>
      </c>
      <c r="C8" s="17" t="n">
        <v>0.9166666666666666</v>
      </c>
      <c r="D8" s="17" t="n">
        <v>0.3333333333333333</v>
      </c>
      <c r="E8" t="inlineStr">
        <is>
          <t>Night</t>
        </is>
      </c>
      <c r="F8" t="inlineStr">
        <is>
          <t>Jul</t>
        </is>
      </c>
      <c r="G8" s="18">
        <f>IF(D8&lt;C8,D8+1-C8,D8-C8)*24</f>
        <v/>
      </c>
      <c r="H8" s="18">
        <f>MAX(0,G8-8)</f>
        <v/>
      </c>
    </row>
    <row r="9">
      <c r="A9" t="n">
        <v>1111</v>
      </c>
      <c r="B9" s="14" t="n">
        <v>46204</v>
      </c>
      <c r="C9" s="17" t="n">
        <v>0.9270833333333334</v>
      </c>
      <c r="D9" s="17" t="n">
        <v>0.3229166666666667</v>
      </c>
      <c r="E9" t="inlineStr">
        <is>
          <t>Night</t>
        </is>
      </c>
      <c r="F9" t="inlineStr">
        <is>
          <t>Jul</t>
        </is>
      </c>
      <c r="G9" s="18">
        <f>IF(D9&lt;C9,D9+1-C9,D9-C9)*24</f>
        <v/>
      </c>
      <c r="H9" s="18">
        <f>MAX(0,G9-8)</f>
        <v/>
      </c>
    </row>
    <row r="10">
      <c r="A10" t="n">
        <v>1112</v>
      </c>
      <c r="B10" s="14" t="n">
        <v>46204</v>
      </c>
      <c r="C10" s="17" t="n">
        <v>0.9270833333333334</v>
      </c>
      <c r="D10" s="17" t="n">
        <v>0.3229166666666667</v>
      </c>
      <c r="E10" t="inlineStr">
        <is>
          <t>Night</t>
        </is>
      </c>
      <c r="F10" t="inlineStr">
        <is>
          <t>Jul</t>
        </is>
      </c>
      <c r="G10" s="18">
        <f>IF(D10&lt;C10,D10+1-C10,D10-C10)*24</f>
        <v/>
      </c>
      <c r="H10" s="18">
        <f>MAX(0,G10-8)</f>
        <v/>
      </c>
    </row>
    <row r="11">
      <c r="A11" t="n">
        <v>1113</v>
      </c>
      <c r="B11" s="14" t="n">
        <v>46204</v>
      </c>
      <c r="C11" s="17" t="n">
        <v>0.9270833333333334</v>
      </c>
      <c r="D11" s="17" t="n">
        <v>0.2604166666666667</v>
      </c>
      <c r="E11" t="inlineStr">
        <is>
          <t>Night</t>
        </is>
      </c>
      <c r="F11" t="inlineStr">
        <is>
          <t>Jul</t>
        </is>
      </c>
      <c r="G11" s="18">
        <f>IF(D11&lt;C11,D11+1-C11,D11-C11)*24</f>
        <v/>
      </c>
      <c r="H11" s="18">
        <f>MAX(0,G11-8)</f>
        <v/>
      </c>
    </row>
    <row r="12">
      <c r="A12" t="n">
        <v>1115</v>
      </c>
      <c r="B12" s="14" t="n">
        <v>46204</v>
      </c>
      <c r="C12" s="17" t="n">
        <v>0.9375</v>
      </c>
      <c r="D12" s="17" t="n">
        <v>0.4166666666666667</v>
      </c>
      <c r="E12" t="inlineStr">
        <is>
          <t>Night</t>
        </is>
      </c>
      <c r="F12" t="inlineStr">
        <is>
          <t>Jul</t>
        </is>
      </c>
      <c r="G12" s="18">
        <f>IF(D12&lt;C12,D12+1-C12,D12-C12)*24</f>
        <v/>
      </c>
      <c r="H12" s="18">
        <f>MAX(0,G12-8)</f>
        <v/>
      </c>
    </row>
    <row r="13">
      <c r="A13" t="n">
        <v>1117</v>
      </c>
      <c r="B13" s="14" t="n">
        <v>46204</v>
      </c>
      <c r="C13" s="17" t="n">
        <v>0.9166666666666666</v>
      </c>
      <c r="D13" s="17" t="n">
        <v>0.3125</v>
      </c>
      <c r="E13" t="inlineStr">
        <is>
          <t>Night</t>
        </is>
      </c>
      <c r="F13" t="inlineStr">
        <is>
          <t>Jul</t>
        </is>
      </c>
      <c r="G13" s="18">
        <f>IF(D13&lt;C13,D13+1-C13,D13-C13)*24</f>
        <v/>
      </c>
      <c r="H13" s="18">
        <f>MAX(0,G13-8)</f>
        <v/>
      </c>
    </row>
    <row r="14">
      <c r="A14" t="n">
        <v>1118</v>
      </c>
      <c r="B14" s="14" t="n">
        <v>46204</v>
      </c>
      <c r="C14" s="17" t="n">
        <v>0.9166666666666666</v>
      </c>
      <c r="D14" s="17" t="n">
        <v>0.3541666666666667</v>
      </c>
      <c r="E14" t="inlineStr">
        <is>
          <t>Night</t>
        </is>
      </c>
      <c r="F14" t="inlineStr">
        <is>
          <t>Jul</t>
        </is>
      </c>
      <c r="G14" s="18">
        <f>IF(D14&lt;C14,D14+1-C14,D14-C14)*24</f>
        <v/>
      </c>
      <c r="H14" s="18">
        <f>MAX(0,G14-8)</f>
        <v/>
      </c>
    </row>
    <row r="15">
      <c r="A15" t="n">
        <v>1119</v>
      </c>
      <c r="B15" s="14" t="n">
        <v>46204</v>
      </c>
      <c r="C15" s="17" t="n">
        <v>0.9166666666666666</v>
      </c>
      <c r="D15" s="17" t="n">
        <v>0.25</v>
      </c>
      <c r="E15" t="inlineStr">
        <is>
          <t>Night</t>
        </is>
      </c>
      <c r="F15" t="inlineStr">
        <is>
          <t>Jul</t>
        </is>
      </c>
      <c r="G15" s="18">
        <f>IF(D15&lt;C15,D15+1-C15,D15-C15)*24</f>
        <v/>
      </c>
      <c r="H15" s="18">
        <f>MAX(0,G15-8)</f>
        <v/>
      </c>
    </row>
    <row r="16">
      <c r="A16" t="n">
        <v>1120</v>
      </c>
      <c r="B16" s="14" t="n">
        <v>46204</v>
      </c>
      <c r="C16" s="17" t="n">
        <v>0.9166666666666666</v>
      </c>
      <c r="D16" s="17" t="n">
        <v>0.2708333333333333</v>
      </c>
      <c r="E16" t="inlineStr">
        <is>
          <t>Night</t>
        </is>
      </c>
      <c r="F16" t="inlineStr">
        <is>
          <t>Jul</t>
        </is>
      </c>
      <c r="G16" s="18">
        <f>IF(D16&lt;C16,D16+1-C16,D16-C16)*24</f>
        <v/>
      </c>
      <c r="H16" s="18">
        <f>MAX(0,G16-8)</f>
        <v/>
      </c>
    </row>
    <row r="17">
      <c r="A17" t="n">
        <v>1121</v>
      </c>
      <c r="B17" s="14" t="n">
        <v>46204</v>
      </c>
      <c r="C17" s="17" t="n">
        <v>0.9270833333333334</v>
      </c>
      <c r="D17" s="17" t="n">
        <v>0.40625</v>
      </c>
      <c r="E17" t="inlineStr">
        <is>
          <t>Night</t>
        </is>
      </c>
      <c r="F17" t="inlineStr">
        <is>
          <t>Jul</t>
        </is>
      </c>
      <c r="G17" s="18">
        <f>IF(D17&lt;C17,D17+1-C17,D17-C17)*24</f>
        <v/>
      </c>
      <c r="H17" s="18">
        <f>MAX(0,G17-8)</f>
        <v/>
      </c>
    </row>
    <row r="18">
      <c r="A18" t="n">
        <v>1122</v>
      </c>
      <c r="B18" s="14" t="n">
        <v>46204</v>
      </c>
      <c r="C18" s="17" t="n">
        <v>0.9166666666666666</v>
      </c>
      <c r="D18" s="17" t="n">
        <v>0.3541666666666667</v>
      </c>
      <c r="E18" t="inlineStr">
        <is>
          <t>Night</t>
        </is>
      </c>
      <c r="F18" t="inlineStr">
        <is>
          <t>Jul</t>
        </is>
      </c>
      <c r="G18" s="18">
        <f>IF(D18&lt;C18,D18+1-C18,D18-C18)*24</f>
        <v/>
      </c>
      <c r="H18" s="18">
        <f>MAX(0,G18-8)</f>
        <v/>
      </c>
    </row>
    <row r="19">
      <c r="A19" t="n">
        <v>1123</v>
      </c>
      <c r="B19" s="14" t="n">
        <v>46204</v>
      </c>
      <c r="C19" s="17" t="n">
        <v>0.9375</v>
      </c>
      <c r="D19" s="17" t="n">
        <v>0.2916666666666667</v>
      </c>
      <c r="E19" t="inlineStr">
        <is>
          <t>Night</t>
        </is>
      </c>
      <c r="F19" t="inlineStr">
        <is>
          <t>Jul</t>
        </is>
      </c>
      <c r="G19" s="18">
        <f>IF(D19&lt;C19,D19+1-C19,D19-C19)*24</f>
        <v/>
      </c>
      <c r="H19" s="18">
        <f>MAX(0,G19-8)</f>
        <v/>
      </c>
    </row>
    <row r="20">
      <c r="A20" t="n">
        <v>1125</v>
      </c>
      <c r="B20" s="14" t="n">
        <v>46204</v>
      </c>
      <c r="C20" s="17" t="n">
        <v>0.9166666666666666</v>
      </c>
      <c r="D20" s="17" t="n">
        <v>0.3125</v>
      </c>
      <c r="E20" t="inlineStr">
        <is>
          <t>Night</t>
        </is>
      </c>
      <c r="F20" t="inlineStr">
        <is>
          <t>Jul</t>
        </is>
      </c>
      <c r="G20" s="18">
        <f>IF(D20&lt;C20,D20+1-C20,D20-C20)*24</f>
        <v/>
      </c>
      <c r="H20" s="18">
        <f>MAX(0,G20-8)</f>
        <v/>
      </c>
    </row>
    <row r="21">
      <c r="A21" t="n">
        <v>1128</v>
      </c>
      <c r="B21" s="14" t="n">
        <v>46204</v>
      </c>
      <c r="C21" s="17" t="n">
        <v>0.9166666666666666</v>
      </c>
      <c r="D21" s="17" t="n">
        <v>0.25</v>
      </c>
      <c r="E21" t="inlineStr">
        <is>
          <t>Night</t>
        </is>
      </c>
      <c r="F21" t="inlineStr">
        <is>
          <t>Jul</t>
        </is>
      </c>
      <c r="G21" s="18">
        <f>IF(D21&lt;C21,D21+1-C21,D21-C21)*24</f>
        <v/>
      </c>
      <c r="H21" s="18">
        <f>MAX(0,G21-8)</f>
        <v/>
      </c>
    </row>
    <row r="22">
      <c r="A22" t="n">
        <v>1130</v>
      </c>
      <c r="B22" s="14" t="n">
        <v>46204</v>
      </c>
      <c r="C22" s="17" t="n">
        <v>0.9166666666666666</v>
      </c>
      <c r="D22" s="17" t="n">
        <v>0.3125</v>
      </c>
      <c r="E22" t="inlineStr">
        <is>
          <t>Night</t>
        </is>
      </c>
      <c r="F22" t="inlineStr">
        <is>
          <t>Jul</t>
        </is>
      </c>
      <c r="G22" s="18">
        <f>IF(D22&lt;C22,D22+1-C22,D22-C22)*24</f>
        <v/>
      </c>
      <c r="H22" s="18">
        <f>MAX(0,G22-8)</f>
        <v/>
      </c>
    </row>
    <row r="23">
      <c r="A23" t="n">
        <v>1131</v>
      </c>
      <c r="B23" s="14" t="n">
        <v>46204</v>
      </c>
      <c r="C23" s="17" t="n">
        <v>0.9375</v>
      </c>
      <c r="D23" s="17" t="n">
        <v>0.2916666666666667</v>
      </c>
      <c r="E23" t="inlineStr">
        <is>
          <t>Night</t>
        </is>
      </c>
      <c r="F23" t="inlineStr">
        <is>
          <t>Jul</t>
        </is>
      </c>
      <c r="G23" s="18">
        <f>IF(D23&lt;C23,D23+1-C23,D23-C23)*24</f>
        <v/>
      </c>
      <c r="H23" s="18">
        <f>MAX(0,G23-8)</f>
        <v/>
      </c>
    </row>
    <row r="24">
      <c r="A24" t="n">
        <v>1133</v>
      </c>
      <c r="B24" s="14" t="n">
        <v>46204</v>
      </c>
      <c r="C24" s="17" t="n">
        <v>0.9166666666666666</v>
      </c>
      <c r="D24" s="17" t="n">
        <v>0.3541666666666667</v>
      </c>
      <c r="E24" t="inlineStr">
        <is>
          <t>Night</t>
        </is>
      </c>
      <c r="F24" t="inlineStr">
        <is>
          <t>Jul</t>
        </is>
      </c>
      <c r="G24" s="18">
        <f>IF(D24&lt;C24,D24+1-C24,D24-C24)*24</f>
        <v/>
      </c>
      <c r="H24" s="18">
        <f>MAX(0,G24-8)</f>
        <v/>
      </c>
    </row>
    <row r="25">
      <c r="A25" t="n">
        <v>1134</v>
      </c>
      <c r="B25" s="14" t="n">
        <v>46204</v>
      </c>
      <c r="C25" s="17" t="n">
        <v>0.9166666666666666</v>
      </c>
      <c r="D25" s="17" t="n">
        <v>0.25</v>
      </c>
      <c r="E25" t="inlineStr">
        <is>
          <t>Night</t>
        </is>
      </c>
      <c r="F25" t="inlineStr">
        <is>
          <t>Jul</t>
        </is>
      </c>
      <c r="G25" s="18">
        <f>IF(D25&lt;C25,D25+1-C25,D25-C25)*24</f>
        <v/>
      </c>
      <c r="H25" s="18">
        <f>MAX(0,G25-8)</f>
        <v/>
      </c>
    </row>
    <row r="26">
      <c r="A26" t="n">
        <v>1135</v>
      </c>
      <c r="B26" s="14" t="n">
        <v>46204</v>
      </c>
      <c r="C26" s="17" t="n">
        <v>0.9270833333333334</v>
      </c>
      <c r="D26" s="17" t="n">
        <v>0.3229166666666667</v>
      </c>
      <c r="E26" t="inlineStr">
        <is>
          <t>Night</t>
        </is>
      </c>
      <c r="F26" t="inlineStr">
        <is>
          <t>Jul</t>
        </is>
      </c>
      <c r="G26" s="18">
        <f>IF(D26&lt;C26,D26+1-C26,D26-C26)*24</f>
        <v/>
      </c>
      <c r="H26" s="18">
        <f>MAX(0,G26-8)</f>
        <v/>
      </c>
    </row>
    <row r="27">
      <c r="A27" t="n">
        <v>1136</v>
      </c>
      <c r="B27" s="14" t="n">
        <v>46204</v>
      </c>
      <c r="C27" s="17" t="n">
        <v>0.9270833333333334</v>
      </c>
      <c r="D27" s="17" t="n">
        <v>0.40625</v>
      </c>
      <c r="E27" t="inlineStr">
        <is>
          <t>Night</t>
        </is>
      </c>
      <c r="F27" t="inlineStr">
        <is>
          <t>Jul</t>
        </is>
      </c>
      <c r="G27" s="18">
        <f>IF(D27&lt;C27,D27+1-C27,D27-C27)*24</f>
        <v/>
      </c>
      <c r="H27" s="18">
        <f>MAX(0,G27-8)</f>
        <v/>
      </c>
    </row>
    <row r="28">
      <c r="A28" t="n">
        <v>1137</v>
      </c>
      <c r="B28" s="14" t="n">
        <v>46204</v>
      </c>
      <c r="C28" s="17" t="n">
        <v>0.9166666666666666</v>
      </c>
      <c r="D28" s="17" t="n">
        <v>0.375</v>
      </c>
      <c r="E28" t="inlineStr">
        <is>
          <t>Night</t>
        </is>
      </c>
      <c r="F28" t="inlineStr">
        <is>
          <t>Jul</t>
        </is>
      </c>
      <c r="G28" s="18">
        <f>IF(D28&lt;C28,D28+1-C28,D28-C28)*24</f>
        <v/>
      </c>
      <c r="H28" s="18">
        <f>MAX(0,G28-8)</f>
        <v/>
      </c>
    </row>
    <row r="29">
      <c r="A29" t="n">
        <v>1147</v>
      </c>
      <c r="B29" s="14" t="n">
        <v>46204</v>
      </c>
      <c r="C29" s="17" t="n">
        <v>0.9166666666666666</v>
      </c>
      <c r="D29" s="17" t="n">
        <v>0.2708333333333333</v>
      </c>
      <c r="E29" t="inlineStr">
        <is>
          <t>Night</t>
        </is>
      </c>
      <c r="F29" t="inlineStr">
        <is>
          <t>Jul</t>
        </is>
      </c>
      <c r="G29" s="18">
        <f>IF(D29&lt;C29,D29+1-C29,D29-C29)*24</f>
        <v/>
      </c>
      <c r="H29" s="18">
        <f>MAX(0,G29-8)</f>
        <v/>
      </c>
    </row>
    <row r="30">
      <c r="A30" t="n">
        <v>1103</v>
      </c>
      <c r="B30" s="14" t="n">
        <v>46204</v>
      </c>
      <c r="C30" s="17" t="n">
        <v>0.01041666666666667</v>
      </c>
      <c r="D30" s="17" t="n">
        <v>0.46875</v>
      </c>
      <c r="E30" t="inlineStr">
        <is>
          <t>Night</t>
        </is>
      </c>
      <c r="F30" t="inlineStr">
        <is>
          <t>Jul</t>
        </is>
      </c>
      <c r="G30" s="18">
        <f>IF(D30&lt;C30,D30+1-C30,D30-C30)*24</f>
        <v/>
      </c>
      <c r="H30" s="18">
        <f>MAX(0,G30-8)</f>
        <v/>
      </c>
    </row>
    <row r="31">
      <c r="A31" t="n">
        <v>1114</v>
      </c>
      <c r="B31" s="14" t="n">
        <v>46204</v>
      </c>
      <c r="C31" s="17" t="n">
        <v>0.02083333333333333</v>
      </c>
      <c r="D31" s="17" t="n">
        <v>0.5</v>
      </c>
      <c r="E31" t="inlineStr">
        <is>
          <t>Night</t>
        </is>
      </c>
      <c r="F31" t="inlineStr">
        <is>
          <t>Jul</t>
        </is>
      </c>
      <c r="G31" s="18">
        <f>IF(D31&lt;C31,D31+1-C31,D31-C31)*24</f>
        <v/>
      </c>
      <c r="H31" s="18">
        <f>MAX(0,G31-8)</f>
        <v/>
      </c>
    </row>
    <row r="32">
      <c r="A32" t="n">
        <v>1116</v>
      </c>
      <c r="B32" s="14" t="n">
        <v>46204</v>
      </c>
      <c r="C32" s="17" t="n">
        <v>0.01041666666666667</v>
      </c>
      <c r="D32" s="17" t="n">
        <v>0.34375</v>
      </c>
      <c r="E32" t="inlineStr">
        <is>
          <t>Night</t>
        </is>
      </c>
      <c r="F32" t="inlineStr">
        <is>
          <t>Jul</t>
        </is>
      </c>
      <c r="G32" s="18">
        <f>IF(D32&lt;C32,D32+1-C32,D32-C32)*24</f>
        <v/>
      </c>
      <c r="H32" s="18">
        <f>MAX(0,G32-8)</f>
        <v/>
      </c>
    </row>
    <row r="33">
      <c r="A33" t="n">
        <v>1124</v>
      </c>
      <c r="B33" s="14" t="n">
        <v>46204</v>
      </c>
      <c r="C33" s="17" t="n">
        <v>0.02083333333333333</v>
      </c>
      <c r="D33" s="17" t="n">
        <v>0.3541666666666667</v>
      </c>
      <c r="E33" t="inlineStr">
        <is>
          <t>Night</t>
        </is>
      </c>
      <c r="F33" t="inlineStr">
        <is>
          <t>Jul</t>
        </is>
      </c>
      <c r="G33" s="18">
        <f>IF(D33&lt;C33,D33+1-C33,D33-C33)*24</f>
        <v/>
      </c>
      <c r="H33" s="18">
        <f>MAX(0,G33-8)</f>
        <v/>
      </c>
    </row>
    <row r="34">
      <c r="A34" t="n">
        <v>1129</v>
      </c>
      <c r="B34" s="14" t="n">
        <v>46204</v>
      </c>
      <c r="C34" s="17" t="n">
        <v>0.01041666666666667</v>
      </c>
      <c r="D34" s="17" t="n">
        <v>0.3854166666666667</v>
      </c>
      <c r="E34" t="inlineStr">
        <is>
          <t>Night</t>
        </is>
      </c>
      <c r="F34" t="inlineStr">
        <is>
          <t>Jul</t>
        </is>
      </c>
      <c r="G34" s="18">
        <f>IF(D34&lt;C34,D34+1-C34,D34-C34)*24</f>
        <v/>
      </c>
      <c r="H34" s="18">
        <f>MAX(0,G34-8)</f>
        <v/>
      </c>
    </row>
    <row r="35">
      <c r="A35" t="n">
        <v>1201</v>
      </c>
      <c r="B35" s="14" t="n">
        <v>46204</v>
      </c>
      <c r="C35" s="17" t="n">
        <v>0.25</v>
      </c>
      <c r="D35" s="17" t="n">
        <v>0.6666666666666666</v>
      </c>
      <c r="E35" t="inlineStr">
        <is>
          <t>Day</t>
        </is>
      </c>
      <c r="F35" t="inlineStr">
        <is>
          <t>Jul</t>
        </is>
      </c>
      <c r="G35" s="18">
        <f>IF(D35&lt;C35,D35+1-C35,D35-C35)*24</f>
        <v/>
      </c>
      <c r="H35" s="18">
        <f>MAX(0,G35-8)</f>
        <v/>
      </c>
    </row>
    <row r="36">
      <c r="A36" t="n">
        <v>1202</v>
      </c>
      <c r="B36" s="14" t="n">
        <v>46204</v>
      </c>
      <c r="C36" s="17" t="n">
        <v>0.25</v>
      </c>
      <c r="D36" s="17" t="n">
        <v>0.5833333333333334</v>
      </c>
      <c r="E36" t="inlineStr">
        <is>
          <t>Day</t>
        </is>
      </c>
      <c r="F36" t="inlineStr">
        <is>
          <t>Jul</t>
        </is>
      </c>
      <c r="G36" s="18">
        <f>IF(D36&lt;C36,D36+1-C36,D36-C36)*24</f>
        <v/>
      </c>
      <c r="H36" s="18">
        <f>MAX(0,G36-8)</f>
        <v/>
      </c>
    </row>
    <row r="37">
      <c r="A37" t="n">
        <v>1203</v>
      </c>
      <c r="B37" s="14" t="n">
        <v>46204</v>
      </c>
      <c r="C37" s="17" t="n">
        <v>0.2708333333333333</v>
      </c>
      <c r="D37" s="17" t="n">
        <v>0.6458333333333334</v>
      </c>
      <c r="E37" t="inlineStr">
        <is>
          <t>Day</t>
        </is>
      </c>
      <c r="F37" t="inlineStr">
        <is>
          <t>Jul</t>
        </is>
      </c>
      <c r="G37" s="18">
        <f>IF(D37&lt;C37,D37+1-C37,D37-C37)*24</f>
        <v/>
      </c>
      <c r="H37" s="18">
        <f>MAX(0,G37-8)</f>
        <v/>
      </c>
    </row>
    <row r="38">
      <c r="A38" t="n">
        <v>1204</v>
      </c>
      <c r="B38" s="14" t="n">
        <v>46204</v>
      </c>
      <c r="C38" s="17" t="n">
        <v>0.25</v>
      </c>
      <c r="D38" s="17" t="n">
        <v>0.6666666666666666</v>
      </c>
      <c r="E38" t="inlineStr">
        <is>
          <t>Day</t>
        </is>
      </c>
      <c r="F38" t="inlineStr">
        <is>
          <t>Jul</t>
        </is>
      </c>
      <c r="G38" s="18">
        <f>IF(D38&lt;C38,D38+1-C38,D38-C38)*24</f>
        <v/>
      </c>
      <c r="H38" s="18">
        <f>MAX(0,G38-8)</f>
        <v/>
      </c>
    </row>
    <row r="39">
      <c r="A39" t="n">
        <v>1205</v>
      </c>
      <c r="B39" s="14" t="n">
        <v>46204</v>
      </c>
      <c r="C39" s="17" t="n">
        <v>0.2708333333333333</v>
      </c>
      <c r="D39" s="17" t="n">
        <v>0.6041666666666666</v>
      </c>
      <c r="E39" t="inlineStr">
        <is>
          <t>Day</t>
        </is>
      </c>
      <c r="F39" t="inlineStr">
        <is>
          <t>Jul</t>
        </is>
      </c>
      <c r="G39" s="18">
        <f>IF(D39&lt;C39,D39+1-C39,D39-C39)*24</f>
        <v/>
      </c>
      <c r="H39" s="18">
        <f>MAX(0,G39-8)</f>
        <v/>
      </c>
    </row>
    <row r="40">
      <c r="A40" t="n">
        <v>1206</v>
      </c>
      <c r="B40" s="14" t="n">
        <v>46204</v>
      </c>
      <c r="C40" s="17" t="n">
        <v>0.25</v>
      </c>
      <c r="D40" s="17" t="n">
        <v>0.6666666666666666</v>
      </c>
      <c r="E40" t="inlineStr">
        <is>
          <t>Day</t>
        </is>
      </c>
      <c r="F40" t="inlineStr">
        <is>
          <t>Jul</t>
        </is>
      </c>
      <c r="G40" s="18">
        <f>IF(D40&lt;C40,D40+1-C40,D40-C40)*24</f>
        <v/>
      </c>
      <c r="H40" s="18">
        <f>MAX(0,G40-8)</f>
        <v/>
      </c>
    </row>
    <row r="41">
      <c r="A41" t="n">
        <v>1207</v>
      </c>
      <c r="B41" s="14" t="n">
        <v>46204</v>
      </c>
      <c r="C41" s="17" t="n">
        <v>0.2708333333333333</v>
      </c>
      <c r="D41" s="17" t="n">
        <v>0.6041666666666666</v>
      </c>
      <c r="E41" t="inlineStr">
        <is>
          <t>Day</t>
        </is>
      </c>
      <c r="F41" t="inlineStr">
        <is>
          <t>Jul</t>
        </is>
      </c>
      <c r="G41" s="18">
        <f>IF(D41&lt;C41,D41+1-C41,D41-C41)*24</f>
        <v/>
      </c>
      <c r="H41" s="18">
        <f>MAX(0,G41-8)</f>
        <v/>
      </c>
    </row>
    <row r="42">
      <c r="A42" t="n">
        <v>1208</v>
      </c>
      <c r="B42" s="14" t="n">
        <v>46204</v>
      </c>
      <c r="C42" s="17" t="n">
        <v>0.2708333333333333</v>
      </c>
      <c r="D42" s="17" t="n">
        <v>0.625</v>
      </c>
      <c r="E42" t="inlineStr">
        <is>
          <t>Day</t>
        </is>
      </c>
      <c r="F42" t="inlineStr">
        <is>
          <t>Jul</t>
        </is>
      </c>
      <c r="G42" s="18">
        <f>IF(D42&lt;C42,D42+1-C42,D42-C42)*24</f>
        <v/>
      </c>
      <c r="H42" s="18">
        <f>MAX(0,G42-8)</f>
        <v/>
      </c>
    </row>
    <row r="43">
      <c r="A43" t="n">
        <v>1209</v>
      </c>
      <c r="B43" s="14" t="n">
        <v>46204</v>
      </c>
      <c r="C43" s="17" t="n">
        <v>0.25</v>
      </c>
      <c r="D43" s="17" t="n">
        <v>0.625</v>
      </c>
      <c r="E43" t="inlineStr">
        <is>
          <t>Day</t>
        </is>
      </c>
      <c r="F43" t="inlineStr">
        <is>
          <t>Jul</t>
        </is>
      </c>
      <c r="G43" s="18">
        <f>IF(D43&lt;C43,D43+1-C43,D43-C43)*24</f>
        <v/>
      </c>
      <c r="H43" s="18">
        <f>MAX(0,G43-8)</f>
        <v/>
      </c>
    </row>
    <row r="44">
      <c r="A44" t="n">
        <v>1210</v>
      </c>
      <c r="B44" s="14" t="n">
        <v>46204</v>
      </c>
      <c r="C44" s="17" t="n">
        <v>0.25</v>
      </c>
      <c r="D44" s="17" t="n">
        <v>0.625</v>
      </c>
      <c r="E44" t="inlineStr">
        <is>
          <t>Day</t>
        </is>
      </c>
      <c r="F44" t="inlineStr">
        <is>
          <t>Jul</t>
        </is>
      </c>
      <c r="G44" s="18">
        <f>IF(D44&lt;C44,D44+1-C44,D44-C44)*24</f>
        <v/>
      </c>
      <c r="H44" s="18">
        <f>MAX(0,G44-8)</f>
        <v/>
      </c>
    </row>
    <row r="45">
      <c r="A45" t="n">
        <v>1211</v>
      </c>
      <c r="B45" s="14" t="n">
        <v>46204</v>
      </c>
      <c r="C45" s="17" t="n">
        <v>0.25</v>
      </c>
      <c r="D45" s="17" t="n">
        <v>0.6041666666666666</v>
      </c>
      <c r="E45" t="inlineStr">
        <is>
          <t>Day</t>
        </is>
      </c>
      <c r="F45" t="inlineStr">
        <is>
          <t>Jul</t>
        </is>
      </c>
      <c r="G45" s="18">
        <f>IF(D45&lt;C45,D45+1-C45,D45-C45)*24</f>
        <v/>
      </c>
      <c r="H45" s="18">
        <f>MAX(0,G45-8)</f>
        <v/>
      </c>
    </row>
    <row r="46">
      <c r="A46" t="n">
        <v>1212</v>
      </c>
      <c r="B46" s="14" t="n">
        <v>46204</v>
      </c>
      <c r="C46" s="17" t="n">
        <v>0.2708333333333333</v>
      </c>
      <c r="D46" s="17" t="n">
        <v>0.6041666666666666</v>
      </c>
      <c r="E46" t="inlineStr">
        <is>
          <t>Day</t>
        </is>
      </c>
      <c r="F46" t="inlineStr">
        <is>
          <t>Jul</t>
        </is>
      </c>
      <c r="G46" s="18">
        <f>IF(D46&lt;C46,D46+1-C46,D46-C46)*24</f>
        <v/>
      </c>
      <c r="H46" s="18">
        <f>MAX(0,G46-8)</f>
        <v/>
      </c>
    </row>
    <row r="47">
      <c r="A47" t="n">
        <v>1213</v>
      </c>
      <c r="B47" s="14" t="n">
        <v>46204</v>
      </c>
      <c r="C47" s="17" t="n">
        <v>0.2708333333333333</v>
      </c>
      <c r="D47" s="17" t="n">
        <v>0.6875</v>
      </c>
      <c r="E47" t="inlineStr">
        <is>
          <t>Day</t>
        </is>
      </c>
      <c r="F47" t="inlineStr">
        <is>
          <t>Jul</t>
        </is>
      </c>
      <c r="G47" s="18">
        <f>IF(D47&lt;C47,D47+1-C47,D47-C47)*24</f>
        <v/>
      </c>
      <c r="H47" s="18">
        <f>MAX(0,G47-8)</f>
        <v/>
      </c>
    </row>
    <row r="48">
      <c r="A48" t="n">
        <v>1214</v>
      </c>
      <c r="B48" s="14" t="n">
        <v>46204</v>
      </c>
      <c r="C48" s="17" t="n">
        <v>0.25</v>
      </c>
      <c r="D48" s="17" t="n">
        <v>0.6041666666666666</v>
      </c>
      <c r="E48" t="inlineStr">
        <is>
          <t>Day</t>
        </is>
      </c>
      <c r="F48" t="inlineStr">
        <is>
          <t>Jul</t>
        </is>
      </c>
      <c r="G48" s="18">
        <f>IF(D48&lt;C48,D48+1-C48,D48-C48)*24</f>
        <v/>
      </c>
      <c r="H48" s="18">
        <f>MAX(0,G48-8)</f>
        <v/>
      </c>
    </row>
    <row r="49">
      <c r="A49" t="n">
        <v>1215</v>
      </c>
      <c r="B49" s="14" t="n">
        <v>46204</v>
      </c>
      <c r="C49" s="17" t="n">
        <v>0.2708333333333333</v>
      </c>
      <c r="D49" s="17" t="n">
        <v>0.6875</v>
      </c>
      <c r="E49" t="inlineStr">
        <is>
          <t>Day</t>
        </is>
      </c>
      <c r="F49" t="inlineStr">
        <is>
          <t>Jul</t>
        </is>
      </c>
      <c r="G49" s="18">
        <f>IF(D49&lt;C49,D49+1-C49,D49-C49)*24</f>
        <v/>
      </c>
      <c r="H49" s="18">
        <f>MAX(0,G49-8)</f>
        <v/>
      </c>
    </row>
    <row r="50">
      <c r="A50" t="n">
        <v>1216</v>
      </c>
      <c r="B50" s="14" t="n">
        <v>46204</v>
      </c>
      <c r="C50" s="17" t="n">
        <v>0.25</v>
      </c>
      <c r="D50" s="17" t="n">
        <v>0.5833333333333334</v>
      </c>
      <c r="E50" t="inlineStr">
        <is>
          <t>Day</t>
        </is>
      </c>
      <c r="F50" t="inlineStr">
        <is>
          <t>Jul</t>
        </is>
      </c>
      <c r="G50" s="18">
        <f>IF(D50&lt;C50,D50+1-C50,D50-C50)*24</f>
        <v/>
      </c>
      <c r="H50" s="18">
        <f>MAX(0,G50-8)</f>
        <v/>
      </c>
    </row>
    <row r="51">
      <c r="A51" t="n">
        <v>1217</v>
      </c>
      <c r="B51" s="14" t="n">
        <v>46204</v>
      </c>
      <c r="C51" s="17" t="n">
        <v>0.25</v>
      </c>
      <c r="D51" s="17" t="n">
        <v>0.6666666666666666</v>
      </c>
      <c r="E51" t="inlineStr">
        <is>
          <t>Day</t>
        </is>
      </c>
      <c r="F51" t="inlineStr">
        <is>
          <t>Jul</t>
        </is>
      </c>
      <c r="G51" s="18">
        <f>IF(D51&lt;C51,D51+1-C51,D51-C51)*24</f>
        <v/>
      </c>
      <c r="H51" s="18">
        <f>MAX(0,G51-8)</f>
        <v/>
      </c>
    </row>
    <row r="52">
      <c r="A52" t="n">
        <v>1218</v>
      </c>
      <c r="B52" s="14" t="n">
        <v>46204</v>
      </c>
      <c r="C52" s="17" t="n">
        <v>0.2708333333333333</v>
      </c>
      <c r="D52" s="17" t="n">
        <v>0.6458333333333334</v>
      </c>
      <c r="E52" t="inlineStr">
        <is>
          <t>Day</t>
        </is>
      </c>
      <c r="F52" t="inlineStr">
        <is>
          <t>Jul</t>
        </is>
      </c>
      <c r="G52" s="18">
        <f>IF(D52&lt;C52,D52+1-C52,D52-C52)*24</f>
        <v/>
      </c>
      <c r="H52" s="18">
        <f>MAX(0,G52-8)</f>
        <v/>
      </c>
    </row>
    <row r="53">
      <c r="A53" t="n">
        <v>1219</v>
      </c>
      <c r="B53" s="14" t="n">
        <v>46204</v>
      </c>
      <c r="C53" s="17" t="n">
        <v>0.25</v>
      </c>
      <c r="D53" s="17" t="n">
        <v>0.625</v>
      </c>
      <c r="E53" t="inlineStr">
        <is>
          <t>Day</t>
        </is>
      </c>
      <c r="F53" t="inlineStr">
        <is>
          <t>Jul</t>
        </is>
      </c>
      <c r="G53" s="18">
        <f>IF(D53&lt;C53,D53+1-C53,D53-C53)*24</f>
        <v/>
      </c>
      <c r="H53" s="18">
        <f>MAX(0,G53-8)</f>
        <v/>
      </c>
    </row>
    <row r="54">
      <c r="A54" t="n">
        <v>1220</v>
      </c>
      <c r="B54" s="14" t="n">
        <v>46204</v>
      </c>
      <c r="C54" s="17" t="n">
        <v>0.25</v>
      </c>
      <c r="D54" s="17" t="n">
        <v>0.6041666666666666</v>
      </c>
      <c r="E54" t="inlineStr">
        <is>
          <t>Day</t>
        </is>
      </c>
      <c r="F54" t="inlineStr">
        <is>
          <t>Jul</t>
        </is>
      </c>
      <c r="G54" s="18">
        <f>IF(D54&lt;C54,D54+1-C54,D54-C54)*24</f>
        <v/>
      </c>
      <c r="H54" s="18">
        <f>MAX(0,G54-8)</f>
        <v/>
      </c>
    </row>
    <row r="55">
      <c r="A55" t="n">
        <v>1101</v>
      </c>
      <c r="B55" s="14" t="n">
        <v>46205</v>
      </c>
      <c r="C55" s="17" t="n">
        <v>0.9166666666666666</v>
      </c>
      <c r="D55" s="17" t="n">
        <v>0.2708333333333333</v>
      </c>
      <c r="E55" t="inlineStr">
        <is>
          <t>Night</t>
        </is>
      </c>
      <c r="F55" t="inlineStr">
        <is>
          <t>Jul</t>
        </is>
      </c>
      <c r="G55" s="18">
        <f>IF(D55&lt;C55,D55+1-C55,D55-C55)*24</f>
        <v/>
      </c>
      <c r="H55" s="18">
        <f>MAX(0,G55-8)</f>
        <v/>
      </c>
    </row>
    <row r="56">
      <c r="A56" t="n">
        <v>1102</v>
      </c>
      <c r="B56" s="14" t="n">
        <v>46205</v>
      </c>
      <c r="C56" s="17" t="n">
        <v>0.9166666666666666</v>
      </c>
      <c r="D56" s="17" t="n">
        <v>0.3333333333333333</v>
      </c>
      <c r="E56" t="inlineStr">
        <is>
          <t>Night</t>
        </is>
      </c>
      <c r="F56" t="inlineStr">
        <is>
          <t>Jul</t>
        </is>
      </c>
      <c r="G56" s="18">
        <f>IF(D56&lt;C56,D56+1-C56,D56-C56)*24</f>
        <v/>
      </c>
      <c r="H56" s="18">
        <f>MAX(0,G56-8)</f>
        <v/>
      </c>
    </row>
    <row r="57">
      <c r="A57" t="n">
        <v>1103</v>
      </c>
      <c r="B57" s="14" t="n">
        <v>46205</v>
      </c>
      <c r="C57" s="17" t="n">
        <v>0.9166666666666666</v>
      </c>
      <c r="D57" s="17" t="n">
        <v>0.3333333333333333</v>
      </c>
      <c r="E57" t="inlineStr">
        <is>
          <t>Night</t>
        </is>
      </c>
      <c r="F57" t="inlineStr">
        <is>
          <t>Jul</t>
        </is>
      </c>
      <c r="G57" s="18">
        <f>IF(D57&lt;C57,D57+1-C57,D57-C57)*24</f>
        <v/>
      </c>
      <c r="H57" s="18">
        <f>MAX(0,G57-8)</f>
        <v/>
      </c>
    </row>
    <row r="58">
      <c r="A58" t="n">
        <v>1104</v>
      </c>
      <c r="B58" s="14" t="n">
        <v>46205</v>
      </c>
      <c r="C58" s="17" t="n">
        <v>0.9166666666666666</v>
      </c>
      <c r="D58" s="17" t="n">
        <v>0.375</v>
      </c>
      <c r="E58" t="inlineStr">
        <is>
          <t>Night</t>
        </is>
      </c>
      <c r="F58" t="inlineStr">
        <is>
          <t>Jul</t>
        </is>
      </c>
      <c r="G58" s="18">
        <f>IF(D58&lt;C58,D58+1-C58,D58-C58)*24</f>
        <v/>
      </c>
      <c r="H58" s="18">
        <f>MAX(0,G58-8)</f>
        <v/>
      </c>
    </row>
    <row r="59">
      <c r="A59" t="n">
        <v>1107</v>
      </c>
      <c r="B59" s="14" t="n">
        <v>46205</v>
      </c>
      <c r="C59" s="17" t="n">
        <v>0.9270833333333334</v>
      </c>
      <c r="D59" s="17" t="n">
        <v>0.40625</v>
      </c>
      <c r="E59" t="inlineStr">
        <is>
          <t>Night</t>
        </is>
      </c>
      <c r="F59" t="inlineStr">
        <is>
          <t>Jul</t>
        </is>
      </c>
      <c r="G59" s="18">
        <f>IF(D59&lt;C59,D59+1-C59,D59-C59)*24</f>
        <v/>
      </c>
      <c r="H59" s="18">
        <f>MAX(0,G59-8)</f>
        <v/>
      </c>
    </row>
    <row r="60">
      <c r="A60" t="n">
        <v>1108</v>
      </c>
      <c r="B60" s="14" t="n">
        <v>46205</v>
      </c>
      <c r="C60" s="17" t="n">
        <v>0.9270833333333334</v>
      </c>
      <c r="D60" s="17" t="n">
        <v>0.3020833333333333</v>
      </c>
      <c r="E60" t="inlineStr">
        <is>
          <t>Night</t>
        </is>
      </c>
      <c r="F60" t="inlineStr">
        <is>
          <t>Jul</t>
        </is>
      </c>
      <c r="G60" s="18">
        <f>IF(D60&lt;C60,D60+1-C60,D60-C60)*24</f>
        <v/>
      </c>
      <c r="H60" s="18">
        <f>MAX(0,G60-8)</f>
        <v/>
      </c>
    </row>
    <row r="61">
      <c r="A61" t="n">
        <v>1110</v>
      </c>
      <c r="B61" s="14" t="n">
        <v>46205</v>
      </c>
      <c r="C61" s="17" t="n">
        <v>0.9166666666666666</v>
      </c>
      <c r="D61" s="17" t="n">
        <v>0.2916666666666667</v>
      </c>
      <c r="E61" t="inlineStr">
        <is>
          <t>Night</t>
        </is>
      </c>
      <c r="F61" t="inlineStr">
        <is>
          <t>Jul</t>
        </is>
      </c>
      <c r="G61" s="18">
        <f>IF(D61&lt;C61,D61+1-C61,D61-C61)*24</f>
        <v/>
      </c>
      <c r="H61" s="18">
        <f>MAX(0,G61-8)</f>
        <v/>
      </c>
    </row>
    <row r="62">
      <c r="A62" t="n">
        <v>1111</v>
      </c>
      <c r="B62" s="14" t="n">
        <v>46205</v>
      </c>
      <c r="C62" s="17" t="n">
        <v>0.9166666666666666</v>
      </c>
      <c r="D62" s="17" t="n">
        <v>0.25</v>
      </c>
      <c r="E62" t="inlineStr">
        <is>
          <t>Night</t>
        </is>
      </c>
      <c r="F62" t="inlineStr">
        <is>
          <t>Jul</t>
        </is>
      </c>
      <c r="G62" s="18">
        <f>IF(D62&lt;C62,D62+1-C62,D62-C62)*24</f>
        <v/>
      </c>
      <c r="H62" s="18">
        <f>MAX(0,G62-8)</f>
        <v/>
      </c>
    </row>
    <row r="63">
      <c r="A63" t="n">
        <v>1112</v>
      </c>
      <c r="B63" s="14" t="n">
        <v>46205</v>
      </c>
      <c r="C63" s="17" t="n">
        <v>0.9166666666666666</v>
      </c>
      <c r="D63" s="17" t="n">
        <v>0.2916666666666667</v>
      </c>
      <c r="E63" t="inlineStr">
        <is>
          <t>Night</t>
        </is>
      </c>
      <c r="F63" t="inlineStr">
        <is>
          <t>Jul</t>
        </is>
      </c>
      <c r="G63" s="18">
        <f>IF(D63&lt;C63,D63+1-C63,D63-C63)*24</f>
        <v/>
      </c>
      <c r="H63" s="18">
        <f>MAX(0,G63-8)</f>
        <v/>
      </c>
    </row>
    <row r="64">
      <c r="A64" t="n">
        <v>1114</v>
      </c>
      <c r="B64" s="14" t="n">
        <v>46205</v>
      </c>
      <c r="C64" s="17" t="n">
        <v>0.9166666666666666</v>
      </c>
      <c r="D64" s="17" t="n">
        <v>0.2708333333333333</v>
      </c>
      <c r="E64" t="inlineStr">
        <is>
          <t>Night</t>
        </is>
      </c>
      <c r="F64" t="inlineStr">
        <is>
          <t>Jul</t>
        </is>
      </c>
      <c r="G64" s="18">
        <f>IF(D64&lt;C64,D64+1-C64,D64-C64)*24</f>
        <v/>
      </c>
      <c r="H64" s="18">
        <f>MAX(0,G64-8)</f>
        <v/>
      </c>
    </row>
    <row r="65">
      <c r="A65" t="n">
        <v>1115</v>
      </c>
      <c r="B65" s="14" t="n">
        <v>46205</v>
      </c>
      <c r="C65" s="17" t="n">
        <v>0.9166666666666666</v>
      </c>
      <c r="D65" s="17" t="n">
        <v>0.3333333333333333</v>
      </c>
      <c r="E65" t="inlineStr">
        <is>
          <t>Night</t>
        </is>
      </c>
      <c r="F65" t="inlineStr">
        <is>
          <t>Jul</t>
        </is>
      </c>
      <c r="G65" s="18">
        <f>IF(D65&lt;C65,D65+1-C65,D65-C65)*24</f>
        <v/>
      </c>
      <c r="H65" s="18">
        <f>MAX(0,G65-8)</f>
        <v/>
      </c>
    </row>
    <row r="66">
      <c r="A66" t="n">
        <v>1116</v>
      </c>
      <c r="B66" s="14" t="n">
        <v>46205</v>
      </c>
      <c r="C66" s="17" t="n">
        <v>0.9270833333333334</v>
      </c>
      <c r="D66" s="17" t="n">
        <v>0.3020833333333333</v>
      </c>
      <c r="E66" t="inlineStr">
        <is>
          <t>Night</t>
        </is>
      </c>
      <c r="F66" t="inlineStr">
        <is>
          <t>Jul</t>
        </is>
      </c>
      <c r="G66" s="18">
        <f>IF(D66&lt;C66,D66+1-C66,D66-C66)*24</f>
        <v/>
      </c>
      <c r="H66" s="18">
        <f>MAX(0,G66-8)</f>
        <v/>
      </c>
    </row>
    <row r="67">
      <c r="A67" t="n">
        <v>1117</v>
      </c>
      <c r="B67" s="14" t="n">
        <v>46205</v>
      </c>
      <c r="C67" s="17" t="n">
        <v>0.9166666666666666</v>
      </c>
      <c r="D67" s="17" t="n">
        <v>0.2916666666666667</v>
      </c>
      <c r="E67" t="inlineStr">
        <is>
          <t>Night</t>
        </is>
      </c>
      <c r="F67" t="inlineStr">
        <is>
          <t>Jul</t>
        </is>
      </c>
      <c r="G67" s="18">
        <f>IF(D67&lt;C67,D67+1-C67,D67-C67)*24</f>
        <v/>
      </c>
      <c r="H67" s="18">
        <f>MAX(0,G67-8)</f>
        <v/>
      </c>
    </row>
    <row r="68">
      <c r="A68" t="n">
        <v>1118</v>
      </c>
      <c r="B68" s="14" t="n">
        <v>46205</v>
      </c>
      <c r="C68" s="17" t="n">
        <v>0.9270833333333334</v>
      </c>
      <c r="D68" s="17" t="n">
        <v>0.28125</v>
      </c>
      <c r="E68" t="inlineStr">
        <is>
          <t>Night</t>
        </is>
      </c>
      <c r="F68" t="inlineStr">
        <is>
          <t>Jul</t>
        </is>
      </c>
      <c r="G68" s="18">
        <f>IF(D68&lt;C68,D68+1-C68,D68-C68)*24</f>
        <v/>
      </c>
      <c r="H68" s="18">
        <f>MAX(0,G68-8)</f>
        <v/>
      </c>
    </row>
    <row r="69">
      <c r="A69" t="n">
        <v>1119</v>
      </c>
      <c r="B69" s="14" t="n">
        <v>46205</v>
      </c>
      <c r="C69" s="17" t="n">
        <v>0.9166666666666666</v>
      </c>
      <c r="D69" s="17" t="n">
        <v>0.25</v>
      </c>
      <c r="E69" t="inlineStr">
        <is>
          <t>Night</t>
        </is>
      </c>
      <c r="F69" t="inlineStr">
        <is>
          <t>Jul</t>
        </is>
      </c>
      <c r="G69" s="18">
        <f>IF(D69&lt;C69,D69+1-C69,D69-C69)*24</f>
        <v/>
      </c>
      <c r="H69" s="18">
        <f>MAX(0,G69-8)</f>
        <v/>
      </c>
    </row>
    <row r="70">
      <c r="A70" t="n">
        <v>1120</v>
      </c>
      <c r="B70" s="14" t="n">
        <v>46205</v>
      </c>
      <c r="C70" s="17" t="n">
        <v>0.9166666666666666</v>
      </c>
      <c r="D70" s="17" t="n">
        <v>0.2916666666666667</v>
      </c>
      <c r="E70" t="inlineStr">
        <is>
          <t>Night</t>
        </is>
      </c>
      <c r="F70" t="inlineStr">
        <is>
          <t>Jul</t>
        </is>
      </c>
      <c r="G70" s="18">
        <f>IF(D70&lt;C70,D70+1-C70,D70-C70)*24</f>
        <v/>
      </c>
      <c r="H70" s="18">
        <f>MAX(0,G70-8)</f>
        <v/>
      </c>
    </row>
    <row r="71">
      <c r="A71" t="n">
        <v>1121</v>
      </c>
      <c r="B71" s="14" t="n">
        <v>46205</v>
      </c>
      <c r="C71" s="17" t="n">
        <v>0.9270833333333334</v>
      </c>
      <c r="D71" s="17" t="n">
        <v>0.28125</v>
      </c>
      <c r="E71" t="inlineStr">
        <is>
          <t>Night</t>
        </is>
      </c>
      <c r="F71" t="inlineStr">
        <is>
          <t>Jul</t>
        </is>
      </c>
      <c r="G71" s="18">
        <f>IF(D71&lt;C71,D71+1-C71,D71-C71)*24</f>
        <v/>
      </c>
      <c r="H71" s="18">
        <f>MAX(0,G71-8)</f>
        <v/>
      </c>
    </row>
    <row r="72">
      <c r="A72" t="n">
        <v>1122</v>
      </c>
      <c r="B72" s="14" t="n">
        <v>46205</v>
      </c>
      <c r="C72" s="17" t="n">
        <v>0.9375</v>
      </c>
      <c r="D72" s="17" t="n">
        <v>0.2708333333333333</v>
      </c>
      <c r="E72" t="inlineStr">
        <is>
          <t>Night</t>
        </is>
      </c>
      <c r="F72" t="inlineStr">
        <is>
          <t>Jul</t>
        </is>
      </c>
      <c r="G72" s="18">
        <f>IF(D72&lt;C72,D72+1-C72,D72-C72)*24</f>
        <v/>
      </c>
      <c r="H72" s="18">
        <f>MAX(0,G72-8)</f>
        <v/>
      </c>
    </row>
    <row r="73">
      <c r="A73" t="n">
        <v>1123</v>
      </c>
      <c r="B73" s="14" t="n">
        <v>46205</v>
      </c>
      <c r="C73" s="17" t="n">
        <v>0.9166666666666666</v>
      </c>
      <c r="D73" s="17" t="n">
        <v>0.25</v>
      </c>
      <c r="E73" t="inlineStr">
        <is>
          <t>Night</t>
        </is>
      </c>
      <c r="F73" t="inlineStr">
        <is>
          <t>Jul</t>
        </is>
      </c>
      <c r="G73" s="18">
        <f>IF(D73&lt;C73,D73+1-C73,D73-C73)*24</f>
        <v/>
      </c>
      <c r="H73" s="18">
        <f>MAX(0,G73-8)</f>
        <v/>
      </c>
    </row>
    <row r="74">
      <c r="A74" t="n">
        <v>1124</v>
      </c>
      <c r="B74" s="14" t="n">
        <v>46205</v>
      </c>
      <c r="C74" s="17" t="n">
        <v>0.9166666666666666</v>
      </c>
      <c r="D74" s="17" t="n">
        <v>0.375</v>
      </c>
      <c r="E74" t="inlineStr">
        <is>
          <t>Night</t>
        </is>
      </c>
      <c r="F74" t="inlineStr">
        <is>
          <t>Jul</t>
        </is>
      </c>
      <c r="G74" s="18">
        <f>IF(D74&lt;C74,D74+1-C74,D74-C74)*24</f>
        <v/>
      </c>
      <c r="H74" s="18">
        <f>MAX(0,G74-8)</f>
        <v/>
      </c>
    </row>
    <row r="75">
      <c r="A75" t="n">
        <v>1128</v>
      </c>
      <c r="B75" s="14" t="n">
        <v>46205</v>
      </c>
      <c r="C75" s="17" t="n">
        <v>0.9375</v>
      </c>
      <c r="D75" s="17" t="n">
        <v>0.3541666666666667</v>
      </c>
      <c r="E75" t="inlineStr">
        <is>
          <t>Night</t>
        </is>
      </c>
      <c r="F75" t="inlineStr">
        <is>
          <t>Jul</t>
        </is>
      </c>
      <c r="G75" s="18">
        <f>IF(D75&lt;C75,D75+1-C75,D75-C75)*24</f>
        <v/>
      </c>
      <c r="H75" s="18">
        <f>MAX(0,G75-8)</f>
        <v/>
      </c>
    </row>
    <row r="76">
      <c r="A76" t="n">
        <v>1129</v>
      </c>
      <c r="B76" s="14" t="n">
        <v>46205</v>
      </c>
      <c r="C76" s="17" t="n">
        <v>0.9166666666666666</v>
      </c>
      <c r="D76" s="17" t="n">
        <v>0.3125</v>
      </c>
      <c r="E76" t="inlineStr">
        <is>
          <t>Night</t>
        </is>
      </c>
      <c r="F76" t="inlineStr">
        <is>
          <t>Jul</t>
        </is>
      </c>
      <c r="G76" s="18">
        <f>IF(D76&lt;C76,D76+1-C76,D76-C76)*24</f>
        <v/>
      </c>
      <c r="H76" s="18">
        <f>MAX(0,G76-8)</f>
        <v/>
      </c>
    </row>
    <row r="77">
      <c r="A77" t="n">
        <v>1130</v>
      </c>
      <c r="B77" s="14" t="n">
        <v>46205</v>
      </c>
      <c r="C77" s="17" t="n">
        <v>0.9166666666666666</v>
      </c>
      <c r="D77" s="17" t="n">
        <v>0.25</v>
      </c>
      <c r="E77" t="inlineStr">
        <is>
          <t>Night</t>
        </is>
      </c>
      <c r="F77" t="inlineStr">
        <is>
          <t>Jul</t>
        </is>
      </c>
      <c r="G77" s="18">
        <f>IF(D77&lt;C77,D77+1-C77,D77-C77)*24</f>
        <v/>
      </c>
      <c r="H77" s="18">
        <f>MAX(0,G77-8)</f>
        <v/>
      </c>
    </row>
    <row r="78">
      <c r="A78" t="n">
        <v>1131</v>
      </c>
      <c r="B78" s="14" t="n">
        <v>46205</v>
      </c>
      <c r="C78" s="17" t="n">
        <v>0.9166666666666666</v>
      </c>
      <c r="D78" s="17" t="n">
        <v>0.3333333333333333</v>
      </c>
      <c r="E78" t="inlineStr">
        <is>
          <t>Night</t>
        </is>
      </c>
      <c r="F78" t="inlineStr">
        <is>
          <t>Jul</t>
        </is>
      </c>
      <c r="G78" s="18">
        <f>IF(D78&lt;C78,D78+1-C78,D78-C78)*24</f>
        <v/>
      </c>
      <c r="H78" s="18">
        <f>MAX(0,G78-8)</f>
        <v/>
      </c>
    </row>
    <row r="79">
      <c r="A79" t="n">
        <v>1132</v>
      </c>
      <c r="B79" s="14" t="n">
        <v>46205</v>
      </c>
      <c r="C79" s="17" t="n">
        <v>0.9166666666666666</v>
      </c>
      <c r="D79" s="17" t="n">
        <v>0.3958333333333333</v>
      </c>
      <c r="E79" t="inlineStr">
        <is>
          <t>Night</t>
        </is>
      </c>
      <c r="F79" t="inlineStr">
        <is>
          <t>Jul</t>
        </is>
      </c>
      <c r="G79" s="18">
        <f>IF(D79&lt;C79,D79+1-C79,D79-C79)*24</f>
        <v/>
      </c>
      <c r="H79" s="18">
        <f>MAX(0,G79-8)</f>
        <v/>
      </c>
    </row>
    <row r="80">
      <c r="A80" t="n">
        <v>1134</v>
      </c>
      <c r="B80" s="14" t="n">
        <v>46205</v>
      </c>
      <c r="C80" s="17" t="n">
        <v>0.9166666666666666</v>
      </c>
      <c r="D80" s="17" t="n">
        <v>0.3958333333333333</v>
      </c>
      <c r="E80" t="inlineStr">
        <is>
          <t>Night</t>
        </is>
      </c>
      <c r="F80" t="inlineStr">
        <is>
          <t>Jul</t>
        </is>
      </c>
      <c r="G80" s="18">
        <f>IF(D80&lt;C80,D80+1-C80,D80-C80)*24</f>
        <v/>
      </c>
      <c r="H80" s="18">
        <f>MAX(0,G80-8)</f>
        <v/>
      </c>
    </row>
    <row r="81">
      <c r="A81" t="n">
        <v>1135</v>
      </c>
      <c r="B81" s="14" t="n">
        <v>46205</v>
      </c>
      <c r="C81" s="17" t="n">
        <v>0.9166666666666666</v>
      </c>
      <c r="D81" s="17" t="n">
        <v>0.3958333333333333</v>
      </c>
      <c r="E81" t="inlineStr">
        <is>
          <t>Night</t>
        </is>
      </c>
      <c r="F81" t="inlineStr">
        <is>
          <t>Jul</t>
        </is>
      </c>
      <c r="G81" s="18">
        <f>IF(D81&lt;C81,D81+1-C81,D81-C81)*24</f>
        <v/>
      </c>
      <c r="H81" s="18">
        <f>MAX(0,G81-8)</f>
        <v/>
      </c>
    </row>
    <row r="82">
      <c r="A82" t="n">
        <v>1136</v>
      </c>
      <c r="B82" s="14" t="n">
        <v>46205</v>
      </c>
      <c r="C82" s="17" t="n">
        <v>0.9375</v>
      </c>
      <c r="D82" s="17" t="n">
        <v>0.3958333333333333</v>
      </c>
      <c r="E82" t="inlineStr">
        <is>
          <t>Night</t>
        </is>
      </c>
      <c r="F82" t="inlineStr">
        <is>
          <t>Jul</t>
        </is>
      </c>
      <c r="G82" s="18">
        <f>IF(D82&lt;C82,D82+1-C82,D82-C82)*24</f>
        <v/>
      </c>
      <c r="H82" s="18">
        <f>MAX(0,G82-8)</f>
        <v/>
      </c>
    </row>
    <row r="83">
      <c r="A83" t="n">
        <v>1137</v>
      </c>
      <c r="B83" s="14" t="n">
        <v>46205</v>
      </c>
      <c r="C83" s="17" t="n">
        <v>0.9166666666666666</v>
      </c>
      <c r="D83" s="17" t="n">
        <v>0.3541666666666667</v>
      </c>
      <c r="E83" t="inlineStr">
        <is>
          <t>Night</t>
        </is>
      </c>
      <c r="F83" t="inlineStr">
        <is>
          <t>Jul</t>
        </is>
      </c>
      <c r="G83" s="18">
        <f>IF(D83&lt;C83,D83+1-C83,D83-C83)*24</f>
        <v/>
      </c>
      <c r="H83" s="18">
        <f>MAX(0,G83-8)</f>
        <v/>
      </c>
    </row>
    <row r="84">
      <c r="A84" t="n">
        <v>1147</v>
      </c>
      <c r="B84" s="14" t="n">
        <v>46205</v>
      </c>
      <c r="C84" s="17" t="n">
        <v>0.9166666666666666</v>
      </c>
      <c r="D84" s="17" t="n">
        <v>0.3958333333333333</v>
      </c>
      <c r="E84" t="inlineStr">
        <is>
          <t>Night</t>
        </is>
      </c>
      <c r="F84" t="inlineStr">
        <is>
          <t>Jul</t>
        </is>
      </c>
      <c r="G84" s="18">
        <f>IF(D84&lt;C84,D84+1-C84,D84-C84)*24</f>
        <v/>
      </c>
      <c r="H84" s="18">
        <f>MAX(0,G84-8)</f>
        <v/>
      </c>
    </row>
    <row r="85">
      <c r="A85" t="n">
        <v>1125</v>
      </c>
      <c r="B85" s="14" t="n">
        <v>46205</v>
      </c>
      <c r="C85" s="17" t="n">
        <v>0.02083333333333333</v>
      </c>
      <c r="D85" s="17" t="n">
        <v>0.375</v>
      </c>
      <c r="E85" t="inlineStr">
        <is>
          <t>Night</t>
        </is>
      </c>
      <c r="F85" t="inlineStr">
        <is>
          <t>Jul</t>
        </is>
      </c>
      <c r="G85" s="18">
        <f>IF(D85&lt;C85,D85+1-C85,D85-C85)*24</f>
        <v/>
      </c>
      <c r="H85" s="18">
        <f>MAX(0,G85-8)</f>
        <v/>
      </c>
    </row>
    <row r="86">
      <c r="A86" t="n">
        <v>1133</v>
      </c>
      <c r="B86" s="14" t="n">
        <v>46205</v>
      </c>
      <c r="C86" s="17" t="n">
        <v>0.01041666666666667</v>
      </c>
      <c r="D86" s="17" t="n">
        <v>0.34375</v>
      </c>
      <c r="E86" t="inlineStr">
        <is>
          <t>Night</t>
        </is>
      </c>
      <c r="F86" t="inlineStr">
        <is>
          <t>Jul</t>
        </is>
      </c>
      <c r="G86" s="18">
        <f>IF(D86&lt;C86,D86+1-C86,D86-C86)*24</f>
        <v/>
      </c>
      <c r="H86" s="18">
        <f>MAX(0,G86-8)</f>
        <v/>
      </c>
    </row>
    <row r="87">
      <c r="A87" t="n">
        <v>1201</v>
      </c>
      <c r="B87" s="14" t="n">
        <v>46205</v>
      </c>
      <c r="C87" s="17" t="n">
        <v>0.2708333333333333</v>
      </c>
      <c r="D87" s="17" t="n">
        <v>0.625</v>
      </c>
      <c r="E87" t="inlineStr">
        <is>
          <t>Day</t>
        </is>
      </c>
      <c r="F87" t="inlineStr">
        <is>
          <t>Jul</t>
        </is>
      </c>
      <c r="G87" s="18">
        <f>IF(D87&lt;C87,D87+1-C87,D87-C87)*24</f>
        <v/>
      </c>
      <c r="H87" s="18">
        <f>MAX(0,G87-8)</f>
        <v/>
      </c>
    </row>
    <row r="88">
      <c r="A88" t="n">
        <v>1202</v>
      </c>
      <c r="B88" s="14" t="n">
        <v>46205</v>
      </c>
      <c r="C88" s="17" t="n">
        <v>0.25</v>
      </c>
      <c r="D88" s="17" t="n">
        <v>0.625</v>
      </c>
      <c r="E88" t="inlineStr">
        <is>
          <t>Day</t>
        </is>
      </c>
      <c r="F88" t="inlineStr">
        <is>
          <t>Jul</t>
        </is>
      </c>
      <c r="G88" s="18">
        <f>IF(D88&lt;C88,D88+1-C88,D88-C88)*24</f>
        <v/>
      </c>
      <c r="H88" s="18">
        <f>MAX(0,G88-8)</f>
        <v/>
      </c>
    </row>
    <row r="89">
      <c r="A89" t="n">
        <v>1203</v>
      </c>
      <c r="B89" s="14" t="n">
        <v>46205</v>
      </c>
      <c r="C89" s="17" t="n">
        <v>0.2708333333333333</v>
      </c>
      <c r="D89" s="17" t="n">
        <v>0.6041666666666666</v>
      </c>
      <c r="E89" t="inlineStr">
        <is>
          <t>Day</t>
        </is>
      </c>
      <c r="F89" t="inlineStr">
        <is>
          <t>Jul</t>
        </is>
      </c>
      <c r="G89" s="18">
        <f>IF(D89&lt;C89,D89+1-C89,D89-C89)*24</f>
        <v/>
      </c>
      <c r="H89" s="18">
        <f>MAX(0,G89-8)</f>
        <v/>
      </c>
    </row>
    <row r="90">
      <c r="A90" t="n">
        <v>1204</v>
      </c>
      <c r="B90" s="14" t="n">
        <v>46205</v>
      </c>
      <c r="C90" s="17" t="n">
        <v>0.25</v>
      </c>
      <c r="D90" s="17" t="n">
        <v>0.6041666666666666</v>
      </c>
      <c r="E90" t="inlineStr">
        <is>
          <t>Day</t>
        </is>
      </c>
      <c r="F90" t="inlineStr">
        <is>
          <t>Jul</t>
        </is>
      </c>
      <c r="G90" s="18">
        <f>IF(D90&lt;C90,D90+1-C90,D90-C90)*24</f>
        <v/>
      </c>
      <c r="H90" s="18">
        <f>MAX(0,G90-8)</f>
        <v/>
      </c>
    </row>
    <row r="91">
      <c r="A91" t="n">
        <v>1205</v>
      </c>
      <c r="B91" s="14" t="n">
        <v>46205</v>
      </c>
      <c r="C91" s="17" t="n">
        <v>0.25</v>
      </c>
      <c r="D91" s="17" t="n">
        <v>0.5833333333333334</v>
      </c>
      <c r="E91" t="inlineStr">
        <is>
          <t>Day</t>
        </is>
      </c>
      <c r="F91" t="inlineStr">
        <is>
          <t>Jul</t>
        </is>
      </c>
      <c r="G91" s="18">
        <f>IF(D91&lt;C91,D91+1-C91,D91-C91)*24</f>
        <v/>
      </c>
      <c r="H91" s="18">
        <f>MAX(0,G91-8)</f>
        <v/>
      </c>
    </row>
    <row r="92">
      <c r="A92" t="n">
        <v>1206</v>
      </c>
      <c r="B92" s="14" t="n">
        <v>46205</v>
      </c>
      <c r="C92" s="17" t="n">
        <v>0.2708333333333333</v>
      </c>
      <c r="D92" s="17" t="n">
        <v>0.6458333333333334</v>
      </c>
      <c r="E92" t="inlineStr">
        <is>
          <t>Day</t>
        </is>
      </c>
      <c r="F92" t="inlineStr">
        <is>
          <t>Jul</t>
        </is>
      </c>
      <c r="G92" s="18">
        <f>IF(D92&lt;C92,D92+1-C92,D92-C92)*24</f>
        <v/>
      </c>
      <c r="H92" s="18">
        <f>MAX(0,G92-8)</f>
        <v/>
      </c>
    </row>
    <row r="93">
      <c r="A93" t="n">
        <v>1207</v>
      </c>
      <c r="B93" s="14" t="n">
        <v>46205</v>
      </c>
      <c r="C93" s="17" t="n">
        <v>0.2708333333333333</v>
      </c>
      <c r="D93" s="17" t="n">
        <v>0.625</v>
      </c>
      <c r="E93" t="inlineStr">
        <is>
          <t>Day</t>
        </is>
      </c>
      <c r="F93" t="inlineStr">
        <is>
          <t>Jul</t>
        </is>
      </c>
      <c r="G93" s="18">
        <f>IF(D93&lt;C93,D93+1-C93,D93-C93)*24</f>
        <v/>
      </c>
      <c r="H93" s="18">
        <f>MAX(0,G93-8)</f>
        <v/>
      </c>
    </row>
    <row r="94">
      <c r="A94" t="n">
        <v>1209</v>
      </c>
      <c r="B94" s="14" t="n">
        <v>46205</v>
      </c>
      <c r="C94" s="17" t="n">
        <v>0.25</v>
      </c>
      <c r="D94" s="17" t="n">
        <v>0.5833333333333334</v>
      </c>
      <c r="E94" t="inlineStr">
        <is>
          <t>Day</t>
        </is>
      </c>
      <c r="F94" t="inlineStr">
        <is>
          <t>Jul</t>
        </is>
      </c>
      <c r="G94" s="18">
        <f>IF(D94&lt;C94,D94+1-C94,D94-C94)*24</f>
        <v/>
      </c>
      <c r="H94" s="18">
        <f>MAX(0,G94-8)</f>
        <v/>
      </c>
    </row>
    <row r="95">
      <c r="A95" t="n">
        <v>1210</v>
      </c>
      <c r="B95" s="14" t="n">
        <v>46205</v>
      </c>
      <c r="C95" s="17" t="n">
        <v>0.25</v>
      </c>
      <c r="D95" s="17" t="n">
        <v>0.5833333333333334</v>
      </c>
      <c r="E95" t="inlineStr">
        <is>
          <t>Day</t>
        </is>
      </c>
      <c r="F95" t="inlineStr">
        <is>
          <t>Jul</t>
        </is>
      </c>
      <c r="G95" s="18">
        <f>IF(D95&lt;C95,D95+1-C95,D95-C95)*24</f>
        <v/>
      </c>
      <c r="H95" s="18">
        <f>MAX(0,G95-8)</f>
        <v/>
      </c>
    </row>
    <row r="96">
      <c r="A96" t="n">
        <v>1211</v>
      </c>
      <c r="B96" s="14" t="n">
        <v>46205</v>
      </c>
      <c r="C96" s="17" t="n">
        <v>0.25</v>
      </c>
      <c r="D96" s="17" t="n">
        <v>0.5833333333333334</v>
      </c>
      <c r="E96" t="inlineStr">
        <is>
          <t>Day</t>
        </is>
      </c>
      <c r="F96" t="inlineStr">
        <is>
          <t>Jul</t>
        </is>
      </c>
      <c r="G96" s="18">
        <f>IF(D96&lt;C96,D96+1-C96,D96-C96)*24</f>
        <v/>
      </c>
      <c r="H96" s="18">
        <f>MAX(0,G96-8)</f>
        <v/>
      </c>
    </row>
    <row r="97">
      <c r="A97" t="n">
        <v>1212</v>
      </c>
      <c r="B97" s="14" t="n">
        <v>46205</v>
      </c>
      <c r="C97" s="17" t="n">
        <v>0.25</v>
      </c>
      <c r="D97" s="17" t="n">
        <v>0.6041666666666666</v>
      </c>
      <c r="E97" t="inlineStr">
        <is>
          <t>Day</t>
        </is>
      </c>
      <c r="F97" t="inlineStr">
        <is>
          <t>Jul</t>
        </is>
      </c>
      <c r="G97" s="18">
        <f>IF(D97&lt;C97,D97+1-C97,D97-C97)*24</f>
        <v/>
      </c>
      <c r="H97" s="18">
        <f>MAX(0,G97-8)</f>
        <v/>
      </c>
    </row>
    <row r="98">
      <c r="A98" t="n">
        <v>1213</v>
      </c>
      <c r="B98" s="14" t="n">
        <v>46205</v>
      </c>
      <c r="C98" s="17" t="n">
        <v>0.25</v>
      </c>
      <c r="D98" s="17" t="n">
        <v>0.625</v>
      </c>
      <c r="E98" t="inlineStr">
        <is>
          <t>Day</t>
        </is>
      </c>
      <c r="F98" t="inlineStr">
        <is>
          <t>Jul</t>
        </is>
      </c>
      <c r="G98" s="18">
        <f>IF(D98&lt;C98,D98+1-C98,D98-C98)*24</f>
        <v/>
      </c>
      <c r="H98" s="18">
        <f>MAX(0,G98-8)</f>
        <v/>
      </c>
    </row>
    <row r="99">
      <c r="A99" t="n">
        <v>1214</v>
      </c>
      <c r="B99" s="14" t="n">
        <v>46205</v>
      </c>
      <c r="C99" s="17" t="n">
        <v>0.2708333333333333</v>
      </c>
      <c r="D99" s="17" t="n">
        <v>0.6041666666666666</v>
      </c>
      <c r="E99" t="inlineStr">
        <is>
          <t>Day</t>
        </is>
      </c>
      <c r="F99" t="inlineStr">
        <is>
          <t>Jul</t>
        </is>
      </c>
      <c r="G99" s="18">
        <f>IF(D99&lt;C99,D99+1-C99,D99-C99)*24</f>
        <v/>
      </c>
      <c r="H99" s="18">
        <f>MAX(0,G99-8)</f>
        <v/>
      </c>
    </row>
    <row r="100">
      <c r="A100" t="n">
        <v>1215</v>
      </c>
      <c r="B100" s="14" t="n">
        <v>46205</v>
      </c>
      <c r="C100" s="17" t="n">
        <v>0.2708333333333333</v>
      </c>
      <c r="D100" s="17" t="n">
        <v>0.625</v>
      </c>
      <c r="E100" t="inlineStr">
        <is>
          <t>Day</t>
        </is>
      </c>
      <c r="F100" t="inlineStr">
        <is>
          <t>Jul</t>
        </is>
      </c>
      <c r="G100" s="18">
        <f>IF(D100&lt;C100,D100+1-C100,D100-C100)*24</f>
        <v/>
      </c>
      <c r="H100" s="18">
        <f>MAX(0,G100-8)</f>
        <v/>
      </c>
    </row>
    <row r="101">
      <c r="A101" t="n">
        <v>1216</v>
      </c>
      <c r="B101" s="14" t="n">
        <v>46205</v>
      </c>
      <c r="C101" s="17" t="n">
        <v>0.25</v>
      </c>
      <c r="D101" s="17" t="n">
        <v>0.5833333333333334</v>
      </c>
      <c r="E101" t="inlineStr">
        <is>
          <t>Day</t>
        </is>
      </c>
      <c r="F101" t="inlineStr">
        <is>
          <t>Jul</t>
        </is>
      </c>
      <c r="G101" s="18">
        <f>IF(D101&lt;C101,D101+1-C101,D101-C101)*24</f>
        <v/>
      </c>
      <c r="H101" s="18">
        <f>MAX(0,G101-8)</f>
        <v/>
      </c>
    </row>
    <row r="102">
      <c r="A102" t="n">
        <v>1217</v>
      </c>
      <c r="B102" s="14" t="n">
        <v>46205</v>
      </c>
      <c r="C102" s="17" t="n">
        <v>0.2708333333333333</v>
      </c>
      <c r="D102" s="17" t="n">
        <v>0.6875</v>
      </c>
      <c r="E102" t="inlineStr">
        <is>
          <t>Day</t>
        </is>
      </c>
      <c r="F102" t="inlineStr">
        <is>
          <t>Jul</t>
        </is>
      </c>
      <c r="G102" s="18">
        <f>IF(D102&lt;C102,D102+1-C102,D102-C102)*24</f>
        <v/>
      </c>
      <c r="H102" s="18">
        <f>MAX(0,G102-8)</f>
        <v/>
      </c>
    </row>
    <row r="103">
      <c r="A103" t="n">
        <v>1218</v>
      </c>
      <c r="B103" s="14" t="n">
        <v>46205</v>
      </c>
      <c r="C103" s="17" t="n">
        <v>0.2708333333333333</v>
      </c>
      <c r="D103" s="17" t="n">
        <v>0.6041666666666666</v>
      </c>
      <c r="E103" t="inlineStr">
        <is>
          <t>Day</t>
        </is>
      </c>
      <c r="F103" t="inlineStr">
        <is>
          <t>Jul</t>
        </is>
      </c>
      <c r="G103" s="18">
        <f>IF(D103&lt;C103,D103+1-C103,D103-C103)*24</f>
        <v/>
      </c>
      <c r="H103" s="18">
        <f>MAX(0,G103-8)</f>
        <v/>
      </c>
    </row>
    <row r="104">
      <c r="A104" t="n">
        <v>1219</v>
      </c>
      <c r="B104" s="14" t="n">
        <v>46205</v>
      </c>
      <c r="C104" s="17" t="n">
        <v>0.25</v>
      </c>
      <c r="D104" s="17" t="n">
        <v>0.625</v>
      </c>
      <c r="E104" t="inlineStr">
        <is>
          <t>Day</t>
        </is>
      </c>
      <c r="F104" t="inlineStr">
        <is>
          <t>Jul</t>
        </is>
      </c>
      <c r="G104" s="18">
        <f>IF(D104&lt;C104,D104+1-C104,D104-C104)*24</f>
        <v/>
      </c>
      <c r="H104" s="18">
        <f>MAX(0,G104-8)</f>
        <v/>
      </c>
    </row>
    <row r="105">
      <c r="A105" t="n">
        <v>1220</v>
      </c>
      <c r="B105" s="14" t="n">
        <v>46205</v>
      </c>
      <c r="C105" s="17" t="n">
        <v>0.2708333333333333</v>
      </c>
      <c r="D105" s="17" t="n">
        <v>0.6875</v>
      </c>
      <c r="E105" t="inlineStr">
        <is>
          <t>Day</t>
        </is>
      </c>
      <c r="F105" t="inlineStr">
        <is>
          <t>Jul</t>
        </is>
      </c>
      <c r="G105" s="18">
        <f>IF(D105&lt;C105,D105+1-C105,D105-C105)*24</f>
        <v/>
      </c>
      <c r="H105" s="18">
        <f>MAX(0,G105-8)</f>
        <v/>
      </c>
    </row>
    <row r="106">
      <c r="A106" t="n">
        <v>1102</v>
      </c>
      <c r="B106" s="14" t="n">
        <v>46206</v>
      </c>
      <c r="C106" s="17" t="n">
        <v>0.9270833333333334</v>
      </c>
      <c r="D106" s="17" t="n">
        <v>0.3020833333333333</v>
      </c>
      <c r="E106" t="inlineStr">
        <is>
          <t>Night</t>
        </is>
      </c>
      <c r="F106" t="inlineStr">
        <is>
          <t>Jul</t>
        </is>
      </c>
      <c r="G106" s="18">
        <f>IF(D106&lt;C106,D106+1-C106,D106-C106)*24</f>
        <v/>
      </c>
      <c r="H106" s="18">
        <f>MAX(0,G106-8)</f>
        <v/>
      </c>
    </row>
    <row r="107">
      <c r="A107" t="n">
        <v>1103</v>
      </c>
      <c r="B107" s="14" t="n">
        <v>46206</v>
      </c>
      <c r="C107" s="17" t="n">
        <v>0.9270833333333334</v>
      </c>
      <c r="D107" s="17" t="n">
        <v>0.2604166666666667</v>
      </c>
      <c r="E107" t="inlineStr">
        <is>
          <t>Night</t>
        </is>
      </c>
      <c r="F107" t="inlineStr">
        <is>
          <t>Jul</t>
        </is>
      </c>
      <c r="G107" s="18">
        <f>IF(D107&lt;C107,D107+1-C107,D107-C107)*24</f>
        <v/>
      </c>
      <c r="H107" s="18">
        <f>MAX(0,G107-8)</f>
        <v/>
      </c>
    </row>
    <row r="108">
      <c r="A108" t="n">
        <v>1104</v>
      </c>
      <c r="B108" s="14" t="n">
        <v>46206</v>
      </c>
      <c r="C108" s="17" t="n">
        <v>0.9166666666666666</v>
      </c>
      <c r="D108" s="17" t="n">
        <v>0.2916666666666667</v>
      </c>
      <c r="E108" t="inlineStr">
        <is>
          <t>Night</t>
        </is>
      </c>
      <c r="F108" t="inlineStr">
        <is>
          <t>Jul</t>
        </is>
      </c>
      <c r="G108" s="18">
        <f>IF(D108&lt;C108,D108+1-C108,D108-C108)*24</f>
        <v/>
      </c>
      <c r="H108" s="18">
        <f>MAX(0,G108-8)</f>
        <v/>
      </c>
    </row>
    <row r="109">
      <c r="A109" t="n">
        <v>1108</v>
      </c>
      <c r="B109" s="14" t="n">
        <v>46206</v>
      </c>
      <c r="C109" s="17" t="n">
        <v>0.9270833333333334</v>
      </c>
      <c r="D109" s="17" t="n">
        <v>0.28125</v>
      </c>
      <c r="E109" t="inlineStr">
        <is>
          <t>Night</t>
        </is>
      </c>
      <c r="F109" t="inlineStr">
        <is>
          <t>Jul</t>
        </is>
      </c>
      <c r="G109" s="18">
        <f>IF(D109&lt;C109,D109+1-C109,D109-C109)*24</f>
        <v/>
      </c>
      <c r="H109" s="18">
        <f>MAX(0,G109-8)</f>
        <v/>
      </c>
    </row>
    <row r="110">
      <c r="A110" t="n">
        <v>1110</v>
      </c>
      <c r="B110" s="14" t="n">
        <v>46206</v>
      </c>
      <c r="C110" s="17" t="n">
        <v>0.9166666666666666</v>
      </c>
      <c r="D110" s="17" t="n">
        <v>0.3958333333333333</v>
      </c>
      <c r="E110" t="inlineStr">
        <is>
          <t>Night</t>
        </is>
      </c>
      <c r="F110" t="inlineStr">
        <is>
          <t>Jul</t>
        </is>
      </c>
      <c r="G110" s="18">
        <f>IF(D110&lt;C110,D110+1-C110,D110-C110)*24</f>
        <v/>
      </c>
      <c r="H110" s="18">
        <f>MAX(0,G110-8)</f>
        <v/>
      </c>
    </row>
    <row r="111">
      <c r="A111" t="n">
        <v>1111</v>
      </c>
      <c r="B111" s="14" t="n">
        <v>46206</v>
      </c>
      <c r="C111" s="17" t="n">
        <v>0.9166666666666666</v>
      </c>
      <c r="D111" s="17" t="n">
        <v>0.25</v>
      </c>
      <c r="E111" t="inlineStr">
        <is>
          <t>Night</t>
        </is>
      </c>
      <c r="F111" t="inlineStr">
        <is>
          <t>Jul</t>
        </is>
      </c>
      <c r="G111" s="18">
        <f>IF(D111&lt;C111,D111+1-C111,D111-C111)*24</f>
        <v/>
      </c>
      <c r="H111" s="18">
        <f>MAX(0,G111-8)</f>
        <v/>
      </c>
    </row>
    <row r="112">
      <c r="A112" t="n">
        <v>1112</v>
      </c>
      <c r="B112" s="14" t="n">
        <v>46206</v>
      </c>
      <c r="C112" s="17" t="n">
        <v>0.9270833333333334</v>
      </c>
      <c r="D112" s="17" t="n">
        <v>0.3854166666666667</v>
      </c>
      <c r="E112" t="inlineStr">
        <is>
          <t>Night</t>
        </is>
      </c>
      <c r="F112" t="inlineStr">
        <is>
          <t>Jul</t>
        </is>
      </c>
      <c r="G112" s="18">
        <f>IF(D112&lt;C112,D112+1-C112,D112-C112)*24</f>
        <v/>
      </c>
      <c r="H112" s="18">
        <f>MAX(0,G112-8)</f>
        <v/>
      </c>
    </row>
    <row r="113">
      <c r="A113" t="n">
        <v>1114</v>
      </c>
      <c r="B113" s="14" t="n">
        <v>46206</v>
      </c>
      <c r="C113" s="17" t="n">
        <v>0.9270833333333334</v>
      </c>
      <c r="D113" s="17" t="n">
        <v>0.2604166666666667</v>
      </c>
      <c r="E113" t="inlineStr">
        <is>
          <t>Night</t>
        </is>
      </c>
      <c r="F113" t="inlineStr">
        <is>
          <t>Jul</t>
        </is>
      </c>
      <c r="G113" s="18">
        <f>IF(D113&lt;C113,D113+1-C113,D113-C113)*24</f>
        <v/>
      </c>
      <c r="H113" s="18">
        <f>MAX(0,G113-8)</f>
        <v/>
      </c>
    </row>
    <row r="114">
      <c r="A114" t="n">
        <v>1116</v>
      </c>
      <c r="B114" s="14" t="n">
        <v>46206</v>
      </c>
      <c r="C114" s="17" t="n">
        <v>0.9375</v>
      </c>
      <c r="D114" s="17" t="n">
        <v>0.2708333333333333</v>
      </c>
      <c r="E114" t="inlineStr">
        <is>
          <t>Night</t>
        </is>
      </c>
      <c r="F114" t="inlineStr">
        <is>
          <t>Jul</t>
        </is>
      </c>
      <c r="G114" s="18">
        <f>IF(D114&lt;C114,D114+1-C114,D114-C114)*24</f>
        <v/>
      </c>
      <c r="H114" s="18">
        <f>MAX(0,G114-8)</f>
        <v/>
      </c>
    </row>
    <row r="115">
      <c r="A115" t="n">
        <v>1117</v>
      </c>
      <c r="B115" s="14" t="n">
        <v>46206</v>
      </c>
      <c r="C115" s="17" t="n">
        <v>0.9166666666666666</v>
      </c>
      <c r="D115" s="17" t="n">
        <v>0.3958333333333333</v>
      </c>
      <c r="E115" t="inlineStr">
        <is>
          <t>Night</t>
        </is>
      </c>
      <c r="F115" t="inlineStr">
        <is>
          <t>Jul</t>
        </is>
      </c>
      <c r="G115" s="18">
        <f>IF(D115&lt;C115,D115+1-C115,D115-C115)*24</f>
        <v/>
      </c>
      <c r="H115" s="18">
        <f>MAX(0,G115-8)</f>
        <v/>
      </c>
    </row>
    <row r="116">
      <c r="A116" t="n">
        <v>1118</v>
      </c>
      <c r="B116" s="14" t="n">
        <v>46206</v>
      </c>
      <c r="C116" s="17" t="n">
        <v>0.9270833333333334</v>
      </c>
      <c r="D116" s="17" t="n">
        <v>0.3854166666666667</v>
      </c>
      <c r="E116" t="inlineStr">
        <is>
          <t>Night</t>
        </is>
      </c>
      <c r="F116" t="inlineStr">
        <is>
          <t>Jul</t>
        </is>
      </c>
      <c r="G116" s="18">
        <f>IF(D116&lt;C116,D116+1-C116,D116-C116)*24</f>
        <v/>
      </c>
      <c r="H116" s="18">
        <f>MAX(0,G116-8)</f>
        <v/>
      </c>
    </row>
    <row r="117">
      <c r="A117" t="n">
        <v>1119</v>
      </c>
      <c r="B117" s="14" t="n">
        <v>46206</v>
      </c>
      <c r="C117" s="17" t="n">
        <v>0.9166666666666666</v>
      </c>
      <c r="D117" s="17" t="n">
        <v>0.3125</v>
      </c>
      <c r="E117" t="inlineStr">
        <is>
          <t>Night</t>
        </is>
      </c>
      <c r="F117" t="inlineStr">
        <is>
          <t>Jul</t>
        </is>
      </c>
      <c r="G117" s="18">
        <f>IF(D117&lt;C117,D117+1-C117,D117-C117)*24</f>
        <v/>
      </c>
      <c r="H117" s="18">
        <f>MAX(0,G117-8)</f>
        <v/>
      </c>
    </row>
    <row r="118">
      <c r="A118" t="n">
        <v>1120</v>
      </c>
      <c r="B118" s="14" t="n">
        <v>46206</v>
      </c>
      <c r="C118" s="17" t="n">
        <v>0.9166666666666666</v>
      </c>
      <c r="D118" s="17" t="n">
        <v>0.375</v>
      </c>
      <c r="E118" t="inlineStr">
        <is>
          <t>Night</t>
        </is>
      </c>
      <c r="F118" t="inlineStr">
        <is>
          <t>Jul</t>
        </is>
      </c>
      <c r="G118" s="18">
        <f>IF(D118&lt;C118,D118+1-C118,D118-C118)*24</f>
        <v/>
      </c>
      <c r="H118" s="18">
        <f>MAX(0,G118-8)</f>
        <v/>
      </c>
    </row>
    <row r="119">
      <c r="A119" t="n">
        <v>1121</v>
      </c>
      <c r="B119" s="14" t="n">
        <v>46206</v>
      </c>
      <c r="C119" s="17" t="n">
        <v>0.9375</v>
      </c>
      <c r="D119" s="17" t="n">
        <v>0.4166666666666667</v>
      </c>
      <c r="E119" t="inlineStr">
        <is>
          <t>Night</t>
        </is>
      </c>
      <c r="F119" t="inlineStr">
        <is>
          <t>Jul</t>
        </is>
      </c>
      <c r="G119" s="18">
        <f>IF(D119&lt;C119,D119+1-C119,D119-C119)*24</f>
        <v/>
      </c>
      <c r="H119" s="18">
        <f>MAX(0,G119-8)</f>
        <v/>
      </c>
    </row>
    <row r="120">
      <c r="A120" t="n">
        <v>1122</v>
      </c>
      <c r="B120" s="14" t="n">
        <v>46206</v>
      </c>
      <c r="C120" s="17" t="n">
        <v>0.9166666666666666</v>
      </c>
      <c r="D120" s="17" t="n">
        <v>0.375</v>
      </c>
      <c r="E120" t="inlineStr">
        <is>
          <t>Night</t>
        </is>
      </c>
      <c r="F120" t="inlineStr">
        <is>
          <t>Jul</t>
        </is>
      </c>
      <c r="G120" s="18">
        <f>IF(D120&lt;C120,D120+1-C120,D120-C120)*24</f>
        <v/>
      </c>
      <c r="H120" s="18">
        <f>MAX(0,G120-8)</f>
        <v/>
      </c>
    </row>
    <row r="121">
      <c r="A121" t="n">
        <v>1124</v>
      </c>
      <c r="B121" s="14" t="n">
        <v>46206</v>
      </c>
      <c r="C121" s="17" t="n">
        <v>0.9166666666666666</v>
      </c>
      <c r="D121" s="17" t="n">
        <v>0.2916666666666667</v>
      </c>
      <c r="E121" t="inlineStr">
        <is>
          <t>Night</t>
        </is>
      </c>
      <c r="F121" t="inlineStr">
        <is>
          <t>Jul</t>
        </is>
      </c>
      <c r="G121" s="18">
        <f>IF(D121&lt;C121,D121+1-C121,D121-C121)*24</f>
        <v/>
      </c>
      <c r="H121" s="18">
        <f>MAX(0,G121-8)</f>
        <v/>
      </c>
    </row>
    <row r="122">
      <c r="A122" t="n">
        <v>1125</v>
      </c>
      <c r="B122" s="14" t="n">
        <v>46206</v>
      </c>
      <c r="C122" s="17" t="n">
        <v>0.9166666666666666</v>
      </c>
      <c r="D122" s="17" t="n">
        <v>0.2708333333333333</v>
      </c>
      <c r="E122" t="inlineStr">
        <is>
          <t>Night</t>
        </is>
      </c>
      <c r="F122" t="inlineStr">
        <is>
          <t>Jul</t>
        </is>
      </c>
      <c r="G122" s="18">
        <f>IF(D122&lt;C122,D122+1-C122,D122-C122)*24</f>
        <v/>
      </c>
      <c r="H122" s="18">
        <f>MAX(0,G122-8)</f>
        <v/>
      </c>
    </row>
    <row r="123">
      <c r="A123" t="n">
        <v>1128</v>
      </c>
      <c r="B123" s="14" t="n">
        <v>46206</v>
      </c>
      <c r="C123" s="17" t="n">
        <v>0.9375</v>
      </c>
      <c r="D123" s="17" t="n">
        <v>0.2916666666666667</v>
      </c>
      <c r="E123" t="inlineStr">
        <is>
          <t>Night</t>
        </is>
      </c>
      <c r="F123" t="inlineStr">
        <is>
          <t>Jul</t>
        </is>
      </c>
      <c r="G123" s="18">
        <f>IF(D123&lt;C123,D123+1-C123,D123-C123)*24</f>
        <v/>
      </c>
      <c r="H123" s="18">
        <f>MAX(0,G123-8)</f>
        <v/>
      </c>
    </row>
    <row r="124">
      <c r="A124" t="n">
        <v>1130</v>
      </c>
      <c r="B124" s="14" t="n">
        <v>46206</v>
      </c>
      <c r="C124" s="17" t="n">
        <v>0.9270833333333334</v>
      </c>
      <c r="D124" s="17" t="n">
        <v>0.34375</v>
      </c>
      <c r="E124" t="inlineStr">
        <is>
          <t>Night</t>
        </is>
      </c>
      <c r="F124" t="inlineStr">
        <is>
          <t>Jul</t>
        </is>
      </c>
      <c r="G124" s="18">
        <f>IF(D124&lt;C124,D124+1-C124,D124-C124)*24</f>
        <v/>
      </c>
      <c r="H124" s="18">
        <f>MAX(0,G124-8)</f>
        <v/>
      </c>
    </row>
    <row r="125">
      <c r="A125" t="n">
        <v>1131</v>
      </c>
      <c r="B125" s="14" t="n">
        <v>46206</v>
      </c>
      <c r="C125" s="17" t="n">
        <v>0.9270833333333334</v>
      </c>
      <c r="D125" s="17" t="n">
        <v>0.3229166666666667</v>
      </c>
      <c r="E125" t="inlineStr">
        <is>
          <t>Night</t>
        </is>
      </c>
      <c r="F125" t="inlineStr">
        <is>
          <t>Jul</t>
        </is>
      </c>
      <c r="G125" s="18">
        <f>IF(D125&lt;C125,D125+1-C125,D125-C125)*24</f>
        <v/>
      </c>
      <c r="H125" s="18">
        <f>MAX(0,G125-8)</f>
        <v/>
      </c>
    </row>
    <row r="126">
      <c r="A126" t="n">
        <v>1132</v>
      </c>
      <c r="B126" s="14" t="n">
        <v>46206</v>
      </c>
      <c r="C126" s="17" t="n">
        <v>0.9166666666666666</v>
      </c>
      <c r="D126" s="17" t="n">
        <v>0.25</v>
      </c>
      <c r="E126" t="inlineStr">
        <is>
          <t>Night</t>
        </is>
      </c>
      <c r="F126" t="inlineStr">
        <is>
          <t>Jul</t>
        </is>
      </c>
      <c r="G126" s="18">
        <f>IF(D126&lt;C126,D126+1-C126,D126-C126)*24</f>
        <v/>
      </c>
      <c r="H126" s="18">
        <f>MAX(0,G126-8)</f>
        <v/>
      </c>
    </row>
    <row r="127">
      <c r="A127" t="n">
        <v>1134</v>
      </c>
      <c r="B127" s="14" t="n">
        <v>46206</v>
      </c>
      <c r="C127" s="17" t="n">
        <v>0.9375</v>
      </c>
      <c r="D127" s="17" t="n">
        <v>0.375</v>
      </c>
      <c r="E127" t="inlineStr">
        <is>
          <t>Night</t>
        </is>
      </c>
      <c r="F127" t="inlineStr">
        <is>
          <t>Jul</t>
        </is>
      </c>
      <c r="G127" s="18">
        <f>IF(D127&lt;C127,D127+1-C127,D127-C127)*24</f>
        <v/>
      </c>
      <c r="H127" s="18">
        <f>MAX(0,G127-8)</f>
        <v/>
      </c>
    </row>
    <row r="128">
      <c r="A128" t="n">
        <v>1135</v>
      </c>
      <c r="B128" s="14" t="n">
        <v>46206</v>
      </c>
      <c r="C128" s="17" t="n">
        <v>0.9166666666666666</v>
      </c>
      <c r="D128" s="17" t="n">
        <v>0.3958333333333333</v>
      </c>
      <c r="E128" t="inlineStr">
        <is>
          <t>Night</t>
        </is>
      </c>
      <c r="F128" t="inlineStr">
        <is>
          <t>Jul</t>
        </is>
      </c>
      <c r="G128" s="18">
        <f>IF(D128&lt;C128,D128+1-C128,D128-C128)*24</f>
        <v/>
      </c>
      <c r="H128" s="18">
        <f>MAX(0,G128-8)</f>
        <v/>
      </c>
    </row>
    <row r="129">
      <c r="A129" t="n">
        <v>1136</v>
      </c>
      <c r="B129" s="14" t="n">
        <v>46206</v>
      </c>
      <c r="C129" s="17" t="n">
        <v>0.9166666666666666</v>
      </c>
      <c r="D129" s="17" t="n">
        <v>0.2708333333333333</v>
      </c>
      <c r="E129" t="inlineStr">
        <is>
          <t>Night</t>
        </is>
      </c>
      <c r="F129" t="inlineStr">
        <is>
          <t>Jul</t>
        </is>
      </c>
      <c r="G129" s="18">
        <f>IF(D129&lt;C129,D129+1-C129,D129-C129)*24</f>
        <v/>
      </c>
      <c r="H129" s="18">
        <f>MAX(0,G129-8)</f>
        <v/>
      </c>
    </row>
    <row r="130">
      <c r="A130" t="n">
        <v>1137</v>
      </c>
      <c r="B130" s="14" t="n">
        <v>46206</v>
      </c>
      <c r="C130" s="17" t="n">
        <v>0.9270833333333334</v>
      </c>
      <c r="D130" s="17" t="n">
        <v>0.3020833333333333</v>
      </c>
      <c r="E130" t="inlineStr">
        <is>
          <t>Night</t>
        </is>
      </c>
      <c r="F130" t="inlineStr">
        <is>
          <t>Jul</t>
        </is>
      </c>
      <c r="G130" s="18">
        <f>IF(D130&lt;C130,D130+1-C130,D130-C130)*24</f>
        <v/>
      </c>
      <c r="H130" s="18">
        <f>MAX(0,G130-8)</f>
        <v/>
      </c>
    </row>
    <row r="131">
      <c r="A131" t="n">
        <v>1147</v>
      </c>
      <c r="B131" s="14" t="n">
        <v>46206</v>
      </c>
      <c r="C131" s="17" t="n">
        <v>0.9166666666666666</v>
      </c>
      <c r="D131" s="17" t="n">
        <v>0.375</v>
      </c>
      <c r="E131" t="inlineStr">
        <is>
          <t>Night</t>
        </is>
      </c>
      <c r="F131" t="inlineStr">
        <is>
          <t>Jul</t>
        </is>
      </c>
      <c r="G131" s="18">
        <f>IF(D131&lt;C131,D131+1-C131,D131-C131)*24</f>
        <v/>
      </c>
      <c r="H131" s="18">
        <f>MAX(0,G131-8)</f>
        <v/>
      </c>
    </row>
    <row r="132">
      <c r="A132" t="n">
        <v>1115</v>
      </c>
      <c r="B132" s="14" t="n">
        <v>46206</v>
      </c>
      <c r="C132" s="17" t="n">
        <v>0.01041666666666667</v>
      </c>
      <c r="D132" s="17" t="n">
        <v>0.34375</v>
      </c>
      <c r="E132" t="inlineStr">
        <is>
          <t>Night</t>
        </is>
      </c>
      <c r="F132" t="inlineStr">
        <is>
          <t>Jul</t>
        </is>
      </c>
      <c r="G132" s="18">
        <f>IF(D132&lt;C132,D132+1-C132,D132-C132)*24</f>
        <v/>
      </c>
      <c r="H132" s="18">
        <f>MAX(0,G132-8)</f>
        <v/>
      </c>
    </row>
    <row r="133">
      <c r="A133" t="n">
        <v>1129</v>
      </c>
      <c r="B133" s="14" t="n">
        <v>46206</v>
      </c>
      <c r="C133" s="17" t="n">
        <v>0.02083333333333333</v>
      </c>
      <c r="D133" s="17" t="n">
        <v>0.4166666666666667</v>
      </c>
      <c r="E133" t="inlineStr">
        <is>
          <t>Night</t>
        </is>
      </c>
      <c r="F133" t="inlineStr">
        <is>
          <t>Jul</t>
        </is>
      </c>
      <c r="G133" s="18">
        <f>IF(D133&lt;C133,D133+1-C133,D133-C133)*24</f>
        <v/>
      </c>
      <c r="H133" s="18">
        <f>MAX(0,G133-8)</f>
        <v/>
      </c>
    </row>
    <row r="134">
      <c r="A134" t="n">
        <v>1133</v>
      </c>
      <c r="B134" s="14" t="n">
        <v>46206</v>
      </c>
      <c r="C134" s="17" t="n">
        <v>0.01041666666666667</v>
      </c>
      <c r="D134" s="17" t="n">
        <v>0.34375</v>
      </c>
      <c r="E134" t="inlineStr">
        <is>
          <t>Night</t>
        </is>
      </c>
      <c r="F134" t="inlineStr">
        <is>
          <t>Jul</t>
        </is>
      </c>
      <c r="G134" s="18">
        <f>IF(D134&lt;C134,D134+1-C134,D134-C134)*24</f>
        <v/>
      </c>
      <c r="H134" s="18">
        <f>MAX(0,G134-8)</f>
        <v/>
      </c>
    </row>
    <row r="135">
      <c r="A135" t="n">
        <v>1201</v>
      </c>
      <c r="B135" s="14" t="n">
        <v>46206</v>
      </c>
      <c r="C135" s="17" t="n">
        <v>0.2708333333333333</v>
      </c>
      <c r="D135" s="17" t="n">
        <v>0.6875</v>
      </c>
      <c r="E135" t="inlineStr">
        <is>
          <t>Day</t>
        </is>
      </c>
      <c r="F135" t="inlineStr">
        <is>
          <t>Jul</t>
        </is>
      </c>
      <c r="G135" s="18">
        <f>IF(D135&lt;C135,D135+1-C135,D135-C135)*24</f>
        <v/>
      </c>
      <c r="H135" s="18">
        <f>MAX(0,G135-8)</f>
        <v/>
      </c>
    </row>
    <row r="136">
      <c r="A136" t="n">
        <v>1202</v>
      </c>
      <c r="B136" s="14" t="n">
        <v>46206</v>
      </c>
      <c r="C136" s="17" t="n">
        <v>0.25</v>
      </c>
      <c r="D136" s="17" t="n">
        <v>0.6666666666666666</v>
      </c>
      <c r="E136" t="inlineStr">
        <is>
          <t>Day</t>
        </is>
      </c>
      <c r="F136" t="inlineStr">
        <is>
          <t>Jul</t>
        </is>
      </c>
      <c r="G136" s="18">
        <f>IF(D136&lt;C136,D136+1-C136,D136-C136)*24</f>
        <v/>
      </c>
      <c r="H136" s="18">
        <f>MAX(0,G136-8)</f>
        <v/>
      </c>
    </row>
    <row r="137">
      <c r="A137" t="n">
        <v>1203</v>
      </c>
      <c r="B137" s="14" t="n">
        <v>46206</v>
      </c>
      <c r="C137" s="17" t="n">
        <v>0.25</v>
      </c>
      <c r="D137" s="17" t="n">
        <v>0.6041666666666666</v>
      </c>
      <c r="E137" t="inlineStr">
        <is>
          <t>Day</t>
        </is>
      </c>
      <c r="F137" t="inlineStr">
        <is>
          <t>Jul</t>
        </is>
      </c>
      <c r="G137" s="18">
        <f>IF(D137&lt;C137,D137+1-C137,D137-C137)*24</f>
        <v/>
      </c>
      <c r="H137" s="18">
        <f>MAX(0,G137-8)</f>
        <v/>
      </c>
    </row>
    <row r="138">
      <c r="A138" t="n">
        <v>1204</v>
      </c>
      <c r="B138" s="14" t="n">
        <v>46206</v>
      </c>
      <c r="C138" s="17" t="n">
        <v>0.25</v>
      </c>
      <c r="D138" s="17" t="n">
        <v>0.6666666666666666</v>
      </c>
      <c r="E138" t="inlineStr">
        <is>
          <t>Day</t>
        </is>
      </c>
      <c r="F138" t="inlineStr">
        <is>
          <t>Jul</t>
        </is>
      </c>
      <c r="G138" s="18">
        <f>IF(D138&lt;C138,D138+1-C138,D138-C138)*24</f>
        <v/>
      </c>
      <c r="H138" s="18">
        <f>MAX(0,G138-8)</f>
        <v/>
      </c>
    </row>
    <row r="139">
      <c r="A139" t="n">
        <v>1206</v>
      </c>
      <c r="B139" s="14" t="n">
        <v>46206</v>
      </c>
      <c r="C139" s="17" t="n">
        <v>0.2708333333333333</v>
      </c>
      <c r="D139" s="17" t="n">
        <v>0.6041666666666666</v>
      </c>
      <c r="E139" t="inlineStr">
        <is>
          <t>Day</t>
        </is>
      </c>
      <c r="F139" t="inlineStr">
        <is>
          <t>Jul</t>
        </is>
      </c>
      <c r="G139" s="18">
        <f>IF(D139&lt;C139,D139+1-C139,D139-C139)*24</f>
        <v/>
      </c>
      <c r="H139" s="18">
        <f>MAX(0,G139-8)</f>
        <v/>
      </c>
    </row>
    <row r="140">
      <c r="A140" t="n">
        <v>1207</v>
      </c>
      <c r="B140" s="14" t="n">
        <v>46206</v>
      </c>
      <c r="C140" s="17" t="n">
        <v>0.25</v>
      </c>
      <c r="D140" s="17" t="n">
        <v>0.6041666666666666</v>
      </c>
      <c r="E140" t="inlineStr">
        <is>
          <t>Day</t>
        </is>
      </c>
      <c r="F140" t="inlineStr">
        <is>
          <t>Jul</t>
        </is>
      </c>
      <c r="G140" s="18">
        <f>IF(D140&lt;C140,D140+1-C140,D140-C140)*24</f>
        <v/>
      </c>
      <c r="H140" s="18">
        <f>MAX(0,G140-8)</f>
        <v/>
      </c>
    </row>
    <row r="141">
      <c r="A141" t="n">
        <v>1208</v>
      </c>
      <c r="B141" s="14" t="n">
        <v>46206</v>
      </c>
      <c r="C141" s="17" t="n">
        <v>0.2708333333333333</v>
      </c>
      <c r="D141" s="17" t="n">
        <v>0.6458333333333334</v>
      </c>
      <c r="E141" t="inlineStr">
        <is>
          <t>Day</t>
        </is>
      </c>
      <c r="F141" t="inlineStr">
        <is>
          <t>Jul</t>
        </is>
      </c>
      <c r="G141" s="18">
        <f>IF(D141&lt;C141,D141+1-C141,D141-C141)*24</f>
        <v/>
      </c>
      <c r="H141" s="18">
        <f>MAX(0,G141-8)</f>
        <v/>
      </c>
    </row>
    <row r="142">
      <c r="A142" t="n">
        <v>1209</v>
      </c>
      <c r="B142" s="14" t="n">
        <v>46206</v>
      </c>
      <c r="C142" s="17" t="n">
        <v>0.2708333333333333</v>
      </c>
      <c r="D142" s="17" t="n">
        <v>0.6041666666666666</v>
      </c>
      <c r="E142" t="inlineStr">
        <is>
          <t>Day</t>
        </is>
      </c>
      <c r="F142" t="inlineStr">
        <is>
          <t>Jul</t>
        </is>
      </c>
      <c r="G142" s="18">
        <f>IF(D142&lt;C142,D142+1-C142,D142-C142)*24</f>
        <v/>
      </c>
      <c r="H142" s="18">
        <f>MAX(0,G142-8)</f>
        <v/>
      </c>
    </row>
    <row r="143">
      <c r="A143" t="n">
        <v>1210</v>
      </c>
      <c r="B143" s="14" t="n">
        <v>46206</v>
      </c>
      <c r="C143" s="17" t="n">
        <v>0.2708333333333333</v>
      </c>
      <c r="D143" s="17" t="n">
        <v>0.6041666666666666</v>
      </c>
      <c r="E143" t="inlineStr">
        <is>
          <t>Day</t>
        </is>
      </c>
      <c r="F143" t="inlineStr">
        <is>
          <t>Jul</t>
        </is>
      </c>
      <c r="G143" s="18">
        <f>IF(D143&lt;C143,D143+1-C143,D143-C143)*24</f>
        <v/>
      </c>
      <c r="H143" s="18">
        <f>MAX(0,G143-8)</f>
        <v/>
      </c>
    </row>
    <row r="144">
      <c r="A144" t="n">
        <v>1212</v>
      </c>
      <c r="B144" s="14" t="n">
        <v>46206</v>
      </c>
      <c r="C144" s="17" t="n">
        <v>0.25</v>
      </c>
      <c r="D144" s="17" t="n">
        <v>0.6041666666666666</v>
      </c>
      <c r="E144" t="inlineStr">
        <is>
          <t>Day</t>
        </is>
      </c>
      <c r="F144" t="inlineStr">
        <is>
          <t>Jul</t>
        </is>
      </c>
      <c r="G144" s="18">
        <f>IF(D144&lt;C144,D144+1-C144,D144-C144)*24</f>
        <v/>
      </c>
      <c r="H144" s="18">
        <f>MAX(0,G144-8)</f>
        <v/>
      </c>
    </row>
    <row r="145">
      <c r="A145" t="n">
        <v>1213</v>
      </c>
      <c r="B145" s="14" t="n">
        <v>46206</v>
      </c>
      <c r="C145" s="17" t="n">
        <v>0.2708333333333333</v>
      </c>
      <c r="D145" s="17" t="n">
        <v>0.6041666666666666</v>
      </c>
      <c r="E145" t="inlineStr">
        <is>
          <t>Day</t>
        </is>
      </c>
      <c r="F145" t="inlineStr">
        <is>
          <t>Jul</t>
        </is>
      </c>
      <c r="G145" s="18">
        <f>IF(D145&lt;C145,D145+1-C145,D145-C145)*24</f>
        <v/>
      </c>
      <c r="H145" s="18">
        <f>MAX(0,G145-8)</f>
        <v/>
      </c>
    </row>
    <row r="146">
      <c r="A146" t="n">
        <v>1214</v>
      </c>
      <c r="B146" s="14" t="n">
        <v>46206</v>
      </c>
      <c r="C146" s="17" t="n">
        <v>0.2708333333333333</v>
      </c>
      <c r="D146" s="17" t="n">
        <v>0.6041666666666666</v>
      </c>
      <c r="E146" t="inlineStr">
        <is>
          <t>Day</t>
        </is>
      </c>
      <c r="F146" t="inlineStr">
        <is>
          <t>Jul</t>
        </is>
      </c>
      <c r="G146" s="18">
        <f>IF(D146&lt;C146,D146+1-C146,D146-C146)*24</f>
        <v/>
      </c>
      <c r="H146" s="18">
        <f>MAX(0,G146-8)</f>
        <v/>
      </c>
    </row>
    <row r="147">
      <c r="A147" t="n">
        <v>1215</v>
      </c>
      <c r="B147" s="14" t="n">
        <v>46206</v>
      </c>
      <c r="C147" s="17" t="n">
        <v>0.2708333333333333</v>
      </c>
      <c r="D147" s="17" t="n">
        <v>0.6041666666666666</v>
      </c>
      <c r="E147" t="inlineStr">
        <is>
          <t>Day</t>
        </is>
      </c>
      <c r="F147" t="inlineStr">
        <is>
          <t>Jul</t>
        </is>
      </c>
      <c r="G147" s="18">
        <f>IF(D147&lt;C147,D147+1-C147,D147-C147)*24</f>
        <v/>
      </c>
      <c r="H147" s="18">
        <f>MAX(0,G147-8)</f>
        <v/>
      </c>
    </row>
    <row r="148">
      <c r="A148" t="n">
        <v>1216</v>
      </c>
      <c r="B148" s="14" t="n">
        <v>46206</v>
      </c>
      <c r="C148" s="17" t="n">
        <v>0.25</v>
      </c>
      <c r="D148" s="17" t="n">
        <v>0.5833333333333334</v>
      </c>
      <c r="E148" t="inlineStr">
        <is>
          <t>Day</t>
        </is>
      </c>
      <c r="F148" t="inlineStr">
        <is>
          <t>Jul</t>
        </is>
      </c>
      <c r="G148" s="18">
        <f>IF(D148&lt;C148,D148+1-C148,D148-C148)*24</f>
        <v/>
      </c>
      <c r="H148" s="18">
        <f>MAX(0,G148-8)</f>
        <v/>
      </c>
    </row>
    <row r="149">
      <c r="A149" t="n">
        <v>1217</v>
      </c>
      <c r="B149" s="14" t="n">
        <v>46206</v>
      </c>
      <c r="C149" s="17" t="n">
        <v>0.25</v>
      </c>
      <c r="D149" s="17" t="n">
        <v>0.5833333333333334</v>
      </c>
      <c r="E149" t="inlineStr">
        <is>
          <t>Day</t>
        </is>
      </c>
      <c r="F149" t="inlineStr">
        <is>
          <t>Jul</t>
        </is>
      </c>
      <c r="G149" s="18">
        <f>IF(D149&lt;C149,D149+1-C149,D149-C149)*24</f>
        <v/>
      </c>
      <c r="H149" s="18">
        <f>MAX(0,G149-8)</f>
        <v/>
      </c>
    </row>
    <row r="150">
      <c r="A150" t="n">
        <v>1218</v>
      </c>
      <c r="B150" s="14" t="n">
        <v>46206</v>
      </c>
      <c r="C150" s="17" t="n">
        <v>0.25</v>
      </c>
      <c r="D150" s="17" t="n">
        <v>0.5833333333333334</v>
      </c>
      <c r="E150" t="inlineStr">
        <is>
          <t>Day</t>
        </is>
      </c>
      <c r="F150" t="inlineStr">
        <is>
          <t>Jul</t>
        </is>
      </c>
      <c r="G150" s="18">
        <f>IF(D150&lt;C150,D150+1-C150,D150-C150)*24</f>
        <v/>
      </c>
      <c r="H150" s="18">
        <f>MAX(0,G150-8)</f>
        <v/>
      </c>
    </row>
    <row r="151">
      <c r="A151" t="n">
        <v>1219</v>
      </c>
      <c r="B151" s="14" t="n">
        <v>46206</v>
      </c>
      <c r="C151" s="17" t="n">
        <v>0.2708333333333333</v>
      </c>
      <c r="D151" s="17" t="n">
        <v>0.625</v>
      </c>
      <c r="E151" t="inlineStr">
        <is>
          <t>Day</t>
        </is>
      </c>
      <c r="F151" t="inlineStr">
        <is>
          <t>Jul</t>
        </is>
      </c>
      <c r="G151" s="18">
        <f>IF(D151&lt;C151,D151+1-C151,D151-C151)*24</f>
        <v/>
      </c>
      <c r="H151" s="18">
        <f>MAX(0,G151-8)</f>
        <v/>
      </c>
    </row>
    <row r="152">
      <c r="A152" t="n">
        <v>1220</v>
      </c>
      <c r="B152" s="14" t="n">
        <v>46206</v>
      </c>
      <c r="C152" s="17" t="n">
        <v>0.2708333333333333</v>
      </c>
      <c r="D152" s="17" t="n">
        <v>0.6875</v>
      </c>
      <c r="E152" t="inlineStr">
        <is>
          <t>Day</t>
        </is>
      </c>
      <c r="F152" t="inlineStr">
        <is>
          <t>Jul</t>
        </is>
      </c>
      <c r="G152" s="18">
        <f>IF(D152&lt;C152,D152+1-C152,D152-C152)*24</f>
        <v/>
      </c>
      <c r="H152" s="18">
        <f>MAX(0,G152-8)</f>
        <v/>
      </c>
    </row>
    <row r="153">
      <c r="A153" t="n">
        <v>1101</v>
      </c>
      <c r="B153" s="14" t="n">
        <v>46209</v>
      </c>
      <c r="C153" s="17" t="n">
        <v>0.9166666666666666</v>
      </c>
      <c r="D153" s="17" t="n">
        <v>0.3333333333333333</v>
      </c>
      <c r="E153" t="inlineStr">
        <is>
          <t>Night</t>
        </is>
      </c>
      <c r="F153" t="inlineStr">
        <is>
          <t>Jul</t>
        </is>
      </c>
      <c r="G153" s="18">
        <f>IF(D153&lt;C153,D153+1-C153,D153-C153)*24</f>
        <v/>
      </c>
      <c r="H153" s="18">
        <f>MAX(0,G153-8)</f>
        <v/>
      </c>
    </row>
    <row r="154">
      <c r="A154" t="n">
        <v>1102</v>
      </c>
      <c r="B154" s="14" t="n">
        <v>46209</v>
      </c>
      <c r="C154" s="17" t="n">
        <v>0.9270833333333334</v>
      </c>
      <c r="D154" s="17" t="n">
        <v>0.28125</v>
      </c>
      <c r="E154" t="inlineStr">
        <is>
          <t>Night</t>
        </is>
      </c>
      <c r="F154" t="inlineStr">
        <is>
          <t>Jul</t>
        </is>
      </c>
      <c r="G154" s="18">
        <f>IF(D154&lt;C154,D154+1-C154,D154-C154)*24</f>
        <v/>
      </c>
      <c r="H154" s="18">
        <f>MAX(0,G154-8)</f>
        <v/>
      </c>
    </row>
    <row r="155">
      <c r="A155" t="n">
        <v>1104</v>
      </c>
      <c r="B155" s="14" t="n">
        <v>46209</v>
      </c>
      <c r="C155" s="17" t="n">
        <v>0.9270833333333334</v>
      </c>
      <c r="D155" s="17" t="n">
        <v>0.3229166666666667</v>
      </c>
      <c r="E155" t="inlineStr">
        <is>
          <t>Night</t>
        </is>
      </c>
      <c r="F155" t="inlineStr">
        <is>
          <t>Jul</t>
        </is>
      </c>
      <c r="G155" s="18">
        <f>IF(D155&lt;C155,D155+1-C155,D155-C155)*24</f>
        <v/>
      </c>
      <c r="H155" s="18">
        <f>MAX(0,G155-8)</f>
        <v/>
      </c>
    </row>
    <row r="156">
      <c r="A156" t="n">
        <v>1107</v>
      </c>
      <c r="B156" s="14" t="n">
        <v>46209</v>
      </c>
      <c r="C156" s="17" t="n">
        <v>0.9375</v>
      </c>
      <c r="D156" s="17" t="n">
        <v>0.2708333333333333</v>
      </c>
      <c r="E156" t="inlineStr">
        <is>
          <t>Night</t>
        </is>
      </c>
      <c r="F156" t="inlineStr">
        <is>
          <t>Jul</t>
        </is>
      </c>
      <c r="G156" s="18">
        <f>IF(D156&lt;C156,D156+1-C156,D156-C156)*24</f>
        <v/>
      </c>
      <c r="H156" s="18">
        <f>MAX(0,G156-8)</f>
        <v/>
      </c>
    </row>
    <row r="157">
      <c r="A157" t="n">
        <v>1108</v>
      </c>
      <c r="B157" s="14" t="n">
        <v>46209</v>
      </c>
      <c r="C157" s="17" t="n">
        <v>0.9166666666666666</v>
      </c>
      <c r="D157" s="17" t="n">
        <v>0.3958333333333333</v>
      </c>
      <c r="E157" t="inlineStr">
        <is>
          <t>Night</t>
        </is>
      </c>
      <c r="F157" t="inlineStr">
        <is>
          <t>Jul</t>
        </is>
      </c>
      <c r="G157" s="18">
        <f>IF(D157&lt;C157,D157+1-C157,D157-C157)*24</f>
        <v/>
      </c>
      <c r="H157" s="18">
        <f>MAX(0,G157-8)</f>
        <v/>
      </c>
    </row>
    <row r="158">
      <c r="A158" t="n">
        <v>1109</v>
      </c>
      <c r="B158" s="14" t="n">
        <v>46209</v>
      </c>
      <c r="C158" s="17" t="n">
        <v>0.9166666666666666</v>
      </c>
      <c r="D158" s="17" t="n">
        <v>0.2708333333333333</v>
      </c>
      <c r="E158" t="inlineStr">
        <is>
          <t>Night</t>
        </is>
      </c>
      <c r="F158" t="inlineStr">
        <is>
          <t>Jul</t>
        </is>
      </c>
      <c r="G158" s="18">
        <f>IF(D158&lt;C158,D158+1-C158,D158-C158)*24</f>
        <v/>
      </c>
      <c r="H158" s="18">
        <f>MAX(0,G158-8)</f>
        <v/>
      </c>
    </row>
    <row r="159">
      <c r="A159" t="n">
        <v>1110</v>
      </c>
      <c r="B159" s="14" t="n">
        <v>46209</v>
      </c>
      <c r="C159" s="17" t="n">
        <v>0.9166666666666666</v>
      </c>
      <c r="D159" s="17" t="n">
        <v>0.2916666666666667</v>
      </c>
      <c r="E159" t="inlineStr">
        <is>
          <t>Night</t>
        </is>
      </c>
      <c r="F159" t="inlineStr">
        <is>
          <t>Jul</t>
        </is>
      </c>
      <c r="G159" s="18">
        <f>IF(D159&lt;C159,D159+1-C159,D159-C159)*24</f>
        <v/>
      </c>
      <c r="H159" s="18">
        <f>MAX(0,G159-8)</f>
        <v/>
      </c>
    </row>
    <row r="160">
      <c r="A160" t="n">
        <v>1111</v>
      </c>
      <c r="B160" s="14" t="n">
        <v>46209</v>
      </c>
      <c r="C160" s="17" t="n">
        <v>0.9270833333333334</v>
      </c>
      <c r="D160" s="17" t="n">
        <v>0.28125</v>
      </c>
      <c r="E160" t="inlineStr">
        <is>
          <t>Night</t>
        </is>
      </c>
      <c r="F160" t="inlineStr">
        <is>
          <t>Jul</t>
        </is>
      </c>
      <c r="G160" s="18">
        <f>IF(D160&lt;C160,D160+1-C160,D160-C160)*24</f>
        <v/>
      </c>
      <c r="H160" s="18">
        <f>MAX(0,G160-8)</f>
        <v/>
      </c>
    </row>
    <row r="161">
      <c r="A161" t="n">
        <v>1112</v>
      </c>
      <c r="B161" s="14" t="n">
        <v>46209</v>
      </c>
      <c r="C161" s="17" t="n">
        <v>0.9166666666666666</v>
      </c>
      <c r="D161" s="17" t="n">
        <v>0.2916666666666667</v>
      </c>
      <c r="E161" t="inlineStr">
        <is>
          <t>Night</t>
        </is>
      </c>
      <c r="F161" t="inlineStr">
        <is>
          <t>Jul</t>
        </is>
      </c>
      <c r="G161" s="18">
        <f>IF(D161&lt;C161,D161+1-C161,D161-C161)*24</f>
        <v/>
      </c>
      <c r="H161" s="18">
        <f>MAX(0,G161-8)</f>
        <v/>
      </c>
    </row>
    <row r="162">
      <c r="A162" t="n">
        <v>1114</v>
      </c>
      <c r="B162" s="14" t="n">
        <v>46209</v>
      </c>
      <c r="C162" s="17" t="n">
        <v>0.9375</v>
      </c>
      <c r="D162" s="17" t="n">
        <v>0.2708333333333333</v>
      </c>
      <c r="E162" t="inlineStr">
        <is>
          <t>Night</t>
        </is>
      </c>
      <c r="F162" t="inlineStr">
        <is>
          <t>Jul</t>
        </is>
      </c>
      <c r="G162" s="18">
        <f>IF(D162&lt;C162,D162+1-C162,D162-C162)*24</f>
        <v/>
      </c>
      <c r="H162" s="18">
        <f>MAX(0,G162-8)</f>
        <v/>
      </c>
    </row>
    <row r="163">
      <c r="A163" t="n">
        <v>1116</v>
      </c>
      <c r="B163" s="14" t="n">
        <v>46209</v>
      </c>
      <c r="C163" s="17" t="n">
        <v>0.9166666666666666</v>
      </c>
      <c r="D163" s="17" t="n">
        <v>0.2708333333333333</v>
      </c>
      <c r="E163" t="inlineStr">
        <is>
          <t>Night</t>
        </is>
      </c>
      <c r="F163" t="inlineStr">
        <is>
          <t>Jul</t>
        </is>
      </c>
      <c r="G163" s="18">
        <f>IF(D163&lt;C163,D163+1-C163,D163-C163)*24</f>
        <v/>
      </c>
      <c r="H163" s="18">
        <f>MAX(0,G163-8)</f>
        <v/>
      </c>
    </row>
    <row r="164">
      <c r="A164" t="n">
        <v>1117</v>
      </c>
      <c r="B164" s="14" t="n">
        <v>46209</v>
      </c>
      <c r="C164" s="17" t="n">
        <v>0.9270833333333334</v>
      </c>
      <c r="D164" s="17" t="n">
        <v>0.3020833333333333</v>
      </c>
      <c r="E164" t="inlineStr">
        <is>
          <t>Night</t>
        </is>
      </c>
      <c r="F164" t="inlineStr">
        <is>
          <t>Jul</t>
        </is>
      </c>
      <c r="G164" s="18">
        <f>IF(D164&lt;C164,D164+1-C164,D164-C164)*24</f>
        <v/>
      </c>
      <c r="H164" s="18">
        <f>MAX(0,G164-8)</f>
        <v/>
      </c>
    </row>
    <row r="165">
      <c r="A165" t="n">
        <v>1118</v>
      </c>
      <c r="B165" s="14" t="n">
        <v>46209</v>
      </c>
      <c r="C165" s="17" t="n">
        <v>0.9166666666666666</v>
      </c>
      <c r="D165" s="17" t="n">
        <v>0.3333333333333333</v>
      </c>
      <c r="E165" t="inlineStr">
        <is>
          <t>Night</t>
        </is>
      </c>
      <c r="F165" t="inlineStr">
        <is>
          <t>Jul</t>
        </is>
      </c>
      <c r="G165" s="18">
        <f>IF(D165&lt;C165,D165+1-C165,D165-C165)*24</f>
        <v/>
      </c>
      <c r="H165" s="18">
        <f>MAX(0,G165-8)</f>
        <v/>
      </c>
    </row>
    <row r="166">
      <c r="A166" t="n">
        <v>1119</v>
      </c>
      <c r="B166" s="14" t="n">
        <v>46209</v>
      </c>
      <c r="C166" s="17" t="n">
        <v>0.9166666666666666</v>
      </c>
      <c r="D166" s="17" t="n">
        <v>0.375</v>
      </c>
      <c r="E166" t="inlineStr">
        <is>
          <t>Night</t>
        </is>
      </c>
      <c r="F166" t="inlineStr">
        <is>
          <t>Jul</t>
        </is>
      </c>
      <c r="G166" s="18">
        <f>IF(D166&lt;C166,D166+1-C166,D166-C166)*24</f>
        <v/>
      </c>
      <c r="H166" s="18">
        <f>MAX(0,G166-8)</f>
        <v/>
      </c>
    </row>
    <row r="167">
      <c r="A167" t="n">
        <v>1120</v>
      </c>
      <c r="B167" s="14" t="n">
        <v>46209</v>
      </c>
      <c r="C167" s="17" t="n">
        <v>0.9375</v>
      </c>
      <c r="D167" s="17" t="n">
        <v>0.3541666666666667</v>
      </c>
      <c r="E167" t="inlineStr">
        <is>
          <t>Night</t>
        </is>
      </c>
      <c r="F167" t="inlineStr">
        <is>
          <t>Jul</t>
        </is>
      </c>
      <c r="G167" s="18">
        <f>IF(D167&lt;C167,D167+1-C167,D167-C167)*24</f>
        <v/>
      </c>
      <c r="H167" s="18">
        <f>MAX(0,G167-8)</f>
        <v/>
      </c>
    </row>
    <row r="168">
      <c r="A168" t="n">
        <v>1122</v>
      </c>
      <c r="B168" s="14" t="n">
        <v>46209</v>
      </c>
      <c r="C168" s="17" t="n">
        <v>0.9166666666666666</v>
      </c>
      <c r="D168" s="17" t="n">
        <v>0.3333333333333333</v>
      </c>
      <c r="E168" t="inlineStr">
        <is>
          <t>Night</t>
        </is>
      </c>
      <c r="F168" t="inlineStr">
        <is>
          <t>Jul</t>
        </is>
      </c>
      <c r="G168" s="18">
        <f>IF(D168&lt;C168,D168+1-C168,D168-C168)*24</f>
        <v/>
      </c>
      <c r="H168" s="18">
        <f>MAX(0,G168-8)</f>
        <v/>
      </c>
    </row>
    <row r="169">
      <c r="A169" t="n">
        <v>1123</v>
      </c>
      <c r="B169" s="14" t="n">
        <v>46209</v>
      </c>
      <c r="C169" s="17" t="n">
        <v>0.9166666666666666</v>
      </c>
      <c r="D169" s="17" t="n">
        <v>0.3958333333333333</v>
      </c>
      <c r="E169" t="inlineStr">
        <is>
          <t>Night</t>
        </is>
      </c>
      <c r="F169" t="inlineStr">
        <is>
          <t>Jul</t>
        </is>
      </c>
      <c r="G169" s="18">
        <f>IF(D169&lt;C169,D169+1-C169,D169-C169)*24</f>
        <v/>
      </c>
      <c r="H169" s="18">
        <f>MAX(0,G169-8)</f>
        <v/>
      </c>
    </row>
    <row r="170">
      <c r="A170" t="n">
        <v>1124</v>
      </c>
      <c r="B170" s="14" t="n">
        <v>46209</v>
      </c>
      <c r="C170" s="17" t="n">
        <v>0.9166666666666666</v>
      </c>
      <c r="D170" s="17" t="n">
        <v>0.3125</v>
      </c>
      <c r="E170" t="inlineStr">
        <is>
          <t>Night</t>
        </is>
      </c>
      <c r="F170" t="inlineStr">
        <is>
          <t>Jul</t>
        </is>
      </c>
      <c r="G170" s="18">
        <f>IF(D170&lt;C170,D170+1-C170,D170-C170)*24</f>
        <v/>
      </c>
      <c r="H170" s="18">
        <f>MAX(0,G170-8)</f>
        <v/>
      </c>
    </row>
    <row r="171">
      <c r="A171" t="n">
        <v>1125</v>
      </c>
      <c r="B171" s="14" t="n">
        <v>46209</v>
      </c>
      <c r="C171" s="17" t="n">
        <v>0.9270833333333334</v>
      </c>
      <c r="D171" s="17" t="n">
        <v>0.28125</v>
      </c>
      <c r="E171" t="inlineStr">
        <is>
          <t>Night</t>
        </is>
      </c>
      <c r="F171" t="inlineStr">
        <is>
          <t>Jul</t>
        </is>
      </c>
      <c r="G171" s="18">
        <f>IF(D171&lt;C171,D171+1-C171,D171-C171)*24</f>
        <v/>
      </c>
      <c r="H171" s="18">
        <f>MAX(0,G171-8)</f>
        <v/>
      </c>
    </row>
    <row r="172">
      <c r="A172" t="n">
        <v>1126</v>
      </c>
      <c r="B172" s="14" t="n">
        <v>46209</v>
      </c>
      <c r="C172" s="17" t="n">
        <v>0.9166666666666666</v>
      </c>
      <c r="D172" s="17" t="n">
        <v>0.2708333333333333</v>
      </c>
      <c r="E172" t="inlineStr">
        <is>
          <t>Night</t>
        </is>
      </c>
      <c r="F172" t="inlineStr">
        <is>
          <t>Jul</t>
        </is>
      </c>
      <c r="G172" s="18">
        <f>IF(D172&lt;C172,D172+1-C172,D172-C172)*24</f>
        <v/>
      </c>
      <c r="H172" s="18">
        <f>MAX(0,G172-8)</f>
        <v/>
      </c>
    </row>
    <row r="173">
      <c r="A173" t="n">
        <v>1129</v>
      </c>
      <c r="B173" s="14" t="n">
        <v>46209</v>
      </c>
      <c r="C173" s="17" t="n">
        <v>0.9270833333333334</v>
      </c>
      <c r="D173" s="17" t="n">
        <v>0.40625</v>
      </c>
      <c r="E173" t="inlineStr">
        <is>
          <t>Night</t>
        </is>
      </c>
      <c r="F173" t="inlineStr">
        <is>
          <t>Jul</t>
        </is>
      </c>
      <c r="G173" s="18">
        <f>IF(D173&lt;C173,D173+1-C173,D173-C173)*24</f>
        <v/>
      </c>
      <c r="H173" s="18">
        <f>MAX(0,G173-8)</f>
        <v/>
      </c>
    </row>
    <row r="174">
      <c r="A174" t="n">
        <v>1130</v>
      </c>
      <c r="B174" s="14" t="n">
        <v>46209</v>
      </c>
      <c r="C174" s="17" t="n">
        <v>0.9375</v>
      </c>
      <c r="D174" s="17" t="n">
        <v>0.3958333333333333</v>
      </c>
      <c r="E174" t="inlineStr">
        <is>
          <t>Night</t>
        </is>
      </c>
      <c r="F174" t="inlineStr">
        <is>
          <t>Jul</t>
        </is>
      </c>
      <c r="G174" s="18">
        <f>IF(D174&lt;C174,D174+1-C174,D174-C174)*24</f>
        <v/>
      </c>
      <c r="H174" s="18">
        <f>MAX(0,G174-8)</f>
        <v/>
      </c>
    </row>
    <row r="175">
      <c r="A175" t="n">
        <v>1131</v>
      </c>
      <c r="B175" s="14" t="n">
        <v>46209</v>
      </c>
      <c r="C175" s="17" t="n">
        <v>0.9166666666666666</v>
      </c>
      <c r="D175" s="17" t="n">
        <v>0.2708333333333333</v>
      </c>
      <c r="E175" t="inlineStr">
        <is>
          <t>Night</t>
        </is>
      </c>
      <c r="F175" t="inlineStr">
        <is>
          <t>Jul</t>
        </is>
      </c>
      <c r="G175" s="18">
        <f>IF(D175&lt;C175,D175+1-C175,D175-C175)*24</f>
        <v/>
      </c>
      <c r="H175" s="18">
        <f>MAX(0,G175-8)</f>
        <v/>
      </c>
    </row>
    <row r="176">
      <c r="A176" t="n">
        <v>1132</v>
      </c>
      <c r="B176" s="14" t="n">
        <v>46209</v>
      </c>
      <c r="C176" s="17" t="n">
        <v>0.9166666666666666</v>
      </c>
      <c r="D176" s="17" t="n">
        <v>0.375</v>
      </c>
      <c r="E176" t="inlineStr">
        <is>
          <t>Night</t>
        </is>
      </c>
      <c r="F176" t="inlineStr">
        <is>
          <t>Jul</t>
        </is>
      </c>
      <c r="G176" s="18">
        <f>IF(D176&lt;C176,D176+1-C176,D176-C176)*24</f>
        <v/>
      </c>
      <c r="H176" s="18">
        <f>MAX(0,G176-8)</f>
        <v/>
      </c>
    </row>
    <row r="177">
      <c r="A177" t="n">
        <v>1133</v>
      </c>
      <c r="B177" s="14" t="n">
        <v>46209</v>
      </c>
      <c r="C177" s="17" t="n">
        <v>0.9270833333333334</v>
      </c>
      <c r="D177" s="17" t="n">
        <v>0.28125</v>
      </c>
      <c r="E177" t="inlineStr">
        <is>
          <t>Night</t>
        </is>
      </c>
      <c r="F177" t="inlineStr">
        <is>
          <t>Jul</t>
        </is>
      </c>
      <c r="G177" s="18">
        <f>IF(D177&lt;C177,D177+1-C177,D177-C177)*24</f>
        <v/>
      </c>
      <c r="H177" s="18">
        <f>MAX(0,G177-8)</f>
        <v/>
      </c>
    </row>
    <row r="178">
      <c r="A178" t="n">
        <v>1134</v>
      </c>
      <c r="B178" s="14" t="n">
        <v>46209</v>
      </c>
      <c r="C178" s="17" t="n">
        <v>0.9166666666666666</v>
      </c>
      <c r="D178" s="17" t="n">
        <v>0.2916666666666667</v>
      </c>
      <c r="E178" t="inlineStr">
        <is>
          <t>Night</t>
        </is>
      </c>
      <c r="F178" t="inlineStr">
        <is>
          <t>Jul</t>
        </is>
      </c>
      <c r="G178" s="18">
        <f>IF(D178&lt;C178,D178+1-C178,D178-C178)*24</f>
        <v/>
      </c>
      <c r="H178" s="18">
        <f>MAX(0,G178-8)</f>
        <v/>
      </c>
    </row>
    <row r="179">
      <c r="A179" t="n">
        <v>1135</v>
      </c>
      <c r="B179" s="14" t="n">
        <v>46209</v>
      </c>
      <c r="C179" s="17" t="n">
        <v>0.9166666666666666</v>
      </c>
      <c r="D179" s="17" t="n">
        <v>0.25</v>
      </c>
      <c r="E179" t="inlineStr">
        <is>
          <t>Night</t>
        </is>
      </c>
      <c r="F179" t="inlineStr">
        <is>
          <t>Jul</t>
        </is>
      </c>
      <c r="G179" s="18">
        <f>IF(D179&lt;C179,D179+1-C179,D179-C179)*24</f>
        <v/>
      </c>
      <c r="H179" s="18">
        <f>MAX(0,G179-8)</f>
        <v/>
      </c>
    </row>
    <row r="180">
      <c r="A180" t="n">
        <v>1136</v>
      </c>
      <c r="B180" s="14" t="n">
        <v>46209</v>
      </c>
      <c r="C180" s="17" t="n">
        <v>0.9166666666666666</v>
      </c>
      <c r="D180" s="17" t="n">
        <v>0.2708333333333333</v>
      </c>
      <c r="E180" t="inlineStr">
        <is>
          <t>Night</t>
        </is>
      </c>
      <c r="F180" t="inlineStr">
        <is>
          <t>Jul</t>
        </is>
      </c>
      <c r="G180" s="18">
        <f>IF(D180&lt;C180,D180+1-C180,D180-C180)*24</f>
        <v/>
      </c>
      <c r="H180" s="18">
        <f>MAX(0,G180-8)</f>
        <v/>
      </c>
    </row>
    <row r="181">
      <c r="A181" t="n">
        <v>1137</v>
      </c>
      <c r="B181" s="14" t="n">
        <v>46209</v>
      </c>
      <c r="C181" s="17" t="n">
        <v>0.9270833333333334</v>
      </c>
      <c r="D181" s="17" t="n">
        <v>0.2604166666666667</v>
      </c>
      <c r="E181" t="inlineStr">
        <is>
          <t>Night</t>
        </is>
      </c>
      <c r="F181" t="inlineStr">
        <is>
          <t>Jul</t>
        </is>
      </c>
      <c r="G181" s="18">
        <f>IF(D181&lt;C181,D181+1-C181,D181-C181)*24</f>
        <v/>
      </c>
      <c r="H181" s="18">
        <f>MAX(0,G181-8)</f>
        <v/>
      </c>
    </row>
    <row r="182">
      <c r="A182" t="n">
        <v>1147</v>
      </c>
      <c r="B182" s="14" t="n">
        <v>46209</v>
      </c>
      <c r="C182" s="17" t="n">
        <v>0.9375</v>
      </c>
      <c r="D182" s="17" t="n">
        <v>0.375</v>
      </c>
      <c r="E182" t="inlineStr">
        <is>
          <t>Night</t>
        </is>
      </c>
      <c r="F182" t="inlineStr">
        <is>
          <t>Jul</t>
        </is>
      </c>
      <c r="G182" s="18">
        <f>IF(D182&lt;C182,D182+1-C182,D182-C182)*24</f>
        <v/>
      </c>
      <c r="H182" s="18">
        <f>MAX(0,G182-8)</f>
        <v/>
      </c>
    </row>
    <row r="183">
      <c r="A183" t="n">
        <v>1113</v>
      </c>
      <c r="B183" s="14" t="n">
        <v>46209</v>
      </c>
      <c r="C183" s="17" t="n">
        <v>0.01041666666666667</v>
      </c>
      <c r="D183" s="17" t="n">
        <v>0.4479166666666667</v>
      </c>
      <c r="E183" t="inlineStr">
        <is>
          <t>Night</t>
        </is>
      </c>
      <c r="F183" t="inlineStr">
        <is>
          <t>Jul</t>
        </is>
      </c>
      <c r="G183" s="18">
        <f>IF(D183&lt;C183,D183+1-C183,D183-C183)*24</f>
        <v/>
      </c>
      <c r="H183" s="18">
        <f>MAX(0,G183-8)</f>
        <v/>
      </c>
    </row>
    <row r="184">
      <c r="A184" t="n">
        <v>1128</v>
      </c>
      <c r="B184" s="14" t="n">
        <v>46209</v>
      </c>
      <c r="C184" s="17" t="n">
        <v>0.01041666666666667</v>
      </c>
      <c r="D184" s="17" t="n">
        <v>0.34375</v>
      </c>
      <c r="E184" t="inlineStr">
        <is>
          <t>Night</t>
        </is>
      </c>
      <c r="F184" t="inlineStr">
        <is>
          <t>Jul</t>
        </is>
      </c>
      <c r="G184" s="18">
        <f>IF(D184&lt;C184,D184+1-C184,D184-C184)*24</f>
        <v/>
      </c>
      <c r="H184" s="18">
        <f>MAX(0,G184-8)</f>
        <v/>
      </c>
    </row>
    <row r="185">
      <c r="A185" t="n">
        <v>1201</v>
      </c>
      <c r="B185" s="14" t="n">
        <v>46209</v>
      </c>
      <c r="C185" s="17" t="n">
        <v>0.2708333333333333</v>
      </c>
      <c r="D185" s="17" t="n">
        <v>0.6458333333333334</v>
      </c>
      <c r="E185" t="inlineStr">
        <is>
          <t>Day</t>
        </is>
      </c>
      <c r="F185" t="inlineStr">
        <is>
          <t>Jul</t>
        </is>
      </c>
      <c r="G185" s="18">
        <f>IF(D185&lt;C185,D185+1-C185,D185-C185)*24</f>
        <v/>
      </c>
      <c r="H185" s="18">
        <f>MAX(0,G185-8)</f>
        <v/>
      </c>
    </row>
    <row r="186">
      <c r="A186" t="n">
        <v>1202</v>
      </c>
      <c r="B186" s="14" t="n">
        <v>46209</v>
      </c>
      <c r="C186" s="17" t="n">
        <v>0.25</v>
      </c>
      <c r="D186" s="17" t="n">
        <v>0.6666666666666666</v>
      </c>
      <c r="E186" t="inlineStr">
        <is>
          <t>Day</t>
        </is>
      </c>
      <c r="F186" t="inlineStr">
        <is>
          <t>Jul</t>
        </is>
      </c>
      <c r="G186" s="18">
        <f>IF(D186&lt;C186,D186+1-C186,D186-C186)*24</f>
        <v/>
      </c>
      <c r="H186" s="18">
        <f>MAX(0,G186-8)</f>
        <v/>
      </c>
    </row>
    <row r="187">
      <c r="A187" t="n">
        <v>1203</v>
      </c>
      <c r="B187" s="14" t="n">
        <v>46209</v>
      </c>
      <c r="C187" s="17" t="n">
        <v>0.25</v>
      </c>
      <c r="D187" s="17" t="n">
        <v>0.6041666666666666</v>
      </c>
      <c r="E187" t="inlineStr">
        <is>
          <t>Day</t>
        </is>
      </c>
      <c r="F187" t="inlineStr">
        <is>
          <t>Jul</t>
        </is>
      </c>
      <c r="G187" s="18">
        <f>IF(D187&lt;C187,D187+1-C187,D187-C187)*24</f>
        <v/>
      </c>
      <c r="H187" s="18">
        <f>MAX(0,G187-8)</f>
        <v/>
      </c>
    </row>
    <row r="188">
      <c r="A188" t="n">
        <v>1204</v>
      </c>
      <c r="B188" s="14" t="n">
        <v>46209</v>
      </c>
      <c r="C188" s="17" t="n">
        <v>0.2708333333333333</v>
      </c>
      <c r="D188" s="17" t="n">
        <v>0.6875</v>
      </c>
      <c r="E188" t="inlineStr">
        <is>
          <t>Day</t>
        </is>
      </c>
      <c r="F188" t="inlineStr">
        <is>
          <t>Jul</t>
        </is>
      </c>
      <c r="G188" s="18">
        <f>IF(D188&lt;C188,D188+1-C188,D188-C188)*24</f>
        <v/>
      </c>
      <c r="H188" s="18">
        <f>MAX(0,G188-8)</f>
        <v/>
      </c>
    </row>
    <row r="189">
      <c r="A189" t="n">
        <v>1205</v>
      </c>
      <c r="B189" s="14" t="n">
        <v>46209</v>
      </c>
      <c r="C189" s="17" t="n">
        <v>0.2708333333333333</v>
      </c>
      <c r="D189" s="17" t="n">
        <v>0.6041666666666666</v>
      </c>
      <c r="E189" t="inlineStr">
        <is>
          <t>Day</t>
        </is>
      </c>
      <c r="F189" t="inlineStr">
        <is>
          <t>Jul</t>
        </is>
      </c>
      <c r="G189" s="18">
        <f>IF(D189&lt;C189,D189+1-C189,D189-C189)*24</f>
        <v/>
      </c>
      <c r="H189" s="18">
        <f>MAX(0,G189-8)</f>
        <v/>
      </c>
    </row>
    <row r="190">
      <c r="A190" t="n">
        <v>1206</v>
      </c>
      <c r="B190" s="14" t="n">
        <v>46209</v>
      </c>
      <c r="C190" s="17" t="n">
        <v>0.25</v>
      </c>
      <c r="D190" s="17" t="n">
        <v>0.6666666666666666</v>
      </c>
      <c r="E190" t="inlineStr">
        <is>
          <t>Day</t>
        </is>
      </c>
      <c r="F190" t="inlineStr">
        <is>
          <t>Jul</t>
        </is>
      </c>
      <c r="G190" s="18">
        <f>IF(D190&lt;C190,D190+1-C190,D190-C190)*24</f>
        <v/>
      </c>
      <c r="H190" s="18">
        <f>MAX(0,G190-8)</f>
        <v/>
      </c>
    </row>
    <row r="191">
      <c r="A191" t="n">
        <v>1207</v>
      </c>
      <c r="B191" s="14" t="n">
        <v>46209</v>
      </c>
      <c r="C191" s="17" t="n">
        <v>0.2708333333333333</v>
      </c>
      <c r="D191" s="17" t="n">
        <v>0.6041666666666666</v>
      </c>
      <c r="E191" t="inlineStr">
        <is>
          <t>Day</t>
        </is>
      </c>
      <c r="F191" t="inlineStr">
        <is>
          <t>Jul</t>
        </is>
      </c>
      <c r="G191" s="18">
        <f>IF(D191&lt;C191,D191+1-C191,D191-C191)*24</f>
        <v/>
      </c>
      <c r="H191" s="18">
        <f>MAX(0,G191-8)</f>
        <v/>
      </c>
    </row>
    <row r="192">
      <c r="A192" t="n">
        <v>1208</v>
      </c>
      <c r="B192" s="14" t="n">
        <v>46209</v>
      </c>
      <c r="C192" s="17" t="n">
        <v>0.25</v>
      </c>
      <c r="D192" s="17" t="n">
        <v>0.5833333333333334</v>
      </c>
      <c r="E192" t="inlineStr">
        <is>
          <t>Day</t>
        </is>
      </c>
      <c r="F192" t="inlineStr">
        <is>
          <t>Jul</t>
        </is>
      </c>
      <c r="G192" s="18">
        <f>IF(D192&lt;C192,D192+1-C192,D192-C192)*24</f>
        <v/>
      </c>
      <c r="H192" s="18">
        <f>MAX(0,G192-8)</f>
        <v/>
      </c>
    </row>
    <row r="193">
      <c r="A193" t="n">
        <v>1209</v>
      </c>
      <c r="B193" s="14" t="n">
        <v>46209</v>
      </c>
      <c r="C193" s="17" t="n">
        <v>0.25</v>
      </c>
      <c r="D193" s="17" t="n">
        <v>0.6041666666666666</v>
      </c>
      <c r="E193" t="inlineStr">
        <is>
          <t>Day</t>
        </is>
      </c>
      <c r="F193" t="inlineStr">
        <is>
          <t>Jul</t>
        </is>
      </c>
      <c r="G193" s="18">
        <f>IF(D193&lt;C193,D193+1-C193,D193-C193)*24</f>
        <v/>
      </c>
      <c r="H193" s="18">
        <f>MAX(0,G193-8)</f>
        <v/>
      </c>
    </row>
    <row r="194">
      <c r="A194" t="n">
        <v>1210</v>
      </c>
      <c r="B194" s="14" t="n">
        <v>46209</v>
      </c>
      <c r="C194" s="17" t="n">
        <v>0.25</v>
      </c>
      <c r="D194" s="17" t="n">
        <v>0.625</v>
      </c>
      <c r="E194" t="inlineStr">
        <is>
          <t>Day</t>
        </is>
      </c>
      <c r="F194" t="inlineStr">
        <is>
          <t>Jul</t>
        </is>
      </c>
      <c r="G194" s="18">
        <f>IF(D194&lt;C194,D194+1-C194,D194-C194)*24</f>
        <v/>
      </c>
      <c r="H194" s="18">
        <f>MAX(0,G194-8)</f>
        <v/>
      </c>
    </row>
    <row r="195">
      <c r="A195" t="n">
        <v>1211</v>
      </c>
      <c r="B195" s="14" t="n">
        <v>46209</v>
      </c>
      <c r="C195" s="17" t="n">
        <v>0.2708333333333333</v>
      </c>
      <c r="D195" s="17" t="n">
        <v>0.6875</v>
      </c>
      <c r="E195" t="inlineStr">
        <is>
          <t>Day</t>
        </is>
      </c>
      <c r="F195" t="inlineStr">
        <is>
          <t>Jul</t>
        </is>
      </c>
      <c r="G195" s="18">
        <f>IF(D195&lt;C195,D195+1-C195,D195-C195)*24</f>
        <v/>
      </c>
      <c r="H195" s="18">
        <f>MAX(0,G195-8)</f>
        <v/>
      </c>
    </row>
    <row r="196">
      <c r="A196" t="n">
        <v>1212</v>
      </c>
      <c r="B196" s="14" t="n">
        <v>46209</v>
      </c>
      <c r="C196" s="17" t="n">
        <v>0.25</v>
      </c>
      <c r="D196" s="17" t="n">
        <v>0.625</v>
      </c>
      <c r="E196" t="inlineStr">
        <is>
          <t>Day</t>
        </is>
      </c>
      <c r="F196" t="inlineStr">
        <is>
          <t>Jul</t>
        </is>
      </c>
      <c r="G196" s="18">
        <f>IF(D196&lt;C196,D196+1-C196,D196-C196)*24</f>
        <v/>
      </c>
      <c r="H196" s="18">
        <f>MAX(0,G196-8)</f>
        <v/>
      </c>
    </row>
    <row r="197">
      <c r="A197" t="n">
        <v>1213</v>
      </c>
      <c r="B197" s="14" t="n">
        <v>46209</v>
      </c>
      <c r="C197" s="17" t="n">
        <v>0.2708333333333333</v>
      </c>
      <c r="D197" s="17" t="n">
        <v>0.6041666666666666</v>
      </c>
      <c r="E197" t="inlineStr">
        <is>
          <t>Day</t>
        </is>
      </c>
      <c r="F197" t="inlineStr">
        <is>
          <t>Jul</t>
        </is>
      </c>
      <c r="G197" s="18">
        <f>IF(D197&lt;C197,D197+1-C197,D197-C197)*24</f>
        <v/>
      </c>
      <c r="H197" s="18">
        <f>MAX(0,G197-8)</f>
        <v/>
      </c>
    </row>
    <row r="198">
      <c r="A198" t="n">
        <v>1214</v>
      </c>
      <c r="B198" s="14" t="n">
        <v>46209</v>
      </c>
      <c r="C198" s="17" t="n">
        <v>0.2708333333333333</v>
      </c>
      <c r="D198" s="17" t="n">
        <v>0.6458333333333334</v>
      </c>
      <c r="E198" t="inlineStr">
        <is>
          <t>Day</t>
        </is>
      </c>
      <c r="F198" t="inlineStr">
        <is>
          <t>Jul</t>
        </is>
      </c>
      <c r="G198" s="18">
        <f>IF(D198&lt;C198,D198+1-C198,D198-C198)*24</f>
        <v/>
      </c>
      <c r="H198" s="18">
        <f>MAX(0,G198-8)</f>
        <v/>
      </c>
    </row>
    <row r="199">
      <c r="A199" t="n">
        <v>1215</v>
      </c>
      <c r="B199" s="14" t="n">
        <v>46209</v>
      </c>
      <c r="C199" s="17" t="n">
        <v>0.2708333333333333</v>
      </c>
      <c r="D199" s="17" t="n">
        <v>0.6458333333333334</v>
      </c>
      <c r="E199" t="inlineStr">
        <is>
          <t>Day</t>
        </is>
      </c>
      <c r="F199" t="inlineStr">
        <is>
          <t>Jul</t>
        </is>
      </c>
      <c r="G199" s="18">
        <f>IF(D199&lt;C199,D199+1-C199,D199-C199)*24</f>
        <v/>
      </c>
      <c r="H199" s="18">
        <f>MAX(0,G199-8)</f>
        <v/>
      </c>
    </row>
    <row r="200">
      <c r="A200" t="n">
        <v>1218</v>
      </c>
      <c r="B200" s="14" t="n">
        <v>46209</v>
      </c>
      <c r="C200" s="17" t="n">
        <v>0.2708333333333333</v>
      </c>
      <c r="D200" s="17" t="n">
        <v>0.625</v>
      </c>
      <c r="E200" t="inlineStr">
        <is>
          <t>Day</t>
        </is>
      </c>
      <c r="F200" t="inlineStr">
        <is>
          <t>Jul</t>
        </is>
      </c>
      <c r="G200" s="18">
        <f>IF(D200&lt;C200,D200+1-C200,D200-C200)*24</f>
        <v/>
      </c>
      <c r="H200" s="18">
        <f>MAX(0,G200-8)</f>
        <v/>
      </c>
    </row>
    <row r="201">
      <c r="A201" t="n">
        <v>1219</v>
      </c>
      <c r="B201" s="14" t="n">
        <v>46209</v>
      </c>
      <c r="C201" s="17" t="n">
        <v>0.25</v>
      </c>
      <c r="D201" s="17" t="n">
        <v>0.6041666666666666</v>
      </c>
      <c r="E201" t="inlineStr">
        <is>
          <t>Day</t>
        </is>
      </c>
      <c r="F201" t="inlineStr">
        <is>
          <t>Jul</t>
        </is>
      </c>
      <c r="G201" s="18">
        <f>IF(D201&lt;C201,D201+1-C201,D201-C201)*24</f>
        <v/>
      </c>
      <c r="H201" s="18">
        <f>MAX(0,G201-8)</f>
        <v/>
      </c>
    </row>
    <row r="202">
      <c r="A202" t="n">
        <v>1220</v>
      </c>
      <c r="B202" s="14" t="n">
        <v>46209</v>
      </c>
      <c r="C202" s="17" t="n">
        <v>0.2708333333333333</v>
      </c>
      <c r="D202" s="17" t="n">
        <v>0.6458333333333334</v>
      </c>
      <c r="E202" t="inlineStr">
        <is>
          <t>Day</t>
        </is>
      </c>
      <c r="F202" t="inlineStr">
        <is>
          <t>Jul</t>
        </is>
      </c>
      <c r="G202" s="18">
        <f>IF(D202&lt;C202,D202+1-C202,D202-C202)*24</f>
        <v/>
      </c>
      <c r="H202" s="18">
        <f>MAX(0,G202-8)</f>
        <v/>
      </c>
    </row>
    <row r="203">
      <c r="A203" t="n">
        <v>1101</v>
      </c>
      <c r="B203" s="14" t="n">
        <v>46210</v>
      </c>
      <c r="C203" s="17" t="n">
        <v>0.9375</v>
      </c>
      <c r="D203" s="17" t="n">
        <v>0.3958333333333333</v>
      </c>
      <c r="E203" t="inlineStr">
        <is>
          <t>Night</t>
        </is>
      </c>
      <c r="F203" t="inlineStr">
        <is>
          <t>Jul</t>
        </is>
      </c>
      <c r="G203" s="18">
        <f>IF(D203&lt;C203,D203+1-C203,D203-C203)*24</f>
        <v/>
      </c>
      <c r="H203" s="18">
        <f>MAX(0,G203-8)</f>
        <v/>
      </c>
    </row>
    <row r="204">
      <c r="A204" t="n">
        <v>1102</v>
      </c>
      <c r="B204" s="14" t="n">
        <v>46210</v>
      </c>
      <c r="C204" s="17" t="n">
        <v>0.9270833333333334</v>
      </c>
      <c r="D204" s="17" t="n">
        <v>0.34375</v>
      </c>
      <c r="E204" t="inlineStr">
        <is>
          <t>Night</t>
        </is>
      </c>
      <c r="F204" t="inlineStr">
        <is>
          <t>Jul</t>
        </is>
      </c>
      <c r="G204" s="18">
        <f>IF(D204&lt;C204,D204+1-C204,D204-C204)*24</f>
        <v/>
      </c>
      <c r="H204" s="18">
        <f>MAX(0,G204-8)</f>
        <v/>
      </c>
    </row>
    <row r="205">
      <c r="A205" t="n">
        <v>1103</v>
      </c>
      <c r="B205" s="14" t="n">
        <v>46210</v>
      </c>
      <c r="C205" s="17" t="n">
        <v>0.9166666666666666</v>
      </c>
      <c r="D205" s="17" t="n">
        <v>0.3958333333333333</v>
      </c>
      <c r="E205" t="inlineStr">
        <is>
          <t>Night</t>
        </is>
      </c>
      <c r="F205" t="inlineStr">
        <is>
          <t>Jul</t>
        </is>
      </c>
      <c r="G205" s="18">
        <f>IF(D205&lt;C205,D205+1-C205,D205-C205)*24</f>
        <v/>
      </c>
      <c r="H205" s="18">
        <f>MAX(0,G205-8)</f>
        <v/>
      </c>
    </row>
    <row r="206">
      <c r="A206" t="n">
        <v>1104</v>
      </c>
      <c r="B206" s="14" t="n">
        <v>46210</v>
      </c>
      <c r="C206" s="17" t="n">
        <v>0.9166666666666666</v>
      </c>
      <c r="D206" s="17" t="n">
        <v>0.25</v>
      </c>
      <c r="E206" t="inlineStr">
        <is>
          <t>Night</t>
        </is>
      </c>
      <c r="F206" t="inlineStr">
        <is>
          <t>Jul</t>
        </is>
      </c>
      <c r="G206" s="18">
        <f>IF(D206&lt;C206,D206+1-C206,D206-C206)*24</f>
        <v/>
      </c>
      <c r="H206" s="18">
        <f>MAX(0,G206-8)</f>
        <v/>
      </c>
    </row>
    <row r="207">
      <c r="A207" t="n">
        <v>1110</v>
      </c>
      <c r="B207" s="14" t="n">
        <v>46210</v>
      </c>
      <c r="C207" s="17" t="n">
        <v>0.9166666666666666</v>
      </c>
      <c r="D207" s="17" t="n">
        <v>0.3541666666666667</v>
      </c>
      <c r="E207" t="inlineStr">
        <is>
          <t>Night</t>
        </is>
      </c>
      <c r="F207" t="inlineStr">
        <is>
          <t>Jul</t>
        </is>
      </c>
      <c r="G207" s="18">
        <f>IF(D207&lt;C207,D207+1-C207,D207-C207)*24</f>
        <v/>
      </c>
      <c r="H207" s="18">
        <f>MAX(0,G207-8)</f>
        <v/>
      </c>
    </row>
    <row r="208">
      <c r="A208" t="n">
        <v>1111</v>
      </c>
      <c r="B208" s="14" t="n">
        <v>46210</v>
      </c>
      <c r="C208" s="17" t="n">
        <v>0.9270833333333334</v>
      </c>
      <c r="D208" s="17" t="n">
        <v>0.3645833333333333</v>
      </c>
      <c r="E208" t="inlineStr">
        <is>
          <t>Night</t>
        </is>
      </c>
      <c r="F208" t="inlineStr">
        <is>
          <t>Jul</t>
        </is>
      </c>
      <c r="G208" s="18">
        <f>IF(D208&lt;C208,D208+1-C208,D208-C208)*24</f>
        <v/>
      </c>
      <c r="H208" s="18">
        <f>MAX(0,G208-8)</f>
        <v/>
      </c>
    </row>
    <row r="209">
      <c r="A209" t="n">
        <v>1112</v>
      </c>
      <c r="B209" s="14" t="n">
        <v>46210</v>
      </c>
      <c r="C209" s="17" t="n">
        <v>0.9375</v>
      </c>
      <c r="D209" s="17" t="n">
        <v>0.2916666666666667</v>
      </c>
      <c r="E209" t="inlineStr">
        <is>
          <t>Night</t>
        </is>
      </c>
      <c r="F209" t="inlineStr">
        <is>
          <t>Jul</t>
        </is>
      </c>
      <c r="G209" s="18">
        <f>IF(D209&lt;C209,D209+1-C209,D209-C209)*24</f>
        <v/>
      </c>
      <c r="H209" s="18">
        <f>MAX(0,G209-8)</f>
        <v/>
      </c>
    </row>
    <row r="210">
      <c r="A210" t="n">
        <v>1114</v>
      </c>
      <c r="B210" s="14" t="n">
        <v>46210</v>
      </c>
      <c r="C210" s="17" t="n">
        <v>0.9166666666666666</v>
      </c>
      <c r="D210" s="17" t="n">
        <v>0.3333333333333333</v>
      </c>
      <c r="E210" t="inlineStr">
        <is>
          <t>Night</t>
        </is>
      </c>
      <c r="F210" t="inlineStr">
        <is>
          <t>Jul</t>
        </is>
      </c>
      <c r="G210" s="18">
        <f>IF(D210&lt;C210,D210+1-C210,D210-C210)*24</f>
        <v/>
      </c>
      <c r="H210" s="18">
        <f>MAX(0,G210-8)</f>
        <v/>
      </c>
    </row>
    <row r="211">
      <c r="A211" t="n">
        <v>1115</v>
      </c>
      <c r="B211" s="14" t="n">
        <v>46210</v>
      </c>
      <c r="C211" s="17" t="n">
        <v>0.9166666666666666</v>
      </c>
      <c r="D211" s="17" t="n">
        <v>0.3958333333333333</v>
      </c>
      <c r="E211" t="inlineStr">
        <is>
          <t>Night</t>
        </is>
      </c>
      <c r="F211" t="inlineStr">
        <is>
          <t>Jul</t>
        </is>
      </c>
      <c r="G211" s="18">
        <f>IF(D211&lt;C211,D211+1-C211,D211-C211)*24</f>
        <v/>
      </c>
      <c r="H211" s="18">
        <f>MAX(0,G211-8)</f>
        <v/>
      </c>
    </row>
    <row r="212">
      <c r="A212" t="n">
        <v>1117</v>
      </c>
      <c r="B212" s="14" t="n">
        <v>46210</v>
      </c>
      <c r="C212" s="17" t="n">
        <v>0.9270833333333334</v>
      </c>
      <c r="D212" s="17" t="n">
        <v>0.40625</v>
      </c>
      <c r="E212" t="inlineStr">
        <is>
          <t>Night</t>
        </is>
      </c>
      <c r="F212" t="inlineStr">
        <is>
          <t>Jul</t>
        </is>
      </c>
      <c r="G212" s="18">
        <f>IF(D212&lt;C212,D212+1-C212,D212-C212)*24</f>
        <v/>
      </c>
      <c r="H212" s="18">
        <f>MAX(0,G212-8)</f>
        <v/>
      </c>
    </row>
    <row r="213">
      <c r="A213" t="n">
        <v>1119</v>
      </c>
      <c r="B213" s="14" t="n">
        <v>46210</v>
      </c>
      <c r="C213" s="17" t="n">
        <v>0.9270833333333334</v>
      </c>
      <c r="D213" s="17" t="n">
        <v>0.3854166666666667</v>
      </c>
      <c r="E213" t="inlineStr">
        <is>
          <t>Night</t>
        </is>
      </c>
      <c r="F213" t="inlineStr">
        <is>
          <t>Jul</t>
        </is>
      </c>
      <c r="G213" s="18">
        <f>IF(D213&lt;C213,D213+1-C213,D213-C213)*24</f>
        <v/>
      </c>
      <c r="H213" s="18">
        <f>MAX(0,G213-8)</f>
        <v/>
      </c>
    </row>
    <row r="214">
      <c r="A214" t="n">
        <v>1120</v>
      </c>
      <c r="B214" s="14" t="n">
        <v>46210</v>
      </c>
      <c r="C214" s="17" t="n">
        <v>0.9270833333333334</v>
      </c>
      <c r="D214" s="17" t="n">
        <v>0.2604166666666667</v>
      </c>
      <c r="E214" t="inlineStr">
        <is>
          <t>Night</t>
        </is>
      </c>
      <c r="F214" t="inlineStr">
        <is>
          <t>Jul</t>
        </is>
      </c>
      <c r="G214" s="18">
        <f>IF(D214&lt;C214,D214+1-C214,D214-C214)*24</f>
        <v/>
      </c>
      <c r="H214" s="18">
        <f>MAX(0,G214-8)</f>
        <v/>
      </c>
    </row>
    <row r="215">
      <c r="A215" t="n">
        <v>1121</v>
      </c>
      <c r="B215" s="14" t="n">
        <v>46210</v>
      </c>
      <c r="C215" s="17" t="n">
        <v>0.9166666666666666</v>
      </c>
      <c r="D215" s="17" t="n">
        <v>0.2916666666666667</v>
      </c>
      <c r="E215" t="inlineStr">
        <is>
          <t>Night</t>
        </is>
      </c>
      <c r="F215" t="inlineStr">
        <is>
          <t>Jul</t>
        </is>
      </c>
      <c r="G215" s="18">
        <f>IF(D215&lt;C215,D215+1-C215,D215-C215)*24</f>
        <v/>
      </c>
      <c r="H215" s="18">
        <f>MAX(0,G215-8)</f>
        <v/>
      </c>
    </row>
    <row r="216">
      <c r="A216" t="n">
        <v>1122</v>
      </c>
      <c r="B216" s="14" t="n">
        <v>46210</v>
      </c>
      <c r="C216" s="17" t="n">
        <v>0.9270833333333334</v>
      </c>
      <c r="D216" s="17" t="n">
        <v>0.2604166666666667</v>
      </c>
      <c r="E216" t="inlineStr">
        <is>
          <t>Night</t>
        </is>
      </c>
      <c r="F216" t="inlineStr">
        <is>
          <t>Jul</t>
        </is>
      </c>
      <c r="G216" s="18">
        <f>IF(D216&lt;C216,D216+1-C216,D216-C216)*24</f>
        <v/>
      </c>
      <c r="H216" s="18">
        <f>MAX(0,G216-8)</f>
        <v/>
      </c>
    </row>
    <row r="217">
      <c r="A217" t="n">
        <v>1123</v>
      </c>
      <c r="B217" s="14" t="n">
        <v>46210</v>
      </c>
      <c r="C217" s="17" t="n">
        <v>0.9166666666666666</v>
      </c>
      <c r="D217" s="17" t="n">
        <v>0.3958333333333333</v>
      </c>
      <c r="E217" t="inlineStr">
        <is>
          <t>Night</t>
        </is>
      </c>
      <c r="F217" t="inlineStr">
        <is>
          <t>Jul</t>
        </is>
      </c>
      <c r="G217" s="18">
        <f>IF(D217&lt;C217,D217+1-C217,D217-C217)*24</f>
        <v/>
      </c>
      <c r="H217" s="18">
        <f>MAX(0,G217-8)</f>
        <v/>
      </c>
    </row>
    <row r="218">
      <c r="A218" t="n">
        <v>1124</v>
      </c>
      <c r="B218" s="14" t="n">
        <v>46210</v>
      </c>
      <c r="C218" s="17" t="n">
        <v>0.9166666666666666</v>
      </c>
      <c r="D218" s="17" t="n">
        <v>0.375</v>
      </c>
      <c r="E218" t="inlineStr">
        <is>
          <t>Night</t>
        </is>
      </c>
      <c r="F218" t="inlineStr">
        <is>
          <t>Jul</t>
        </is>
      </c>
      <c r="G218" s="18">
        <f>IF(D218&lt;C218,D218+1-C218,D218-C218)*24</f>
        <v/>
      </c>
      <c r="H218" s="18">
        <f>MAX(0,G218-8)</f>
        <v/>
      </c>
    </row>
    <row r="219">
      <c r="A219" t="n">
        <v>1125</v>
      </c>
      <c r="B219" s="14" t="n">
        <v>46210</v>
      </c>
      <c r="C219" s="17" t="n">
        <v>0.9375</v>
      </c>
      <c r="D219" s="17" t="n">
        <v>0.2708333333333333</v>
      </c>
      <c r="E219" t="inlineStr">
        <is>
          <t>Night</t>
        </is>
      </c>
      <c r="F219" t="inlineStr">
        <is>
          <t>Jul</t>
        </is>
      </c>
      <c r="G219" s="18">
        <f>IF(D219&lt;C219,D219+1-C219,D219-C219)*24</f>
        <v/>
      </c>
      <c r="H219" s="18">
        <f>MAX(0,G219-8)</f>
        <v/>
      </c>
    </row>
    <row r="220">
      <c r="A220" t="n">
        <v>1126</v>
      </c>
      <c r="B220" s="14" t="n">
        <v>46210</v>
      </c>
      <c r="C220" s="17" t="n">
        <v>0.9166666666666666</v>
      </c>
      <c r="D220" s="17" t="n">
        <v>0.2708333333333333</v>
      </c>
      <c r="E220" t="inlineStr">
        <is>
          <t>Night</t>
        </is>
      </c>
      <c r="F220" t="inlineStr">
        <is>
          <t>Jul</t>
        </is>
      </c>
      <c r="G220" s="18">
        <f>IF(D220&lt;C220,D220+1-C220,D220-C220)*24</f>
        <v/>
      </c>
      <c r="H220" s="18">
        <f>MAX(0,G220-8)</f>
        <v/>
      </c>
    </row>
    <row r="221">
      <c r="A221" t="n">
        <v>1128</v>
      </c>
      <c r="B221" s="14" t="n">
        <v>46210</v>
      </c>
      <c r="C221" s="17" t="n">
        <v>0.9166666666666666</v>
      </c>
      <c r="D221" s="17" t="n">
        <v>0.2708333333333333</v>
      </c>
      <c r="E221" t="inlineStr">
        <is>
          <t>Night</t>
        </is>
      </c>
      <c r="F221" t="inlineStr">
        <is>
          <t>Jul</t>
        </is>
      </c>
      <c r="G221" s="18">
        <f>IF(D221&lt;C221,D221+1-C221,D221-C221)*24</f>
        <v/>
      </c>
      <c r="H221" s="18">
        <f>MAX(0,G221-8)</f>
        <v/>
      </c>
    </row>
    <row r="222">
      <c r="A222" t="n">
        <v>1129</v>
      </c>
      <c r="B222" s="14" t="n">
        <v>46210</v>
      </c>
      <c r="C222" s="17" t="n">
        <v>0.9270833333333334</v>
      </c>
      <c r="D222" s="17" t="n">
        <v>0.34375</v>
      </c>
      <c r="E222" t="inlineStr">
        <is>
          <t>Night</t>
        </is>
      </c>
      <c r="F222" t="inlineStr">
        <is>
          <t>Jul</t>
        </is>
      </c>
      <c r="G222" s="18">
        <f>IF(D222&lt;C222,D222+1-C222,D222-C222)*24</f>
        <v/>
      </c>
      <c r="H222" s="18">
        <f>MAX(0,G222-8)</f>
        <v/>
      </c>
    </row>
    <row r="223">
      <c r="A223" t="n">
        <v>1130</v>
      </c>
      <c r="B223" s="14" t="n">
        <v>46210</v>
      </c>
      <c r="C223" s="17" t="n">
        <v>0.9375</v>
      </c>
      <c r="D223" s="17" t="n">
        <v>0.3958333333333333</v>
      </c>
      <c r="E223" t="inlineStr">
        <is>
          <t>Night</t>
        </is>
      </c>
      <c r="F223" t="inlineStr">
        <is>
          <t>Jul</t>
        </is>
      </c>
      <c r="G223" s="18">
        <f>IF(D223&lt;C223,D223+1-C223,D223-C223)*24</f>
        <v/>
      </c>
      <c r="H223" s="18">
        <f>MAX(0,G223-8)</f>
        <v/>
      </c>
    </row>
    <row r="224">
      <c r="A224" t="n">
        <v>1131</v>
      </c>
      <c r="B224" s="14" t="n">
        <v>46210</v>
      </c>
      <c r="C224" s="17" t="n">
        <v>0.9166666666666666</v>
      </c>
      <c r="D224" s="17" t="n">
        <v>0.3333333333333333</v>
      </c>
      <c r="E224" t="inlineStr">
        <is>
          <t>Night</t>
        </is>
      </c>
      <c r="F224" t="inlineStr">
        <is>
          <t>Jul</t>
        </is>
      </c>
      <c r="G224" s="18">
        <f>IF(D224&lt;C224,D224+1-C224,D224-C224)*24</f>
        <v/>
      </c>
      <c r="H224" s="18">
        <f>MAX(0,G224-8)</f>
        <v/>
      </c>
    </row>
    <row r="225">
      <c r="A225" t="n">
        <v>1132</v>
      </c>
      <c r="B225" s="14" t="n">
        <v>46210</v>
      </c>
      <c r="C225" s="17" t="n">
        <v>0.9166666666666666</v>
      </c>
      <c r="D225" s="17" t="n">
        <v>0.25</v>
      </c>
      <c r="E225" t="inlineStr">
        <is>
          <t>Night</t>
        </is>
      </c>
      <c r="F225" t="inlineStr">
        <is>
          <t>Jul</t>
        </is>
      </c>
      <c r="G225" s="18">
        <f>IF(D225&lt;C225,D225+1-C225,D225-C225)*24</f>
        <v/>
      </c>
      <c r="H225" s="18">
        <f>MAX(0,G225-8)</f>
        <v/>
      </c>
    </row>
    <row r="226">
      <c r="A226" t="n">
        <v>1134</v>
      </c>
      <c r="B226" s="14" t="n">
        <v>46210</v>
      </c>
      <c r="C226" s="17" t="n">
        <v>0.9375</v>
      </c>
      <c r="D226" s="17" t="n">
        <v>0.3958333333333333</v>
      </c>
      <c r="E226" t="inlineStr">
        <is>
          <t>Night</t>
        </is>
      </c>
      <c r="F226" t="inlineStr">
        <is>
          <t>Jul</t>
        </is>
      </c>
      <c r="G226" s="18">
        <f>IF(D226&lt;C226,D226+1-C226,D226-C226)*24</f>
        <v/>
      </c>
      <c r="H226" s="18">
        <f>MAX(0,G226-8)</f>
        <v/>
      </c>
    </row>
    <row r="227">
      <c r="A227" t="n">
        <v>1135</v>
      </c>
      <c r="B227" s="14" t="n">
        <v>46210</v>
      </c>
      <c r="C227" s="17" t="n">
        <v>0.9375</v>
      </c>
      <c r="D227" s="17" t="n">
        <v>0.3541666666666667</v>
      </c>
      <c r="E227" t="inlineStr">
        <is>
          <t>Night</t>
        </is>
      </c>
      <c r="F227" t="inlineStr">
        <is>
          <t>Jul</t>
        </is>
      </c>
      <c r="G227" s="18">
        <f>IF(D227&lt;C227,D227+1-C227,D227-C227)*24</f>
        <v/>
      </c>
      <c r="H227" s="18">
        <f>MAX(0,G227-8)</f>
        <v/>
      </c>
    </row>
    <row r="228">
      <c r="A228" t="n">
        <v>1147</v>
      </c>
      <c r="B228" s="14" t="n">
        <v>46210</v>
      </c>
      <c r="C228" s="17" t="n">
        <v>0.9166666666666666</v>
      </c>
      <c r="D228" s="17" t="n">
        <v>0.3333333333333333</v>
      </c>
      <c r="E228" t="inlineStr">
        <is>
          <t>Night</t>
        </is>
      </c>
      <c r="F228" t="inlineStr">
        <is>
          <t>Jul</t>
        </is>
      </c>
      <c r="G228" s="18">
        <f>IF(D228&lt;C228,D228+1-C228,D228-C228)*24</f>
        <v/>
      </c>
      <c r="H228" s="18">
        <f>MAX(0,G228-8)</f>
        <v/>
      </c>
    </row>
    <row r="229">
      <c r="A229" t="n">
        <v>1116</v>
      </c>
      <c r="B229" s="14" t="n">
        <v>46210</v>
      </c>
      <c r="C229" s="17" t="n">
        <v>0.02083333333333333</v>
      </c>
      <c r="D229" s="17" t="n">
        <v>0.4583333333333333</v>
      </c>
      <c r="E229" t="inlineStr">
        <is>
          <t>Night</t>
        </is>
      </c>
      <c r="F229" t="inlineStr">
        <is>
          <t>Jul</t>
        </is>
      </c>
      <c r="G229" s="18">
        <f>IF(D229&lt;C229,D229+1-C229,D229-C229)*24</f>
        <v/>
      </c>
      <c r="H229" s="18">
        <f>MAX(0,G229-8)</f>
        <v/>
      </c>
    </row>
    <row r="230">
      <c r="A230" t="n">
        <v>1118</v>
      </c>
      <c r="B230" s="14" t="n">
        <v>46210</v>
      </c>
      <c r="C230" s="17" t="n">
        <v>0.01041666666666667</v>
      </c>
      <c r="D230" s="17" t="n">
        <v>0.3645833333333333</v>
      </c>
      <c r="E230" t="inlineStr">
        <is>
          <t>Night</t>
        </is>
      </c>
      <c r="F230" t="inlineStr">
        <is>
          <t>Jul</t>
        </is>
      </c>
      <c r="G230" s="18">
        <f>IF(D230&lt;C230,D230+1-C230,D230-C230)*24</f>
        <v/>
      </c>
      <c r="H230" s="18">
        <f>MAX(0,G230-8)</f>
        <v/>
      </c>
    </row>
    <row r="231">
      <c r="A231" t="n">
        <v>1133</v>
      </c>
      <c r="B231" s="14" t="n">
        <v>46210</v>
      </c>
      <c r="C231" s="17" t="n">
        <v>0.02083333333333333</v>
      </c>
      <c r="D231" s="17" t="n">
        <v>0.3958333333333333</v>
      </c>
      <c r="E231" t="inlineStr">
        <is>
          <t>Night</t>
        </is>
      </c>
      <c r="F231" t="inlineStr">
        <is>
          <t>Jul</t>
        </is>
      </c>
      <c r="G231" s="18">
        <f>IF(D231&lt;C231,D231+1-C231,D231-C231)*24</f>
        <v/>
      </c>
      <c r="H231" s="18">
        <f>MAX(0,G231-8)</f>
        <v/>
      </c>
    </row>
    <row r="232">
      <c r="A232" t="n">
        <v>1136</v>
      </c>
      <c r="B232" s="14" t="n">
        <v>46210</v>
      </c>
      <c r="C232" s="17" t="n">
        <v>0.01041666666666667</v>
      </c>
      <c r="D232" s="17" t="n">
        <v>0.46875</v>
      </c>
      <c r="E232" t="inlineStr">
        <is>
          <t>Night</t>
        </is>
      </c>
      <c r="F232" t="inlineStr">
        <is>
          <t>Jul</t>
        </is>
      </c>
      <c r="G232" s="18">
        <f>IF(D232&lt;C232,D232+1-C232,D232-C232)*24</f>
        <v/>
      </c>
      <c r="H232" s="18">
        <f>MAX(0,G232-8)</f>
        <v/>
      </c>
    </row>
    <row r="233">
      <c r="A233" t="n">
        <v>1137</v>
      </c>
      <c r="B233" s="14" t="n">
        <v>46210</v>
      </c>
      <c r="C233" s="17" t="n">
        <v>0.02083333333333333</v>
      </c>
      <c r="D233" s="17" t="n">
        <v>0.3541666666666667</v>
      </c>
      <c r="E233" t="inlineStr">
        <is>
          <t>Night</t>
        </is>
      </c>
      <c r="F233" t="inlineStr">
        <is>
          <t>Jul</t>
        </is>
      </c>
      <c r="G233" s="18">
        <f>IF(D233&lt;C233,D233+1-C233,D233-C233)*24</f>
        <v/>
      </c>
      <c r="H233" s="18">
        <f>MAX(0,G233-8)</f>
        <v/>
      </c>
    </row>
    <row r="234">
      <c r="A234" t="n">
        <v>1201</v>
      </c>
      <c r="B234" s="14" t="n">
        <v>46210</v>
      </c>
      <c r="C234" s="17" t="n">
        <v>0.2708333333333333</v>
      </c>
      <c r="D234" s="17" t="n">
        <v>0.6041666666666666</v>
      </c>
      <c r="E234" t="inlineStr">
        <is>
          <t>Day</t>
        </is>
      </c>
      <c r="F234" t="inlineStr">
        <is>
          <t>Jul</t>
        </is>
      </c>
      <c r="G234" s="18">
        <f>IF(D234&lt;C234,D234+1-C234,D234-C234)*24</f>
        <v/>
      </c>
      <c r="H234" s="18">
        <f>MAX(0,G234-8)</f>
        <v/>
      </c>
    </row>
    <row r="235">
      <c r="A235" t="n">
        <v>1202</v>
      </c>
      <c r="B235" s="14" t="n">
        <v>46210</v>
      </c>
      <c r="C235" s="17" t="n">
        <v>0.25</v>
      </c>
      <c r="D235" s="17" t="n">
        <v>0.6666666666666666</v>
      </c>
      <c r="E235" t="inlineStr">
        <is>
          <t>Day</t>
        </is>
      </c>
      <c r="F235" t="inlineStr">
        <is>
          <t>Jul</t>
        </is>
      </c>
      <c r="G235" s="18">
        <f>IF(D235&lt;C235,D235+1-C235,D235-C235)*24</f>
        <v/>
      </c>
      <c r="H235" s="18">
        <f>MAX(0,G235-8)</f>
        <v/>
      </c>
    </row>
    <row r="236">
      <c r="A236" t="n">
        <v>1203</v>
      </c>
      <c r="B236" s="14" t="n">
        <v>46210</v>
      </c>
      <c r="C236" s="17" t="n">
        <v>0.25</v>
      </c>
      <c r="D236" s="17" t="n">
        <v>0.6041666666666666</v>
      </c>
      <c r="E236" t="inlineStr">
        <is>
          <t>Day</t>
        </is>
      </c>
      <c r="F236" t="inlineStr">
        <is>
          <t>Jul</t>
        </is>
      </c>
      <c r="G236" s="18">
        <f>IF(D236&lt;C236,D236+1-C236,D236-C236)*24</f>
        <v/>
      </c>
      <c r="H236" s="18">
        <f>MAX(0,G236-8)</f>
        <v/>
      </c>
    </row>
    <row r="237">
      <c r="A237" t="n">
        <v>1204</v>
      </c>
      <c r="B237" s="14" t="n">
        <v>46210</v>
      </c>
      <c r="C237" s="17" t="n">
        <v>0.25</v>
      </c>
      <c r="D237" s="17" t="n">
        <v>0.5833333333333334</v>
      </c>
      <c r="E237" t="inlineStr">
        <is>
          <t>Day</t>
        </is>
      </c>
      <c r="F237" t="inlineStr">
        <is>
          <t>Jul</t>
        </is>
      </c>
      <c r="G237" s="18">
        <f>IF(D237&lt;C237,D237+1-C237,D237-C237)*24</f>
        <v/>
      </c>
      <c r="H237" s="18">
        <f>MAX(0,G237-8)</f>
        <v/>
      </c>
    </row>
    <row r="238">
      <c r="A238" t="n">
        <v>1205</v>
      </c>
      <c r="B238" s="14" t="n">
        <v>46210</v>
      </c>
      <c r="C238" s="17" t="n">
        <v>0.25</v>
      </c>
      <c r="D238" s="17" t="n">
        <v>0.625</v>
      </c>
      <c r="E238" t="inlineStr">
        <is>
          <t>Day</t>
        </is>
      </c>
      <c r="F238" t="inlineStr">
        <is>
          <t>Jul</t>
        </is>
      </c>
      <c r="G238" s="18">
        <f>IF(D238&lt;C238,D238+1-C238,D238-C238)*24</f>
        <v/>
      </c>
      <c r="H238" s="18">
        <f>MAX(0,G238-8)</f>
        <v/>
      </c>
    </row>
    <row r="239">
      <c r="A239" t="n">
        <v>1206</v>
      </c>
      <c r="B239" s="14" t="n">
        <v>46210</v>
      </c>
      <c r="C239" s="17" t="n">
        <v>0.25</v>
      </c>
      <c r="D239" s="17" t="n">
        <v>0.6666666666666666</v>
      </c>
      <c r="E239" t="inlineStr">
        <is>
          <t>Day</t>
        </is>
      </c>
      <c r="F239" t="inlineStr">
        <is>
          <t>Jul</t>
        </is>
      </c>
      <c r="G239" s="18">
        <f>IF(D239&lt;C239,D239+1-C239,D239-C239)*24</f>
        <v/>
      </c>
      <c r="H239" s="18">
        <f>MAX(0,G239-8)</f>
        <v/>
      </c>
    </row>
    <row r="240">
      <c r="A240" t="n">
        <v>1207</v>
      </c>
      <c r="B240" s="14" t="n">
        <v>46210</v>
      </c>
      <c r="C240" s="17" t="n">
        <v>0.2708333333333333</v>
      </c>
      <c r="D240" s="17" t="n">
        <v>0.6875</v>
      </c>
      <c r="E240" t="inlineStr">
        <is>
          <t>Day</t>
        </is>
      </c>
      <c r="F240" t="inlineStr">
        <is>
          <t>Jul</t>
        </is>
      </c>
      <c r="G240" s="18">
        <f>IF(D240&lt;C240,D240+1-C240,D240-C240)*24</f>
        <v/>
      </c>
      <c r="H240" s="18">
        <f>MAX(0,G240-8)</f>
        <v/>
      </c>
    </row>
    <row r="241">
      <c r="A241" t="n">
        <v>1208</v>
      </c>
      <c r="B241" s="14" t="n">
        <v>46210</v>
      </c>
      <c r="C241" s="17" t="n">
        <v>0.2708333333333333</v>
      </c>
      <c r="D241" s="17" t="n">
        <v>0.6041666666666666</v>
      </c>
      <c r="E241" t="inlineStr">
        <is>
          <t>Day</t>
        </is>
      </c>
      <c r="F241" t="inlineStr">
        <is>
          <t>Jul</t>
        </is>
      </c>
      <c r="G241" s="18">
        <f>IF(D241&lt;C241,D241+1-C241,D241-C241)*24</f>
        <v/>
      </c>
      <c r="H241" s="18">
        <f>MAX(0,G241-8)</f>
        <v/>
      </c>
    </row>
    <row r="242">
      <c r="A242" t="n">
        <v>1209</v>
      </c>
      <c r="B242" s="14" t="n">
        <v>46210</v>
      </c>
      <c r="C242" s="17" t="n">
        <v>0.25</v>
      </c>
      <c r="D242" s="17" t="n">
        <v>0.625</v>
      </c>
      <c r="E242" t="inlineStr">
        <is>
          <t>Day</t>
        </is>
      </c>
      <c r="F242" t="inlineStr">
        <is>
          <t>Jul</t>
        </is>
      </c>
      <c r="G242" s="18">
        <f>IF(D242&lt;C242,D242+1-C242,D242-C242)*24</f>
        <v/>
      </c>
      <c r="H242" s="18">
        <f>MAX(0,G242-8)</f>
        <v/>
      </c>
    </row>
    <row r="243">
      <c r="A243" t="n">
        <v>1210</v>
      </c>
      <c r="B243" s="14" t="n">
        <v>46210</v>
      </c>
      <c r="C243" s="17" t="n">
        <v>0.2708333333333333</v>
      </c>
      <c r="D243" s="17" t="n">
        <v>0.6041666666666666</v>
      </c>
      <c r="E243" t="inlineStr">
        <is>
          <t>Day</t>
        </is>
      </c>
      <c r="F243" t="inlineStr">
        <is>
          <t>Jul</t>
        </is>
      </c>
      <c r="G243" s="18">
        <f>IF(D243&lt;C243,D243+1-C243,D243-C243)*24</f>
        <v/>
      </c>
      <c r="H243" s="18">
        <f>MAX(0,G243-8)</f>
        <v/>
      </c>
    </row>
    <row r="244">
      <c r="A244" t="n">
        <v>1212</v>
      </c>
      <c r="B244" s="14" t="n">
        <v>46210</v>
      </c>
      <c r="C244" s="17" t="n">
        <v>0.2708333333333333</v>
      </c>
      <c r="D244" s="17" t="n">
        <v>0.6458333333333334</v>
      </c>
      <c r="E244" t="inlineStr">
        <is>
          <t>Day</t>
        </is>
      </c>
      <c r="F244" t="inlineStr">
        <is>
          <t>Jul</t>
        </is>
      </c>
      <c r="G244" s="18">
        <f>IF(D244&lt;C244,D244+1-C244,D244-C244)*24</f>
        <v/>
      </c>
      <c r="H244" s="18">
        <f>MAX(0,G244-8)</f>
        <v/>
      </c>
    </row>
    <row r="245">
      <c r="A245" t="n">
        <v>1213</v>
      </c>
      <c r="B245" s="14" t="n">
        <v>46210</v>
      </c>
      <c r="C245" s="17" t="n">
        <v>0.25</v>
      </c>
      <c r="D245" s="17" t="n">
        <v>0.6666666666666666</v>
      </c>
      <c r="E245" t="inlineStr">
        <is>
          <t>Day</t>
        </is>
      </c>
      <c r="F245" t="inlineStr">
        <is>
          <t>Jul</t>
        </is>
      </c>
      <c r="G245" s="18">
        <f>IF(D245&lt;C245,D245+1-C245,D245-C245)*24</f>
        <v/>
      </c>
      <c r="H245" s="18">
        <f>MAX(0,G245-8)</f>
        <v/>
      </c>
    </row>
    <row r="246">
      <c r="A246" t="n">
        <v>1214</v>
      </c>
      <c r="B246" s="14" t="n">
        <v>46210</v>
      </c>
      <c r="C246" s="17" t="n">
        <v>0.25</v>
      </c>
      <c r="D246" s="17" t="n">
        <v>0.5833333333333334</v>
      </c>
      <c r="E246" t="inlineStr">
        <is>
          <t>Day</t>
        </is>
      </c>
      <c r="F246" t="inlineStr">
        <is>
          <t>Jul</t>
        </is>
      </c>
      <c r="G246" s="18">
        <f>IF(D246&lt;C246,D246+1-C246,D246-C246)*24</f>
        <v/>
      </c>
      <c r="H246" s="18">
        <f>MAX(0,G246-8)</f>
        <v/>
      </c>
    </row>
    <row r="247">
      <c r="A247" t="n">
        <v>1216</v>
      </c>
      <c r="B247" s="14" t="n">
        <v>46210</v>
      </c>
      <c r="C247" s="17" t="n">
        <v>0.25</v>
      </c>
      <c r="D247" s="17" t="n">
        <v>0.6041666666666666</v>
      </c>
      <c r="E247" t="inlineStr">
        <is>
          <t>Day</t>
        </is>
      </c>
      <c r="F247" t="inlineStr">
        <is>
          <t>Jul</t>
        </is>
      </c>
      <c r="G247" s="18">
        <f>IF(D247&lt;C247,D247+1-C247,D247-C247)*24</f>
        <v/>
      </c>
      <c r="H247" s="18">
        <f>MAX(0,G247-8)</f>
        <v/>
      </c>
    </row>
    <row r="248">
      <c r="A248" t="n">
        <v>1217</v>
      </c>
      <c r="B248" s="14" t="n">
        <v>46210</v>
      </c>
      <c r="C248" s="17" t="n">
        <v>0.25</v>
      </c>
      <c r="D248" s="17" t="n">
        <v>0.6666666666666666</v>
      </c>
      <c r="E248" t="inlineStr">
        <is>
          <t>Day</t>
        </is>
      </c>
      <c r="F248" t="inlineStr">
        <is>
          <t>Jul</t>
        </is>
      </c>
      <c r="G248" s="18">
        <f>IF(D248&lt;C248,D248+1-C248,D248-C248)*24</f>
        <v/>
      </c>
      <c r="H248" s="18">
        <f>MAX(0,G248-8)</f>
        <v/>
      </c>
    </row>
    <row r="249">
      <c r="A249" t="n">
        <v>1219</v>
      </c>
      <c r="B249" s="14" t="n">
        <v>46210</v>
      </c>
      <c r="C249" s="17" t="n">
        <v>0.2708333333333333</v>
      </c>
      <c r="D249" s="17" t="n">
        <v>0.6041666666666666</v>
      </c>
      <c r="E249" t="inlineStr">
        <is>
          <t>Day</t>
        </is>
      </c>
      <c r="F249" t="inlineStr">
        <is>
          <t>Jul</t>
        </is>
      </c>
      <c r="G249" s="18">
        <f>IF(D249&lt;C249,D249+1-C249,D249-C249)*24</f>
        <v/>
      </c>
      <c r="H249" s="18">
        <f>MAX(0,G249-8)</f>
        <v/>
      </c>
    </row>
    <row r="250">
      <c r="A250" t="n">
        <v>1220</v>
      </c>
      <c r="B250" s="14" t="n">
        <v>46210</v>
      </c>
      <c r="C250" s="17" t="n">
        <v>0.25</v>
      </c>
      <c r="D250" s="17" t="n">
        <v>0.625</v>
      </c>
      <c r="E250" t="inlineStr">
        <is>
          <t>Day</t>
        </is>
      </c>
      <c r="F250" t="inlineStr">
        <is>
          <t>Jul</t>
        </is>
      </c>
      <c r="G250" s="18">
        <f>IF(D250&lt;C250,D250+1-C250,D250-C250)*24</f>
        <v/>
      </c>
      <c r="H250" s="18">
        <f>MAX(0,G250-8)</f>
        <v/>
      </c>
    </row>
    <row r="251">
      <c r="A251" t="n">
        <v>1101</v>
      </c>
      <c r="B251" s="14" t="n">
        <v>46211</v>
      </c>
      <c r="C251" s="17" t="n">
        <v>0.9166666666666666</v>
      </c>
      <c r="D251" s="17" t="n">
        <v>0.3541666666666667</v>
      </c>
      <c r="E251" t="inlineStr">
        <is>
          <t>Night</t>
        </is>
      </c>
      <c r="F251" t="inlineStr">
        <is>
          <t>Jul</t>
        </is>
      </c>
      <c r="G251" s="18">
        <f>IF(D251&lt;C251,D251+1-C251,D251-C251)*24</f>
        <v/>
      </c>
      <c r="H251" s="18">
        <f>MAX(0,G251-8)</f>
        <v/>
      </c>
    </row>
    <row r="252">
      <c r="A252" t="n">
        <v>1102</v>
      </c>
      <c r="B252" s="14" t="n">
        <v>46211</v>
      </c>
      <c r="C252" s="17" t="n">
        <v>0.9270833333333334</v>
      </c>
      <c r="D252" s="17" t="n">
        <v>0.28125</v>
      </c>
      <c r="E252" t="inlineStr">
        <is>
          <t>Night</t>
        </is>
      </c>
      <c r="F252" t="inlineStr">
        <is>
          <t>Jul</t>
        </is>
      </c>
      <c r="G252" s="18">
        <f>IF(D252&lt;C252,D252+1-C252,D252-C252)*24</f>
        <v/>
      </c>
      <c r="H252" s="18">
        <f>MAX(0,G252-8)</f>
        <v/>
      </c>
    </row>
    <row r="253">
      <c r="A253" t="n">
        <v>1103</v>
      </c>
      <c r="B253" s="14" t="n">
        <v>46211</v>
      </c>
      <c r="C253" s="17" t="n">
        <v>0.9166666666666666</v>
      </c>
      <c r="D253" s="17" t="n">
        <v>0.25</v>
      </c>
      <c r="E253" t="inlineStr">
        <is>
          <t>Night</t>
        </is>
      </c>
      <c r="F253" t="inlineStr">
        <is>
          <t>Jul</t>
        </is>
      </c>
      <c r="G253" s="18">
        <f>IF(D253&lt;C253,D253+1-C253,D253-C253)*24</f>
        <v/>
      </c>
      <c r="H253" s="18">
        <f>MAX(0,G253-8)</f>
        <v/>
      </c>
    </row>
    <row r="254">
      <c r="A254" t="n">
        <v>1104</v>
      </c>
      <c r="B254" s="14" t="n">
        <v>46211</v>
      </c>
      <c r="C254" s="17" t="n">
        <v>0.9166666666666666</v>
      </c>
      <c r="D254" s="17" t="n">
        <v>0.375</v>
      </c>
      <c r="E254" t="inlineStr">
        <is>
          <t>Night</t>
        </is>
      </c>
      <c r="F254" t="inlineStr">
        <is>
          <t>Jul</t>
        </is>
      </c>
      <c r="G254" s="18">
        <f>IF(D254&lt;C254,D254+1-C254,D254-C254)*24</f>
        <v/>
      </c>
      <c r="H254" s="18">
        <f>MAX(0,G254-8)</f>
        <v/>
      </c>
    </row>
    <row r="255">
      <c r="A255" t="n">
        <v>1107</v>
      </c>
      <c r="B255" s="14" t="n">
        <v>46211</v>
      </c>
      <c r="C255" s="17" t="n">
        <v>0.9166666666666666</v>
      </c>
      <c r="D255" s="17" t="n">
        <v>0.375</v>
      </c>
      <c r="E255" t="inlineStr">
        <is>
          <t>Night</t>
        </is>
      </c>
      <c r="F255" t="inlineStr">
        <is>
          <t>Jul</t>
        </is>
      </c>
      <c r="G255" s="18">
        <f>IF(D255&lt;C255,D255+1-C255,D255-C255)*24</f>
        <v/>
      </c>
      <c r="H255" s="18">
        <f>MAX(0,G255-8)</f>
        <v/>
      </c>
    </row>
    <row r="256">
      <c r="A256" t="n">
        <v>1109</v>
      </c>
      <c r="B256" s="14" t="n">
        <v>46211</v>
      </c>
      <c r="C256" s="17" t="n">
        <v>0.9166666666666666</v>
      </c>
      <c r="D256" s="17" t="n">
        <v>0.25</v>
      </c>
      <c r="E256" t="inlineStr">
        <is>
          <t>Night</t>
        </is>
      </c>
      <c r="F256" t="inlineStr">
        <is>
          <t>Jul</t>
        </is>
      </c>
      <c r="G256" s="18">
        <f>IF(D256&lt;C256,D256+1-C256,D256-C256)*24</f>
        <v/>
      </c>
      <c r="H256" s="18">
        <f>MAX(0,G256-8)</f>
        <v/>
      </c>
    </row>
    <row r="257">
      <c r="A257" t="n">
        <v>1110</v>
      </c>
      <c r="B257" s="14" t="n">
        <v>46211</v>
      </c>
      <c r="C257" s="17" t="n">
        <v>0.9375</v>
      </c>
      <c r="D257" s="17" t="n">
        <v>0.2708333333333333</v>
      </c>
      <c r="E257" t="inlineStr">
        <is>
          <t>Night</t>
        </is>
      </c>
      <c r="F257" t="inlineStr">
        <is>
          <t>Jul</t>
        </is>
      </c>
      <c r="G257" s="18">
        <f>IF(D257&lt;C257,D257+1-C257,D257-C257)*24</f>
        <v/>
      </c>
      <c r="H257" s="18">
        <f>MAX(0,G257-8)</f>
        <v/>
      </c>
    </row>
    <row r="258">
      <c r="A258" t="n">
        <v>1111</v>
      </c>
      <c r="B258" s="14" t="n">
        <v>46211</v>
      </c>
      <c r="C258" s="17" t="n">
        <v>0.9270833333333334</v>
      </c>
      <c r="D258" s="17" t="n">
        <v>0.3020833333333333</v>
      </c>
      <c r="E258" t="inlineStr">
        <is>
          <t>Night</t>
        </is>
      </c>
      <c r="F258" t="inlineStr">
        <is>
          <t>Jul</t>
        </is>
      </c>
      <c r="G258" s="18">
        <f>IF(D258&lt;C258,D258+1-C258,D258-C258)*24</f>
        <v/>
      </c>
      <c r="H258" s="18">
        <f>MAX(0,G258-8)</f>
        <v/>
      </c>
    </row>
    <row r="259">
      <c r="A259" t="n">
        <v>1112</v>
      </c>
      <c r="B259" s="14" t="n">
        <v>46211</v>
      </c>
      <c r="C259" s="17" t="n">
        <v>0.9166666666666666</v>
      </c>
      <c r="D259" s="17" t="n">
        <v>0.3333333333333333</v>
      </c>
      <c r="E259" t="inlineStr">
        <is>
          <t>Night</t>
        </is>
      </c>
      <c r="F259" t="inlineStr">
        <is>
          <t>Jul</t>
        </is>
      </c>
      <c r="G259" s="18">
        <f>IF(D259&lt;C259,D259+1-C259,D259-C259)*24</f>
        <v/>
      </c>
      <c r="H259" s="18">
        <f>MAX(0,G259-8)</f>
        <v/>
      </c>
    </row>
    <row r="260">
      <c r="A260" t="n">
        <v>1114</v>
      </c>
      <c r="B260" s="14" t="n">
        <v>46211</v>
      </c>
      <c r="C260" s="17" t="n">
        <v>0.9375</v>
      </c>
      <c r="D260" s="17" t="n">
        <v>0.2916666666666667</v>
      </c>
      <c r="E260" t="inlineStr">
        <is>
          <t>Night</t>
        </is>
      </c>
      <c r="F260" t="inlineStr">
        <is>
          <t>Jul</t>
        </is>
      </c>
      <c r="G260" s="18">
        <f>IF(D260&lt;C260,D260+1-C260,D260-C260)*24</f>
        <v/>
      </c>
      <c r="H260" s="18">
        <f>MAX(0,G260-8)</f>
        <v/>
      </c>
    </row>
    <row r="261">
      <c r="A261" t="n">
        <v>1115</v>
      </c>
      <c r="B261" s="14" t="n">
        <v>46211</v>
      </c>
      <c r="C261" s="17" t="n">
        <v>0.9166666666666666</v>
      </c>
      <c r="D261" s="17" t="n">
        <v>0.3541666666666667</v>
      </c>
      <c r="E261" t="inlineStr">
        <is>
          <t>Night</t>
        </is>
      </c>
      <c r="F261" t="inlineStr">
        <is>
          <t>Jul</t>
        </is>
      </c>
      <c r="G261" s="18">
        <f>IF(D261&lt;C261,D261+1-C261,D261-C261)*24</f>
        <v/>
      </c>
      <c r="H261" s="18">
        <f>MAX(0,G261-8)</f>
        <v/>
      </c>
    </row>
    <row r="262">
      <c r="A262" t="n">
        <v>1116</v>
      </c>
      <c r="B262" s="14" t="n">
        <v>46211</v>
      </c>
      <c r="C262" s="17" t="n">
        <v>0.9166666666666666</v>
      </c>
      <c r="D262" s="17" t="n">
        <v>0.2708333333333333</v>
      </c>
      <c r="E262" t="inlineStr">
        <is>
          <t>Night</t>
        </is>
      </c>
      <c r="F262" t="inlineStr">
        <is>
          <t>Jul</t>
        </is>
      </c>
      <c r="G262" s="18">
        <f>IF(D262&lt;C262,D262+1-C262,D262-C262)*24</f>
        <v/>
      </c>
      <c r="H262" s="18">
        <f>MAX(0,G262-8)</f>
        <v/>
      </c>
    </row>
    <row r="263">
      <c r="A263" t="n">
        <v>1117</v>
      </c>
      <c r="B263" s="14" t="n">
        <v>46211</v>
      </c>
      <c r="C263" s="17" t="n">
        <v>0.9166666666666666</v>
      </c>
      <c r="D263" s="17" t="n">
        <v>0.2916666666666667</v>
      </c>
      <c r="E263" t="inlineStr">
        <is>
          <t>Night</t>
        </is>
      </c>
      <c r="F263" t="inlineStr">
        <is>
          <t>Jul</t>
        </is>
      </c>
      <c r="G263" s="18">
        <f>IF(D263&lt;C263,D263+1-C263,D263-C263)*24</f>
        <v/>
      </c>
      <c r="H263" s="18">
        <f>MAX(0,G263-8)</f>
        <v/>
      </c>
    </row>
    <row r="264">
      <c r="A264" t="n">
        <v>1118</v>
      </c>
      <c r="B264" s="14" t="n">
        <v>46211</v>
      </c>
      <c r="C264" s="17" t="n">
        <v>0.9375</v>
      </c>
      <c r="D264" s="17" t="n">
        <v>0.3541666666666667</v>
      </c>
      <c r="E264" t="inlineStr">
        <is>
          <t>Night</t>
        </is>
      </c>
      <c r="F264" t="inlineStr">
        <is>
          <t>Jul</t>
        </is>
      </c>
      <c r="G264" s="18">
        <f>IF(D264&lt;C264,D264+1-C264,D264-C264)*24</f>
        <v/>
      </c>
      <c r="H264" s="18">
        <f>MAX(0,G264-8)</f>
        <v/>
      </c>
    </row>
    <row r="265">
      <c r="A265" t="n">
        <v>1119</v>
      </c>
      <c r="B265" s="14" t="n">
        <v>46211</v>
      </c>
      <c r="C265" s="17" t="n">
        <v>0.9166666666666666</v>
      </c>
      <c r="D265" s="17" t="n">
        <v>0.3541666666666667</v>
      </c>
      <c r="E265" t="inlineStr">
        <is>
          <t>Night</t>
        </is>
      </c>
      <c r="F265" t="inlineStr">
        <is>
          <t>Jul</t>
        </is>
      </c>
      <c r="G265" s="18">
        <f>IF(D265&lt;C265,D265+1-C265,D265-C265)*24</f>
        <v/>
      </c>
      <c r="H265" s="18">
        <f>MAX(0,G265-8)</f>
        <v/>
      </c>
    </row>
    <row r="266">
      <c r="A266" t="n">
        <v>1120</v>
      </c>
      <c r="B266" s="14" t="n">
        <v>46211</v>
      </c>
      <c r="C266" s="17" t="n">
        <v>0.9166666666666666</v>
      </c>
      <c r="D266" s="17" t="n">
        <v>0.25</v>
      </c>
      <c r="E266" t="inlineStr">
        <is>
          <t>Night</t>
        </is>
      </c>
      <c r="F266" t="inlineStr">
        <is>
          <t>Jul</t>
        </is>
      </c>
      <c r="G266" s="18">
        <f>IF(D266&lt;C266,D266+1-C266,D266-C266)*24</f>
        <v/>
      </c>
      <c r="H266" s="18">
        <f>MAX(0,G266-8)</f>
        <v/>
      </c>
    </row>
    <row r="267">
      <c r="A267" t="n">
        <v>1121</v>
      </c>
      <c r="B267" s="14" t="n">
        <v>46211</v>
      </c>
      <c r="C267" s="17" t="n">
        <v>0.9166666666666666</v>
      </c>
      <c r="D267" s="17" t="n">
        <v>0.2708333333333333</v>
      </c>
      <c r="E267" t="inlineStr">
        <is>
          <t>Night</t>
        </is>
      </c>
      <c r="F267" t="inlineStr">
        <is>
          <t>Jul</t>
        </is>
      </c>
      <c r="G267" s="18">
        <f>IF(D267&lt;C267,D267+1-C267,D267-C267)*24</f>
        <v/>
      </c>
      <c r="H267" s="18">
        <f>MAX(0,G267-8)</f>
        <v/>
      </c>
    </row>
    <row r="268">
      <c r="A268" t="n">
        <v>1123</v>
      </c>
      <c r="B268" s="14" t="n">
        <v>46211</v>
      </c>
      <c r="C268" s="17" t="n">
        <v>0.9375</v>
      </c>
      <c r="D268" s="17" t="n">
        <v>0.4166666666666667</v>
      </c>
      <c r="E268" t="inlineStr">
        <is>
          <t>Night</t>
        </is>
      </c>
      <c r="F268" t="inlineStr">
        <is>
          <t>Jul</t>
        </is>
      </c>
      <c r="G268" s="18">
        <f>IF(D268&lt;C268,D268+1-C268,D268-C268)*24</f>
        <v/>
      </c>
      <c r="H268" s="18">
        <f>MAX(0,G268-8)</f>
        <v/>
      </c>
    </row>
    <row r="269">
      <c r="A269" t="n">
        <v>1124</v>
      </c>
      <c r="B269" s="14" t="n">
        <v>46211</v>
      </c>
      <c r="C269" s="17" t="n">
        <v>0.9166666666666666</v>
      </c>
      <c r="D269" s="17" t="n">
        <v>0.3541666666666667</v>
      </c>
      <c r="E269" t="inlineStr">
        <is>
          <t>Night</t>
        </is>
      </c>
      <c r="F269" t="inlineStr">
        <is>
          <t>Jul</t>
        </is>
      </c>
      <c r="G269" s="18">
        <f>IF(D269&lt;C269,D269+1-C269,D269-C269)*24</f>
        <v/>
      </c>
      <c r="H269" s="18">
        <f>MAX(0,G269-8)</f>
        <v/>
      </c>
    </row>
    <row r="270">
      <c r="A270" t="n">
        <v>1126</v>
      </c>
      <c r="B270" s="14" t="n">
        <v>46211</v>
      </c>
      <c r="C270" s="17" t="n">
        <v>0.9166666666666666</v>
      </c>
      <c r="D270" s="17" t="n">
        <v>0.2708333333333333</v>
      </c>
      <c r="E270" t="inlineStr">
        <is>
          <t>Night</t>
        </is>
      </c>
      <c r="F270" t="inlineStr">
        <is>
          <t>Jul</t>
        </is>
      </c>
      <c r="G270" s="18">
        <f>IF(D270&lt;C270,D270+1-C270,D270-C270)*24</f>
        <v/>
      </c>
      <c r="H270" s="18">
        <f>MAX(0,G270-8)</f>
        <v/>
      </c>
    </row>
    <row r="271">
      <c r="A271" t="n">
        <v>1128</v>
      </c>
      <c r="B271" s="14" t="n">
        <v>46211</v>
      </c>
      <c r="C271" s="17" t="n">
        <v>0.9166666666666666</v>
      </c>
      <c r="D271" s="17" t="n">
        <v>0.2708333333333333</v>
      </c>
      <c r="E271" t="inlineStr">
        <is>
          <t>Night</t>
        </is>
      </c>
      <c r="F271" t="inlineStr">
        <is>
          <t>Jul</t>
        </is>
      </c>
      <c r="G271" s="18">
        <f>IF(D271&lt;C271,D271+1-C271,D271-C271)*24</f>
        <v/>
      </c>
      <c r="H271" s="18">
        <f>MAX(0,G271-8)</f>
        <v/>
      </c>
    </row>
    <row r="272">
      <c r="A272" t="n">
        <v>1129</v>
      </c>
      <c r="B272" s="14" t="n">
        <v>46211</v>
      </c>
      <c r="C272" s="17" t="n">
        <v>0.9375</v>
      </c>
      <c r="D272" s="17" t="n">
        <v>0.2708333333333333</v>
      </c>
      <c r="E272" t="inlineStr">
        <is>
          <t>Night</t>
        </is>
      </c>
      <c r="F272" t="inlineStr">
        <is>
          <t>Jul</t>
        </is>
      </c>
      <c r="G272" s="18">
        <f>IF(D272&lt;C272,D272+1-C272,D272-C272)*24</f>
        <v/>
      </c>
      <c r="H272" s="18">
        <f>MAX(0,G272-8)</f>
        <v/>
      </c>
    </row>
    <row r="273">
      <c r="A273" t="n">
        <v>1130</v>
      </c>
      <c r="B273" s="14" t="n">
        <v>46211</v>
      </c>
      <c r="C273" s="17" t="n">
        <v>0.9166666666666666</v>
      </c>
      <c r="D273" s="17" t="n">
        <v>0.2708333333333333</v>
      </c>
      <c r="E273" t="inlineStr">
        <is>
          <t>Night</t>
        </is>
      </c>
      <c r="F273" t="inlineStr">
        <is>
          <t>Jul</t>
        </is>
      </c>
      <c r="G273" s="18">
        <f>IF(D273&lt;C273,D273+1-C273,D273-C273)*24</f>
        <v/>
      </c>
      <c r="H273" s="18">
        <f>MAX(0,G273-8)</f>
        <v/>
      </c>
    </row>
    <row r="274">
      <c r="A274" t="n">
        <v>1131</v>
      </c>
      <c r="B274" s="14" t="n">
        <v>46211</v>
      </c>
      <c r="C274" s="17" t="n">
        <v>0.9375</v>
      </c>
      <c r="D274" s="17" t="n">
        <v>0.2708333333333333</v>
      </c>
      <c r="E274" t="inlineStr">
        <is>
          <t>Night</t>
        </is>
      </c>
      <c r="F274" t="inlineStr">
        <is>
          <t>Jul</t>
        </is>
      </c>
      <c r="G274" s="18">
        <f>IF(D274&lt;C274,D274+1-C274,D274-C274)*24</f>
        <v/>
      </c>
      <c r="H274" s="18">
        <f>MAX(0,G274-8)</f>
        <v/>
      </c>
    </row>
    <row r="275">
      <c r="A275" t="n">
        <v>1132</v>
      </c>
      <c r="B275" s="14" t="n">
        <v>46211</v>
      </c>
      <c r="C275" s="17" t="n">
        <v>0.9166666666666666</v>
      </c>
      <c r="D275" s="17" t="n">
        <v>0.2708333333333333</v>
      </c>
      <c r="E275" t="inlineStr">
        <is>
          <t>Night</t>
        </is>
      </c>
      <c r="F275" t="inlineStr">
        <is>
          <t>Jul</t>
        </is>
      </c>
      <c r="G275" s="18">
        <f>IF(D275&lt;C275,D275+1-C275,D275-C275)*24</f>
        <v/>
      </c>
      <c r="H275" s="18">
        <f>MAX(0,G275-8)</f>
        <v/>
      </c>
    </row>
    <row r="276">
      <c r="A276" t="n">
        <v>1134</v>
      </c>
      <c r="B276" s="14" t="n">
        <v>46211</v>
      </c>
      <c r="C276" s="17" t="n">
        <v>0.9166666666666666</v>
      </c>
      <c r="D276" s="17" t="n">
        <v>0.25</v>
      </c>
      <c r="E276" t="inlineStr">
        <is>
          <t>Night</t>
        </is>
      </c>
      <c r="F276" t="inlineStr">
        <is>
          <t>Jul</t>
        </is>
      </c>
      <c r="G276" s="18">
        <f>IF(D276&lt;C276,D276+1-C276,D276-C276)*24</f>
        <v/>
      </c>
      <c r="H276" s="18">
        <f>MAX(0,G276-8)</f>
        <v/>
      </c>
    </row>
    <row r="277">
      <c r="A277" t="n">
        <v>1137</v>
      </c>
      <c r="B277" s="14" t="n">
        <v>46211</v>
      </c>
      <c r="C277" s="17" t="n">
        <v>0.9166666666666666</v>
      </c>
      <c r="D277" s="17" t="n">
        <v>0.2708333333333333</v>
      </c>
      <c r="E277" t="inlineStr">
        <is>
          <t>Night</t>
        </is>
      </c>
      <c r="F277" t="inlineStr">
        <is>
          <t>Jul</t>
        </is>
      </c>
      <c r="G277" s="18">
        <f>IF(D277&lt;C277,D277+1-C277,D277-C277)*24</f>
        <v/>
      </c>
      <c r="H277" s="18">
        <f>MAX(0,G277-8)</f>
        <v/>
      </c>
    </row>
    <row r="278">
      <c r="A278" t="n">
        <v>1125</v>
      </c>
      <c r="B278" s="14" t="n">
        <v>46211</v>
      </c>
      <c r="C278" s="17" t="n">
        <v>0.01041666666666667</v>
      </c>
      <c r="D278" s="17" t="n">
        <v>0.4479166666666667</v>
      </c>
      <c r="E278" t="inlineStr">
        <is>
          <t>Night</t>
        </is>
      </c>
      <c r="F278" t="inlineStr">
        <is>
          <t>Jul</t>
        </is>
      </c>
      <c r="G278" s="18">
        <f>IF(D278&lt;C278,D278+1-C278,D278-C278)*24</f>
        <v/>
      </c>
      <c r="H278" s="18">
        <f>MAX(0,G278-8)</f>
        <v/>
      </c>
    </row>
    <row r="279">
      <c r="A279" t="n">
        <v>1201</v>
      </c>
      <c r="B279" s="14" t="n">
        <v>46211</v>
      </c>
      <c r="C279" s="17" t="n">
        <v>0.2708333333333333</v>
      </c>
      <c r="D279" s="17" t="n">
        <v>0.625</v>
      </c>
      <c r="E279" t="inlineStr">
        <is>
          <t>Day</t>
        </is>
      </c>
      <c r="F279" t="inlineStr">
        <is>
          <t>Jul</t>
        </is>
      </c>
      <c r="G279" s="18">
        <f>IF(D279&lt;C279,D279+1-C279,D279-C279)*24</f>
        <v/>
      </c>
      <c r="H279" s="18">
        <f>MAX(0,G279-8)</f>
        <v/>
      </c>
    </row>
    <row r="280">
      <c r="A280" t="n">
        <v>1202</v>
      </c>
      <c r="B280" s="14" t="n">
        <v>46211</v>
      </c>
      <c r="C280" s="17" t="n">
        <v>0.25</v>
      </c>
      <c r="D280" s="17" t="n">
        <v>0.6041666666666666</v>
      </c>
      <c r="E280" t="inlineStr">
        <is>
          <t>Day</t>
        </is>
      </c>
      <c r="F280" t="inlineStr">
        <is>
          <t>Jul</t>
        </is>
      </c>
      <c r="G280" s="18">
        <f>IF(D280&lt;C280,D280+1-C280,D280-C280)*24</f>
        <v/>
      </c>
      <c r="H280" s="18">
        <f>MAX(0,G280-8)</f>
        <v/>
      </c>
    </row>
    <row r="281">
      <c r="A281" t="n">
        <v>1203</v>
      </c>
      <c r="B281" s="14" t="n">
        <v>46211</v>
      </c>
      <c r="C281" s="17" t="n">
        <v>0.25</v>
      </c>
      <c r="D281" s="17" t="n">
        <v>0.625</v>
      </c>
      <c r="E281" t="inlineStr">
        <is>
          <t>Day</t>
        </is>
      </c>
      <c r="F281" t="inlineStr">
        <is>
          <t>Jul</t>
        </is>
      </c>
      <c r="G281" s="18">
        <f>IF(D281&lt;C281,D281+1-C281,D281-C281)*24</f>
        <v/>
      </c>
      <c r="H281" s="18">
        <f>MAX(0,G281-8)</f>
        <v/>
      </c>
    </row>
    <row r="282">
      <c r="A282" t="n">
        <v>1204</v>
      </c>
      <c r="B282" s="14" t="n">
        <v>46211</v>
      </c>
      <c r="C282" s="17" t="n">
        <v>0.25</v>
      </c>
      <c r="D282" s="17" t="n">
        <v>0.6666666666666666</v>
      </c>
      <c r="E282" t="inlineStr">
        <is>
          <t>Day</t>
        </is>
      </c>
      <c r="F282" t="inlineStr">
        <is>
          <t>Jul</t>
        </is>
      </c>
      <c r="G282" s="18">
        <f>IF(D282&lt;C282,D282+1-C282,D282-C282)*24</f>
        <v/>
      </c>
      <c r="H282" s="18">
        <f>MAX(0,G282-8)</f>
        <v/>
      </c>
    </row>
    <row r="283">
      <c r="A283" t="n">
        <v>1205</v>
      </c>
      <c r="B283" s="14" t="n">
        <v>46211</v>
      </c>
      <c r="C283" s="17" t="n">
        <v>0.25</v>
      </c>
      <c r="D283" s="17" t="n">
        <v>0.625</v>
      </c>
      <c r="E283" t="inlineStr">
        <is>
          <t>Day</t>
        </is>
      </c>
      <c r="F283" t="inlineStr">
        <is>
          <t>Jul</t>
        </is>
      </c>
      <c r="G283" s="18">
        <f>IF(D283&lt;C283,D283+1-C283,D283-C283)*24</f>
        <v/>
      </c>
      <c r="H283" s="18">
        <f>MAX(0,G283-8)</f>
        <v/>
      </c>
    </row>
    <row r="284">
      <c r="A284" t="n">
        <v>1206</v>
      </c>
      <c r="B284" s="14" t="n">
        <v>46211</v>
      </c>
      <c r="C284" s="17" t="n">
        <v>0.25</v>
      </c>
      <c r="D284" s="17" t="n">
        <v>0.5833333333333334</v>
      </c>
      <c r="E284" t="inlineStr">
        <is>
          <t>Day</t>
        </is>
      </c>
      <c r="F284" t="inlineStr">
        <is>
          <t>Jul</t>
        </is>
      </c>
      <c r="G284" s="18">
        <f>IF(D284&lt;C284,D284+1-C284,D284-C284)*24</f>
        <v/>
      </c>
      <c r="H284" s="18">
        <f>MAX(0,G284-8)</f>
        <v/>
      </c>
    </row>
    <row r="285">
      <c r="A285" t="n">
        <v>1207</v>
      </c>
      <c r="B285" s="14" t="n">
        <v>46211</v>
      </c>
      <c r="C285" s="17" t="n">
        <v>0.2708333333333333</v>
      </c>
      <c r="D285" s="17" t="n">
        <v>0.6041666666666666</v>
      </c>
      <c r="E285" t="inlineStr">
        <is>
          <t>Day</t>
        </is>
      </c>
      <c r="F285" t="inlineStr">
        <is>
          <t>Jul</t>
        </is>
      </c>
      <c r="G285" s="18">
        <f>IF(D285&lt;C285,D285+1-C285,D285-C285)*24</f>
        <v/>
      </c>
      <c r="H285" s="18">
        <f>MAX(0,G285-8)</f>
        <v/>
      </c>
    </row>
    <row r="286">
      <c r="A286" t="n">
        <v>1208</v>
      </c>
      <c r="B286" s="14" t="n">
        <v>46211</v>
      </c>
      <c r="C286" s="17" t="n">
        <v>0.25</v>
      </c>
      <c r="D286" s="17" t="n">
        <v>0.5833333333333334</v>
      </c>
      <c r="E286" t="inlineStr">
        <is>
          <t>Day</t>
        </is>
      </c>
      <c r="F286" t="inlineStr">
        <is>
          <t>Jul</t>
        </is>
      </c>
      <c r="G286" s="18">
        <f>IF(D286&lt;C286,D286+1-C286,D286-C286)*24</f>
        <v/>
      </c>
      <c r="H286" s="18">
        <f>MAX(0,G286-8)</f>
        <v/>
      </c>
    </row>
    <row r="287">
      <c r="A287" t="n">
        <v>1209</v>
      </c>
      <c r="B287" s="14" t="n">
        <v>46211</v>
      </c>
      <c r="C287" s="17" t="n">
        <v>0.2708333333333333</v>
      </c>
      <c r="D287" s="17" t="n">
        <v>0.6458333333333334</v>
      </c>
      <c r="E287" t="inlineStr">
        <is>
          <t>Day</t>
        </is>
      </c>
      <c r="F287" t="inlineStr">
        <is>
          <t>Jul</t>
        </is>
      </c>
      <c r="G287" s="18">
        <f>IF(D287&lt;C287,D287+1-C287,D287-C287)*24</f>
        <v/>
      </c>
      <c r="H287" s="18">
        <f>MAX(0,G287-8)</f>
        <v/>
      </c>
    </row>
    <row r="288">
      <c r="A288" t="n">
        <v>1210</v>
      </c>
      <c r="B288" s="14" t="n">
        <v>46211</v>
      </c>
      <c r="C288" s="17" t="n">
        <v>0.25</v>
      </c>
      <c r="D288" s="17" t="n">
        <v>0.5833333333333334</v>
      </c>
      <c r="E288" t="inlineStr">
        <is>
          <t>Day</t>
        </is>
      </c>
      <c r="F288" t="inlineStr">
        <is>
          <t>Jul</t>
        </is>
      </c>
      <c r="G288" s="18">
        <f>IF(D288&lt;C288,D288+1-C288,D288-C288)*24</f>
        <v/>
      </c>
      <c r="H288" s="18">
        <f>MAX(0,G288-8)</f>
        <v/>
      </c>
    </row>
    <row r="289">
      <c r="A289" t="n">
        <v>1211</v>
      </c>
      <c r="B289" s="14" t="n">
        <v>46211</v>
      </c>
      <c r="C289" s="17" t="n">
        <v>0.25</v>
      </c>
      <c r="D289" s="17" t="n">
        <v>0.5833333333333334</v>
      </c>
      <c r="E289" t="inlineStr">
        <is>
          <t>Day</t>
        </is>
      </c>
      <c r="F289" t="inlineStr">
        <is>
          <t>Jul</t>
        </is>
      </c>
      <c r="G289" s="18">
        <f>IF(D289&lt;C289,D289+1-C289,D289-C289)*24</f>
        <v/>
      </c>
      <c r="H289" s="18">
        <f>MAX(0,G289-8)</f>
        <v/>
      </c>
    </row>
    <row r="290">
      <c r="A290" t="n">
        <v>1212</v>
      </c>
      <c r="B290" s="14" t="n">
        <v>46211</v>
      </c>
      <c r="C290" s="17" t="n">
        <v>0.25</v>
      </c>
      <c r="D290" s="17" t="n">
        <v>0.5833333333333334</v>
      </c>
      <c r="E290" t="inlineStr">
        <is>
          <t>Day</t>
        </is>
      </c>
      <c r="F290" t="inlineStr">
        <is>
          <t>Jul</t>
        </is>
      </c>
      <c r="G290" s="18">
        <f>IF(D290&lt;C290,D290+1-C290,D290-C290)*24</f>
        <v/>
      </c>
      <c r="H290" s="18">
        <f>MAX(0,G290-8)</f>
        <v/>
      </c>
    </row>
    <row r="291">
      <c r="A291" t="n">
        <v>1213</v>
      </c>
      <c r="B291" s="14" t="n">
        <v>46211</v>
      </c>
      <c r="C291" s="17" t="n">
        <v>0.25</v>
      </c>
      <c r="D291" s="17" t="n">
        <v>0.6666666666666666</v>
      </c>
      <c r="E291" t="inlineStr">
        <is>
          <t>Day</t>
        </is>
      </c>
      <c r="F291" t="inlineStr">
        <is>
          <t>Jul</t>
        </is>
      </c>
      <c r="G291" s="18">
        <f>IF(D291&lt;C291,D291+1-C291,D291-C291)*24</f>
        <v/>
      </c>
      <c r="H291" s="18">
        <f>MAX(0,G291-8)</f>
        <v/>
      </c>
    </row>
    <row r="292">
      <c r="A292" t="n">
        <v>1215</v>
      </c>
      <c r="B292" s="14" t="n">
        <v>46211</v>
      </c>
      <c r="C292" s="17" t="n">
        <v>0.25</v>
      </c>
      <c r="D292" s="17" t="n">
        <v>0.6041666666666666</v>
      </c>
      <c r="E292" t="inlineStr">
        <is>
          <t>Day</t>
        </is>
      </c>
      <c r="F292" t="inlineStr">
        <is>
          <t>Jul</t>
        </is>
      </c>
      <c r="G292" s="18">
        <f>IF(D292&lt;C292,D292+1-C292,D292-C292)*24</f>
        <v/>
      </c>
      <c r="H292" s="18">
        <f>MAX(0,G292-8)</f>
        <v/>
      </c>
    </row>
    <row r="293">
      <c r="A293" t="n">
        <v>1216</v>
      </c>
      <c r="B293" s="14" t="n">
        <v>46211</v>
      </c>
      <c r="C293" s="17" t="n">
        <v>0.2708333333333333</v>
      </c>
      <c r="D293" s="17" t="n">
        <v>0.6041666666666666</v>
      </c>
      <c r="E293" t="inlineStr">
        <is>
          <t>Day</t>
        </is>
      </c>
      <c r="F293" t="inlineStr">
        <is>
          <t>Jul</t>
        </is>
      </c>
      <c r="G293" s="18">
        <f>IF(D293&lt;C293,D293+1-C293,D293-C293)*24</f>
        <v/>
      </c>
      <c r="H293" s="18">
        <f>MAX(0,G293-8)</f>
        <v/>
      </c>
    </row>
    <row r="294">
      <c r="A294" t="n">
        <v>1217</v>
      </c>
      <c r="B294" s="14" t="n">
        <v>46211</v>
      </c>
      <c r="C294" s="17" t="n">
        <v>0.2708333333333333</v>
      </c>
      <c r="D294" s="17" t="n">
        <v>0.6041666666666666</v>
      </c>
      <c r="E294" t="inlineStr">
        <is>
          <t>Day</t>
        </is>
      </c>
      <c r="F294" t="inlineStr">
        <is>
          <t>Jul</t>
        </is>
      </c>
      <c r="G294" s="18">
        <f>IF(D294&lt;C294,D294+1-C294,D294-C294)*24</f>
        <v/>
      </c>
      <c r="H294" s="18">
        <f>MAX(0,G294-8)</f>
        <v/>
      </c>
    </row>
    <row r="295">
      <c r="A295" t="n">
        <v>1218</v>
      </c>
      <c r="B295" s="14" t="n">
        <v>46211</v>
      </c>
      <c r="C295" s="17" t="n">
        <v>0.2708333333333333</v>
      </c>
      <c r="D295" s="17" t="n">
        <v>0.6458333333333334</v>
      </c>
      <c r="E295" t="inlineStr">
        <is>
          <t>Day</t>
        </is>
      </c>
      <c r="F295" t="inlineStr">
        <is>
          <t>Jul</t>
        </is>
      </c>
      <c r="G295" s="18">
        <f>IF(D295&lt;C295,D295+1-C295,D295-C295)*24</f>
        <v/>
      </c>
      <c r="H295" s="18">
        <f>MAX(0,G295-8)</f>
        <v/>
      </c>
    </row>
    <row r="296">
      <c r="A296" t="n">
        <v>1219</v>
      </c>
      <c r="B296" s="14" t="n">
        <v>46211</v>
      </c>
      <c r="C296" s="17" t="n">
        <v>0.25</v>
      </c>
      <c r="D296" s="17" t="n">
        <v>0.6666666666666666</v>
      </c>
      <c r="E296" t="inlineStr">
        <is>
          <t>Day</t>
        </is>
      </c>
      <c r="F296" t="inlineStr">
        <is>
          <t>Jul</t>
        </is>
      </c>
      <c r="G296" s="18">
        <f>IF(D296&lt;C296,D296+1-C296,D296-C296)*24</f>
        <v/>
      </c>
      <c r="H296" s="18">
        <f>MAX(0,G296-8)</f>
        <v/>
      </c>
    </row>
    <row r="297">
      <c r="A297" t="n">
        <v>1220</v>
      </c>
      <c r="B297" s="14" t="n">
        <v>46211</v>
      </c>
      <c r="C297" s="17" t="n">
        <v>0.25</v>
      </c>
      <c r="D297" s="17" t="n">
        <v>0.6666666666666666</v>
      </c>
      <c r="E297" t="inlineStr">
        <is>
          <t>Day</t>
        </is>
      </c>
      <c r="F297" t="inlineStr">
        <is>
          <t>Jul</t>
        </is>
      </c>
      <c r="G297" s="18">
        <f>IF(D297&lt;C297,D297+1-C297,D297-C297)*24</f>
        <v/>
      </c>
      <c r="H297" s="18">
        <f>MAX(0,G297-8)</f>
        <v/>
      </c>
    </row>
    <row r="298">
      <c r="A298" t="n">
        <v>1101</v>
      </c>
      <c r="B298" s="14" t="n">
        <v>46212</v>
      </c>
      <c r="C298" s="17" t="n">
        <v>0.9166666666666666</v>
      </c>
      <c r="D298" s="17" t="n">
        <v>0.3958333333333333</v>
      </c>
      <c r="E298" t="inlineStr">
        <is>
          <t>Night</t>
        </is>
      </c>
      <c r="F298" t="inlineStr">
        <is>
          <t>Jul</t>
        </is>
      </c>
      <c r="G298" s="18">
        <f>IF(D298&lt;C298,D298+1-C298,D298-C298)*24</f>
        <v/>
      </c>
      <c r="H298" s="18">
        <f>MAX(0,G298-8)</f>
        <v/>
      </c>
    </row>
    <row r="299">
      <c r="A299" t="n">
        <v>1102</v>
      </c>
      <c r="B299" s="14" t="n">
        <v>46212</v>
      </c>
      <c r="C299" s="17" t="n">
        <v>0.9166666666666666</v>
      </c>
      <c r="D299" s="17" t="n">
        <v>0.2916666666666667</v>
      </c>
      <c r="E299" t="inlineStr">
        <is>
          <t>Night</t>
        </is>
      </c>
      <c r="F299" t="inlineStr">
        <is>
          <t>Jul</t>
        </is>
      </c>
      <c r="G299" s="18">
        <f>IF(D299&lt;C299,D299+1-C299,D299-C299)*24</f>
        <v/>
      </c>
      <c r="H299" s="18">
        <f>MAX(0,G299-8)</f>
        <v/>
      </c>
    </row>
    <row r="300">
      <c r="A300" t="n">
        <v>1103</v>
      </c>
      <c r="B300" s="14" t="n">
        <v>46212</v>
      </c>
      <c r="C300" s="17" t="n">
        <v>0.9166666666666666</v>
      </c>
      <c r="D300" s="17" t="n">
        <v>0.3333333333333333</v>
      </c>
      <c r="E300" t="inlineStr">
        <is>
          <t>Night</t>
        </is>
      </c>
      <c r="F300" t="inlineStr">
        <is>
          <t>Jul</t>
        </is>
      </c>
      <c r="G300" s="18">
        <f>IF(D300&lt;C300,D300+1-C300,D300-C300)*24</f>
        <v/>
      </c>
      <c r="H300" s="18">
        <f>MAX(0,G300-8)</f>
        <v/>
      </c>
    </row>
    <row r="301">
      <c r="A301" t="n">
        <v>1104</v>
      </c>
      <c r="B301" s="14" t="n">
        <v>46212</v>
      </c>
      <c r="C301" s="17" t="n">
        <v>0.9166666666666666</v>
      </c>
      <c r="D301" s="17" t="n">
        <v>0.375</v>
      </c>
      <c r="E301" t="inlineStr">
        <is>
          <t>Night</t>
        </is>
      </c>
      <c r="F301" t="inlineStr">
        <is>
          <t>Jul</t>
        </is>
      </c>
      <c r="G301" s="18">
        <f>IF(D301&lt;C301,D301+1-C301,D301-C301)*24</f>
        <v/>
      </c>
      <c r="H301" s="18">
        <f>MAX(0,G301-8)</f>
        <v/>
      </c>
    </row>
    <row r="302">
      <c r="A302" t="n">
        <v>1108</v>
      </c>
      <c r="B302" s="14" t="n">
        <v>46212</v>
      </c>
      <c r="C302" s="17" t="n">
        <v>0.9375</v>
      </c>
      <c r="D302" s="17" t="n">
        <v>0.3541666666666667</v>
      </c>
      <c r="E302" t="inlineStr">
        <is>
          <t>Night</t>
        </is>
      </c>
      <c r="F302" t="inlineStr">
        <is>
          <t>Jul</t>
        </is>
      </c>
      <c r="G302" s="18">
        <f>IF(D302&lt;C302,D302+1-C302,D302-C302)*24</f>
        <v/>
      </c>
      <c r="H302" s="18">
        <f>MAX(0,G302-8)</f>
        <v/>
      </c>
    </row>
    <row r="303">
      <c r="A303" t="n">
        <v>1109</v>
      </c>
      <c r="B303" s="14" t="n">
        <v>46212</v>
      </c>
      <c r="C303" s="17" t="n">
        <v>0.9166666666666666</v>
      </c>
      <c r="D303" s="17" t="n">
        <v>0.25</v>
      </c>
      <c r="E303" t="inlineStr">
        <is>
          <t>Night</t>
        </is>
      </c>
      <c r="F303" t="inlineStr">
        <is>
          <t>Jul</t>
        </is>
      </c>
      <c r="G303" s="18">
        <f>IF(D303&lt;C303,D303+1-C303,D303-C303)*24</f>
        <v/>
      </c>
      <c r="H303" s="18">
        <f>MAX(0,G303-8)</f>
        <v/>
      </c>
    </row>
    <row r="304">
      <c r="A304" t="n">
        <v>1110</v>
      </c>
      <c r="B304" s="14" t="n">
        <v>46212</v>
      </c>
      <c r="C304" s="17" t="n">
        <v>0.9375</v>
      </c>
      <c r="D304" s="17" t="n">
        <v>0.2708333333333333</v>
      </c>
      <c r="E304" t="inlineStr">
        <is>
          <t>Night</t>
        </is>
      </c>
      <c r="F304" t="inlineStr">
        <is>
          <t>Jul</t>
        </is>
      </c>
      <c r="G304" s="18">
        <f>IF(D304&lt;C304,D304+1-C304,D304-C304)*24</f>
        <v/>
      </c>
      <c r="H304" s="18">
        <f>MAX(0,G304-8)</f>
        <v/>
      </c>
    </row>
    <row r="305">
      <c r="A305" t="n">
        <v>1112</v>
      </c>
      <c r="B305" s="14" t="n">
        <v>46212</v>
      </c>
      <c r="C305" s="17" t="n">
        <v>0.9166666666666666</v>
      </c>
      <c r="D305" s="17" t="n">
        <v>0.3333333333333333</v>
      </c>
      <c r="E305" t="inlineStr">
        <is>
          <t>Night</t>
        </is>
      </c>
      <c r="F305" t="inlineStr">
        <is>
          <t>Jul</t>
        </is>
      </c>
      <c r="G305" s="18">
        <f>IF(D305&lt;C305,D305+1-C305,D305-C305)*24</f>
        <v/>
      </c>
      <c r="H305" s="18">
        <f>MAX(0,G305-8)</f>
        <v/>
      </c>
    </row>
    <row r="306">
      <c r="A306" t="n">
        <v>1113</v>
      </c>
      <c r="B306" s="14" t="n">
        <v>46212</v>
      </c>
      <c r="C306" s="17" t="n">
        <v>0.9375</v>
      </c>
      <c r="D306" s="17" t="n">
        <v>0.3958333333333333</v>
      </c>
      <c r="E306" t="inlineStr">
        <is>
          <t>Night</t>
        </is>
      </c>
      <c r="F306" t="inlineStr">
        <is>
          <t>Jul</t>
        </is>
      </c>
      <c r="G306" s="18">
        <f>IF(D306&lt;C306,D306+1-C306,D306-C306)*24</f>
        <v/>
      </c>
      <c r="H306" s="18">
        <f>MAX(0,G306-8)</f>
        <v/>
      </c>
    </row>
    <row r="307">
      <c r="A307" t="n">
        <v>1114</v>
      </c>
      <c r="B307" s="14" t="n">
        <v>46212</v>
      </c>
      <c r="C307" s="17" t="n">
        <v>0.9270833333333334</v>
      </c>
      <c r="D307" s="17" t="n">
        <v>0.3645833333333333</v>
      </c>
      <c r="E307" t="inlineStr">
        <is>
          <t>Night</t>
        </is>
      </c>
      <c r="F307" t="inlineStr">
        <is>
          <t>Jul</t>
        </is>
      </c>
      <c r="G307" s="18">
        <f>IF(D307&lt;C307,D307+1-C307,D307-C307)*24</f>
        <v/>
      </c>
      <c r="H307" s="18">
        <f>MAX(0,G307-8)</f>
        <v/>
      </c>
    </row>
    <row r="308">
      <c r="A308" t="n">
        <v>1115</v>
      </c>
      <c r="B308" s="14" t="n">
        <v>46212</v>
      </c>
      <c r="C308" s="17" t="n">
        <v>0.9270833333333334</v>
      </c>
      <c r="D308" s="17" t="n">
        <v>0.28125</v>
      </c>
      <c r="E308" t="inlineStr">
        <is>
          <t>Night</t>
        </is>
      </c>
      <c r="F308" t="inlineStr">
        <is>
          <t>Jul</t>
        </is>
      </c>
      <c r="G308" s="18">
        <f>IF(D308&lt;C308,D308+1-C308,D308-C308)*24</f>
        <v/>
      </c>
      <c r="H308" s="18">
        <f>MAX(0,G308-8)</f>
        <v/>
      </c>
    </row>
    <row r="309">
      <c r="A309" t="n">
        <v>1116</v>
      </c>
      <c r="B309" s="14" t="n">
        <v>46212</v>
      </c>
      <c r="C309" s="17" t="n">
        <v>0.9166666666666666</v>
      </c>
      <c r="D309" s="17" t="n">
        <v>0.3333333333333333</v>
      </c>
      <c r="E309" t="inlineStr">
        <is>
          <t>Night</t>
        </is>
      </c>
      <c r="F309" t="inlineStr">
        <is>
          <t>Jul</t>
        </is>
      </c>
      <c r="G309" s="18">
        <f>IF(D309&lt;C309,D309+1-C309,D309-C309)*24</f>
        <v/>
      </c>
      <c r="H309" s="18">
        <f>MAX(0,G309-8)</f>
        <v/>
      </c>
    </row>
    <row r="310">
      <c r="A310" t="n">
        <v>1117</v>
      </c>
      <c r="B310" s="14" t="n">
        <v>46212</v>
      </c>
      <c r="C310" s="17" t="n">
        <v>0.9166666666666666</v>
      </c>
      <c r="D310" s="17" t="n">
        <v>0.25</v>
      </c>
      <c r="E310" t="inlineStr">
        <is>
          <t>Night</t>
        </is>
      </c>
      <c r="F310" t="inlineStr">
        <is>
          <t>Jul</t>
        </is>
      </c>
      <c r="G310" s="18">
        <f>IF(D310&lt;C310,D310+1-C310,D310-C310)*24</f>
        <v/>
      </c>
      <c r="H310" s="18">
        <f>MAX(0,G310-8)</f>
        <v/>
      </c>
    </row>
    <row r="311">
      <c r="A311" t="n">
        <v>1118</v>
      </c>
      <c r="B311" s="14" t="n">
        <v>46212</v>
      </c>
      <c r="C311" s="17" t="n">
        <v>0.9166666666666666</v>
      </c>
      <c r="D311" s="17" t="n">
        <v>0.3958333333333333</v>
      </c>
      <c r="E311" t="inlineStr">
        <is>
          <t>Night</t>
        </is>
      </c>
      <c r="F311" t="inlineStr">
        <is>
          <t>Jul</t>
        </is>
      </c>
      <c r="G311" s="18">
        <f>IF(D311&lt;C311,D311+1-C311,D311-C311)*24</f>
        <v/>
      </c>
      <c r="H311" s="18">
        <f>MAX(0,G311-8)</f>
        <v/>
      </c>
    </row>
    <row r="312">
      <c r="A312" t="n">
        <v>1119</v>
      </c>
      <c r="B312" s="14" t="n">
        <v>46212</v>
      </c>
      <c r="C312" s="17" t="n">
        <v>0.9166666666666666</v>
      </c>
      <c r="D312" s="17" t="n">
        <v>0.375</v>
      </c>
      <c r="E312" t="inlineStr">
        <is>
          <t>Night</t>
        </is>
      </c>
      <c r="F312" t="inlineStr">
        <is>
          <t>Jul</t>
        </is>
      </c>
      <c r="G312" s="18">
        <f>IF(D312&lt;C312,D312+1-C312,D312-C312)*24</f>
        <v/>
      </c>
      <c r="H312" s="18">
        <f>MAX(0,G312-8)</f>
        <v/>
      </c>
    </row>
    <row r="313">
      <c r="A313" t="n">
        <v>1120</v>
      </c>
      <c r="B313" s="14" t="n">
        <v>46212</v>
      </c>
      <c r="C313" s="17" t="n">
        <v>0.9166666666666666</v>
      </c>
      <c r="D313" s="17" t="n">
        <v>0.3125</v>
      </c>
      <c r="E313" t="inlineStr">
        <is>
          <t>Night</t>
        </is>
      </c>
      <c r="F313" t="inlineStr">
        <is>
          <t>Jul</t>
        </is>
      </c>
      <c r="G313" s="18">
        <f>IF(D313&lt;C313,D313+1-C313,D313-C313)*24</f>
        <v/>
      </c>
      <c r="H313" s="18">
        <f>MAX(0,G313-8)</f>
        <v/>
      </c>
    </row>
    <row r="314">
      <c r="A314" t="n">
        <v>1121</v>
      </c>
      <c r="B314" s="14" t="n">
        <v>46212</v>
      </c>
      <c r="C314" s="17" t="n">
        <v>0.9166666666666666</v>
      </c>
      <c r="D314" s="17" t="n">
        <v>0.375</v>
      </c>
      <c r="E314" t="inlineStr">
        <is>
          <t>Night</t>
        </is>
      </c>
      <c r="F314" t="inlineStr">
        <is>
          <t>Jul</t>
        </is>
      </c>
      <c r="G314" s="18">
        <f>IF(D314&lt;C314,D314+1-C314,D314-C314)*24</f>
        <v/>
      </c>
      <c r="H314" s="18">
        <f>MAX(0,G314-8)</f>
        <v/>
      </c>
    </row>
    <row r="315">
      <c r="A315" t="n">
        <v>1122</v>
      </c>
      <c r="B315" s="14" t="n">
        <v>46212</v>
      </c>
      <c r="C315" s="17" t="n">
        <v>0.9166666666666666</v>
      </c>
      <c r="D315" s="17" t="n">
        <v>0.3958333333333333</v>
      </c>
      <c r="E315" t="inlineStr">
        <is>
          <t>Night</t>
        </is>
      </c>
      <c r="F315" t="inlineStr">
        <is>
          <t>Jul</t>
        </is>
      </c>
      <c r="G315" s="18">
        <f>IF(D315&lt;C315,D315+1-C315,D315-C315)*24</f>
        <v/>
      </c>
      <c r="H315" s="18">
        <f>MAX(0,G315-8)</f>
        <v/>
      </c>
    </row>
    <row r="316">
      <c r="A316" t="n">
        <v>1123</v>
      </c>
      <c r="B316" s="14" t="n">
        <v>46212</v>
      </c>
      <c r="C316" s="17" t="n">
        <v>0.9270833333333334</v>
      </c>
      <c r="D316" s="17" t="n">
        <v>0.34375</v>
      </c>
      <c r="E316" t="inlineStr">
        <is>
          <t>Night</t>
        </is>
      </c>
      <c r="F316" t="inlineStr">
        <is>
          <t>Jul</t>
        </is>
      </c>
      <c r="G316" s="18">
        <f>IF(D316&lt;C316,D316+1-C316,D316-C316)*24</f>
        <v/>
      </c>
      <c r="H316" s="18">
        <f>MAX(0,G316-8)</f>
        <v/>
      </c>
    </row>
    <row r="317">
      <c r="A317" t="n">
        <v>1124</v>
      </c>
      <c r="B317" s="14" t="n">
        <v>46212</v>
      </c>
      <c r="C317" s="17" t="n">
        <v>0.9166666666666666</v>
      </c>
      <c r="D317" s="17" t="n">
        <v>0.3958333333333333</v>
      </c>
      <c r="E317" t="inlineStr">
        <is>
          <t>Night</t>
        </is>
      </c>
      <c r="F317" t="inlineStr">
        <is>
          <t>Jul</t>
        </is>
      </c>
      <c r="G317" s="18">
        <f>IF(D317&lt;C317,D317+1-C317,D317-C317)*24</f>
        <v/>
      </c>
      <c r="H317" s="18">
        <f>MAX(0,G317-8)</f>
        <v/>
      </c>
    </row>
    <row r="318">
      <c r="A318" t="n">
        <v>1125</v>
      </c>
      <c r="B318" s="14" t="n">
        <v>46212</v>
      </c>
      <c r="C318" s="17" t="n">
        <v>0.9375</v>
      </c>
      <c r="D318" s="17" t="n">
        <v>0.2708333333333333</v>
      </c>
      <c r="E318" t="inlineStr">
        <is>
          <t>Night</t>
        </is>
      </c>
      <c r="F318" t="inlineStr">
        <is>
          <t>Jul</t>
        </is>
      </c>
      <c r="G318" s="18">
        <f>IF(D318&lt;C318,D318+1-C318,D318-C318)*24</f>
        <v/>
      </c>
      <c r="H318" s="18">
        <f>MAX(0,G318-8)</f>
        <v/>
      </c>
    </row>
    <row r="319">
      <c r="A319" t="n">
        <v>1126</v>
      </c>
      <c r="B319" s="14" t="n">
        <v>46212</v>
      </c>
      <c r="C319" s="17" t="n">
        <v>0.9166666666666666</v>
      </c>
      <c r="D319" s="17" t="n">
        <v>0.3125</v>
      </c>
      <c r="E319" t="inlineStr">
        <is>
          <t>Night</t>
        </is>
      </c>
      <c r="F319" t="inlineStr">
        <is>
          <t>Jul</t>
        </is>
      </c>
      <c r="G319" s="18">
        <f>IF(D319&lt;C319,D319+1-C319,D319-C319)*24</f>
        <v/>
      </c>
      <c r="H319" s="18">
        <f>MAX(0,G319-8)</f>
        <v/>
      </c>
    </row>
    <row r="320">
      <c r="A320" t="n">
        <v>1128</v>
      </c>
      <c r="B320" s="14" t="n">
        <v>46212</v>
      </c>
      <c r="C320" s="17" t="n">
        <v>0.9375</v>
      </c>
      <c r="D320" s="17" t="n">
        <v>0.2916666666666667</v>
      </c>
      <c r="E320" t="inlineStr">
        <is>
          <t>Night</t>
        </is>
      </c>
      <c r="F320" t="inlineStr">
        <is>
          <t>Jul</t>
        </is>
      </c>
      <c r="G320" s="18">
        <f>IF(D320&lt;C320,D320+1-C320,D320-C320)*24</f>
        <v/>
      </c>
      <c r="H320" s="18">
        <f>MAX(0,G320-8)</f>
        <v/>
      </c>
    </row>
    <row r="321">
      <c r="A321" t="n">
        <v>1129</v>
      </c>
      <c r="B321" s="14" t="n">
        <v>46212</v>
      </c>
      <c r="C321" s="17" t="n">
        <v>0.9270833333333334</v>
      </c>
      <c r="D321" s="17" t="n">
        <v>0.28125</v>
      </c>
      <c r="E321" t="inlineStr">
        <is>
          <t>Night</t>
        </is>
      </c>
      <c r="F321" t="inlineStr">
        <is>
          <t>Jul</t>
        </is>
      </c>
      <c r="G321" s="18">
        <f>IF(D321&lt;C321,D321+1-C321,D321-C321)*24</f>
        <v/>
      </c>
      <c r="H321" s="18">
        <f>MAX(0,G321-8)</f>
        <v/>
      </c>
    </row>
    <row r="322">
      <c r="A322" t="n">
        <v>1131</v>
      </c>
      <c r="B322" s="14" t="n">
        <v>46212</v>
      </c>
      <c r="C322" s="17" t="n">
        <v>0.9270833333333334</v>
      </c>
      <c r="D322" s="17" t="n">
        <v>0.3229166666666667</v>
      </c>
      <c r="E322" t="inlineStr">
        <is>
          <t>Night</t>
        </is>
      </c>
      <c r="F322" t="inlineStr">
        <is>
          <t>Jul</t>
        </is>
      </c>
      <c r="G322" s="18">
        <f>IF(D322&lt;C322,D322+1-C322,D322-C322)*24</f>
        <v/>
      </c>
      <c r="H322" s="18">
        <f>MAX(0,G322-8)</f>
        <v/>
      </c>
    </row>
    <row r="323">
      <c r="A323" t="n">
        <v>1132</v>
      </c>
      <c r="B323" s="14" t="n">
        <v>46212</v>
      </c>
      <c r="C323" s="17" t="n">
        <v>0.9166666666666666</v>
      </c>
      <c r="D323" s="17" t="n">
        <v>0.375</v>
      </c>
      <c r="E323" t="inlineStr">
        <is>
          <t>Night</t>
        </is>
      </c>
      <c r="F323" t="inlineStr">
        <is>
          <t>Jul</t>
        </is>
      </c>
      <c r="G323" s="18">
        <f>IF(D323&lt;C323,D323+1-C323,D323-C323)*24</f>
        <v/>
      </c>
      <c r="H323" s="18">
        <f>MAX(0,G323-8)</f>
        <v/>
      </c>
    </row>
    <row r="324">
      <c r="A324" t="n">
        <v>1133</v>
      </c>
      <c r="B324" s="14" t="n">
        <v>46212</v>
      </c>
      <c r="C324" s="17" t="n">
        <v>0.9166666666666666</v>
      </c>
      <c r="D324" s="17" t="n">
        <v>0.2708333333333333</v>
      </c>
      <c r="E324" t="inlineStr">
        <is>
          <t>Night</t>
        </is>
      </c>
      <c r="F324" t="inlineStr">
        <is>
          <t>Jul</t>
        </is>
      </c>
      <c r="G324" s="18">
        <f>IF(D324&lt;C324,D324+1-C324,D324-C324)*24</f>
        <v/>
      </c>
      <c r="H324" s="18">
        <f>MAX(0,G324-8)</f>
        <v/>
      </c>
    </row>
    <row r="325">
      <c r="A325" t="n">
        <v>1134</v>
      </c>
      <c r="B325" s="14" t="n">
        <v>46212</v>
      </c>
      <c r="C325" s="17" t="n">
        <v>0.9166666666666666</v>
      </c>
      <c r="D325" s="17" t="n">
        <v>0.3541666666666667</v>
      </c>
      <c r="E325" t="inlineStr">
        <is>
          <t>Night</t>
        </is>
      </c>
      <c r="F325" t="inlineStr">
        <is>
          <t>Jul</t>
        </is>
      </c>
      <c r="G325" s="18">
        <f>IF(D325&lt;C325,D325+1-C325,D325-C325)*24</f>
        <v/>
      </c>
      <c r="H325" s="18">
        <f>MAX(0,G325-8)</f>
        <v/>
      </c>
    </row>
    <row r="326">
      <c r="A326" t="n">
        <v>1135</v>
      </c>
      <c r="B326" s="14" t="n">
        <v>46212</v>
      </c>
      <c r="C326" s="17" t="n">
        <v>0.9375</v>
      </c>
      <c r="D326" s="17" t="n">
        <v>0.2708333333333333</v>
      </c>
      <c r="E326" t="inlineStr">
        <is>
          <t>Night</t>
        </is>
      </c>
      <c r="F326" t="inlineStr">
        <is>
          <t>Jul</t>
        </is>
      </c>
      <c r="G326" s="18">
        <f>IF(D326&lt;C326,D326+1-C326,D326-C326)*24</f>
        <v/>
      </c>
      <c r="H326" s="18">
        <f>MAX(0,G326-8)</f>
        <v/>
      </c>
    </row>
    <row r="327">
      <c r="A327" t="n">
        <v>1136</v>
      </c>
      <c r="B327" s="14" t="n">
        <v>46212</v>
      </c>
      <c r="C327" s="17" t="n">
        <v>0.9166666666666666</v>
      </c>
      <c r="D327" s="17" t="n">
        <v>0.3958333333333333</v>
      </c>
      <c r="E327" t="inlineStr">
        <is>
          <t>Night</t>
        </is>
      </c>
      <c r="F327" t="inlineStr">
        <is>
          <t>Jul</t>
        </is>
      </c>
      <c r="G327" s="18">
        <f>IF(D327&lt;C327,D327+1-C327,D327-C327)*24</f>
        <v/>
      </c>
      <c r="H327" s="18">
        <f>MAX(0,G327-8)</f>
        <v/>
      </c>
    </row>
    <row r="328">
      <c r="A328" t="n">
        <v>1137</v>
      </c>
      <c r="B328" s="14" t="n">
        <v>46212</v>
      </c>
      <c r="C328" s="17" t="n">
        <v>0.9166666666666666</v>
      </c>
      <c r="D328" s="17" t="n">
        <v>0.3958333333333333</v>
      </c>
      <c r="E328" t="inlineStr">
        <is>
          <t>Night</t>
        </is>
      </c>
      <c r="F328" t="inlineStr">
        <is>
          <t>Jul</t>
        </is>
      </c>
      <c r="G328" s="18">
        <f>IF(D328&lt;C328,D328+1-C328,D328-C328)*24</f>
        <v/>
      </c>
      <c r="H328" s="18">
        <f>MAX(0,G328-8)</f>
        <v/>
      </c>
    </row>
    <row r="329">
      <c r="A329" t="n">
        <v>1147</v>
      </c>
      <c r="B329" s="14" t="n">
        <v>46212</v>
      </c>
      <c r="C329" s="17" t="n">
        <v>0.9166666666666666</v>
      </c>
      <c r="D329" s="17" t="n">
        <v>0.375</v>
      </c>
      <c r="E329" t="inlineStr">
        <is>
          <t>Night</t>
        </is>
      </c>
      <c r="F329" t="inlineStr">
        <is>
          <t>Jul</t>
        </is>
      </c>
      <c r="G329" s="18">
        <f>IF(D329&lt;C329,D329+1-C329,D329-C329)*24</f>
        <v/>
      </c>
      <c r="H329" s="18">
        <f>MAX(0,G329-8)</f>
        <v/>
      </c>
    </row>
    <row r="330">
      <c r="A330" t="n">
        <v>1111</v>
      </c>
      <c r="B330" s="14" t="n">
        <v>46212</v>
      </c>
      <c r="C330" s="17" t="n">
        <v>0.01041666666666667</v>
      </c>
      <c r="D330" s="17" t="n">
        <v>0.34375</v>
      </c>
      <c r="E330" t="inlineStr">
        <is>
          <t>Night</t>
        </is>
      </c>
      <c r="F330" t="inlineStr">
        <is>
          <t>Jul</t>
        </is>
      </c>
      <c r="G330" s="18">
        <f>IF(D330&lt;C330,D330+1-C330,D330-C330)*24</f>
        <v/>
      </c>
      <c r="H330" s="18">
        <f>MAX(0,G330-8)</f>
        <v/>
      </c>
    </row>
    <row r="331">
      <c r="A331" t="n">
        <v>1201</v>
      </c>
      <c r="B331" s="14" t="n">
        <v>46212</v>
      </c>
      <c r="C331" s="17" t="n">
        <v>0.25</v>
      </c>
      <c r="D331" s="17" t="n">
        <v>0.625</v>
      </c>
      <c r="E331" t="inlineStr">
        <is>
          <t>Day</t>
        </is>
      </c>
      <c r="F331" t="inlineStr">
        <is>
          <t>Jul</t>
        </is>
      </c>
      <c r="G331" s="18">
        <f>IF(D331&lt;C331,D331+1-C331,D331-C331)*24</f>
        <v/>
      </c>
      <c r="H331" s="18">
        <f>MAX(0,G331-8)</f>
        <v/>
      </c>
    </row>
    <row r="332">
      <c r="A332" t="n">
        <v>1202</v>
      </c>
      <c r="B332" s="14" t="n">
        <v>46212</v>
      </c>
      <c r="C332" s="17" t="n">
        <v>0.25</v>
      </c>
      <c r="D332" s="17" t="n">
        <v>0.6041666666666666</v>
      </c>
      <c r="E332" t="inlineStr">
        <is>
          <t>Day</t>
        </is>
      </c>
      <c r="F332" t="inlineStr">
        <is>
          <t>Jul</t>
        </is>
      </c>
      <c r="G332" s="18">
        <f>IF(D332&lt;C332,D332+1-C332,D332-C332)*24</f>
        <v/>
      </c>
      <c r="H332" s="18">
        <f>MAX(0,G332-8)</f>
        <v/>
      </c>
    </row>
    <row r="333">
      <c r="A333" t="n">
        <v>1203</v>
      </c>
      <c r="B333" s="14" t="n">
        <v>46212</v>
      </c>
      <c r="C333" s="17" t="n">
        <v>0.25</v>
      </c>
      <c r="D333" s="17" t="n">
        <v>0.625</v>
      </c>
      <c r="E333" t="inlineStr">
        <is>
          <t>Day</t>
        </is>
      </c>
      <c r="F333" t="inlineStr">
        <is>
          <t>Jul</t>
        </is>
      </c>
      <c r="G333" s="18">
        <f>IF(D333&lt;C333,D333+1-C333,D333-C333)*24</f>
        <v/>
      </c>
      <c r="H333" s="18">
        <f>MAX(0,G333-8)</f>
        <v/>
      </c>
    </row>
    <row r="334">
      <c r="A334" t="n">
        <v>1204</v>
      </c>
      <c r="B334" s="14" t="n">
        <v>46212</v>
      </c>
      <c r="C334" s="17" t="n">
        <v>0.25</v>
      </c>
      <c r="D334" s="17" t="n">
        <v>0.6041666666666666</v>
      </c>
      <c r="E334" t="inlineStr">
        <is>
          <t>Day</t>
        </is>
      </c>
      <c r="F334" t="inlineStr">
        <is>
          <t>Jul</t>
        </is>
      </c>
      <c r="G334" s="18">
        <f>IF(D334&lt;C334,D334+1-C334,D334-C334)*24</f>
        <v/>
      </c>
      <c r="H334" s="18">
        <f>MAX(0,G334-8)</f>
        <v/>
      </c>
    </row>
    <row r="335">
      <c r="A335" t="n">
        <v>1205</v>
      </c>
      <c r="B335" s="14" t="n">
        <v>46212</v>
      </c>
      <c r="C335" s="17" t="n">
        <v>0.25</v>
      </c>
      <c r="D335" s="17" t="n">
        <v>0.5833333333333334</v>
      </c>
      <c r="E335" t="inlineStr">
        <is>
          <t>Day</t>
        </is>
      </c>
      <c r="F335" t="inlineStr">
        <is>
          <t>Jul</t>
        </is>
      </c>
      <c r="G335" s="18">
        <f>IF(D335&lt;C335,D335+1-C335,D335-C335)*24</f>
        <v/>
      </c>
      <c r="H335" s="18">
        <f>MAX(0,G335-8)</f>
        <v/>
      </c>
    </row>
    <row r="336">
      <c r="A336" t="n">
        <v>1207</v>
      </c>
      <c r="B336" s="14" t="n">
        <v>46212</v>
      </c>
      <c r="C336" s="17" t="n">
        <v>0.25</v>
      </c>
      <c r="D336" s="17" t="n">
        <v>0.6041666666666666</v>
      </c>
      <c r="E336" t="inlineStr">
        <is>
          <t>Day</t>
        </is>
      </c>
      <c r="F336" t="inlineStr">
        <is>
          <t>Jul</t>
        </is>
      </c>
      <c r="G336" s="18">
        <f>IF(D336&lt;C336,D336+1-C336,D336-C336)*24</f>
        <v/>
      </c>
      <c r="H336" s="18">
        <f>MAX(0,G336-8)</f>
        <v/>
      </c>
    </row>
    <row r="337">
      <c r="A337" t="n">
        <v>1208</v>
      </c>
      <c r="B337" s="14" t="n">
        <v>46212</v>
      </c>
      <c r="C337" s="17" t="n">
        <v>0.2708333333333333</v>
      </c>
      <c r="D337" s="17" t="n">
        <v>0.6041666666666666</v>
      </c>
      <c r="E337" t="inlineStr">
        <is>
          <t>Day</t>
        </is>
      </c>
      <c r="F337" t="inlineStr">
        <is>
          <t>Jul</t>
        </is>
      </c>
      <c r="G337" s="18">
        <f>IF(D337&lt;C337,D337+1-C337,D337-C337)*24</f>
        <v/>
      </c>
      <c r="H337" s="18">
        <f>MAX(0,G337-8)</f>
        <v/>
      </c>
    </row>
    <row r="338">
      <c r="A338" t="n">
        <v>1209</v>
      </c>
      <c r="B338" s="14" t="n">
        <v>46212</v>
      </c>
      <c r="C338" s="17" t="n">
        <v>0.25</v>
      </c>
      <c r="D338" s="17" t="n">
        <v>0.6041666666666666</v>
      </c>
      <c r="E338" t="inlineStr">
        <is>
          <t>Day</t>
        </is>
      </c>
      <c r="F338" t="inlineStr">
        <is>
          <t>Jul</t>
        </is>
      </c>
      <c r="G338" s="18">
        <f>IF(D338&lt;C338,D338+1-C338,D338-C338)*24</f>
        <v/>
      </c>
      <c r="H338" s="18">
        <f>MAX(0,G338-8)</f>
        <v/>
      </c>
    </row>
    <row r="339">
      <c r="A339" t="n">
        <v>1210</v>
      </c>
      <c r="B339" s="14" t="n">
        <v>46212</v>
      </c>
      <c r="C339" s="17" t="n">
        <v>0.2708333333333333</v>
      </c>
      <c r="D339" s="17" t="n">
        <v>0.6875</v>
      </c>
      <c r="E339" t="inlineStr">
        <is>
          <t>Day</t>
        </is>
      </c>
      <c r="F339" t="inlineStr">
        <is>
          <t>Jul</t>
        </is>
      </c>
      <c r="G339" s="18">
        <f>IF(D339&lt;C339,D339+1-C339,D339-C339)*24</f>
        <v/>
      </c>
      <c r="H339" s="18">
        <f>MAX(0,G339-8)</f>
        <v/>
      </c>
    </row>
    <row r="340">
      <c r="A340" t="n">
        <v>1211</v>
      </c>
      <c r="B340" s="14" t="n">
        <v>46212</v>
      </c>
      <c r="C340" s="17" t="n">
        <v>0.2708333333333333</v>
      </c>
      <c r="D340" s="17" t="n">
        <v>0.6875</v>
      </c>
      <c r="E340" t="inlineStr">
        <is>
          <t>Day</t>
        </is>
      </c>
      <c r="F340" t="inlineStr">
        <is>
          <t>Jul</t>
        </is>
      </c>
      <c r="G340" s="18">
        <f>IF(D340&lt;C340,D340+1-C340,D340-C340)*24</f>
        <v/>
      </c>
      <c r="H340" s="18">
        <f>MAX(0,G340-8)</f>
        <v/>
      </c>
    </row>
    <row r="341">
      <c r="A341" t="n">
        <v>1212</v>
      </c>
      <c r="B341" s="14" t="n">
        <v>46212</v>
      </c>
      <c r="C341" s="17" t="n">
        <v>0.2708333333333333</v>
      </c>
      <c r="D341" s="17" t="n">
        <v>0.6041666666666666</v>
      </c>
      <c r="E341" t="inlineStr">
        <is>
          <t>Day</t>
        </is>
      </c>
      <c r="F341" t="inlineStr">
        <is>
          <t>Jul</t>
        </is>
      </c>
      <c r="G341" s="18">
        <f>IF(D341&lt;C341,D341+1-C341,D341-C341)*24</f>
        <v/>
      </c>
      <c r="H341" s="18">
        <f>MAX(0,G341-8)</f>
        <v/>
      </c>
    </row>
    <row r="342">
      <c r="A342" t="n">
        <v>1213</v>
      </c>
      <c r="B342" s="14" t="n">
        <v>46212</v>
      </c>
      <c r="C342" s="17" t="n">
        <v>0.25</v>
      </c>
      <c r="D342" s="17" t="n">
        <v>0.6666666666666666</v>
      </c>
      <c r="E342" t="inlineStr">
        <is>
          <t>Day</t>
        </is>
      </c>
      <c r="F342" t="inlineStr">
        <is>
          <t>Jul</t>
        </is>
      </c>
      <c r="G342" s="18">
        <f>IF(D342&lt;C342,D342+1-C342,D342-C342)*24</f>
        <v/>
      </c>
      <c r="H342" s="18">
        <f>MAX(0,G342-8)</f>
        <v/>
      </c>
    </row>
    <row r="343">
      <c r="A343" t="n">
        <v>1214</v>
      </c>
      <c r="B343" s="14" t="n">
        <v>46212</v>
      </c>
      <c r="C343" s="17" t="n">
        <v>0.2708333333333333</v>
      </c>
      <c r="D343" s="17" t="n">
        <v>0.6041666666666666</v>
      </c>
      <c r="E343" t="inlineStr">
        <is>
          <t>Day</t>
        </is>
      </c>
      <c r="F343" t="inlineStr">
        <is>
          <t>Jul</t>
        </is>
      </c>
      <c r="G343" s="18">
        <f>IF(D343&lt;C343,D343+1-C343,D343-C343)*24</f>
        <v/>
      </c>
      <c r="H343" s="18">
        <f>MAX(0,G343-8)</f>
        <v/>
      </c>
    </row>
    <row r="344">
      <c r="A344" t="n">
        <v>1215</v>
      </c>
      <c r="B344" s="14" t="n">
        <v>46212</v>
      </c>
      <c r="C344" s="17" t="n">
        <v>0.25</v>
      </c>
      <c r="D344" s="17" t="n">
        <v>0.5833333333333334</v>
      </c>
      <c r="E344" t="inlineStr">
        <is>
          <t>Day</t>
        </is>
      </c>
      <c r="F344" t="inlineStr">
        <is>
          <t>Jul</t>
        </is>
      </c>
      <c r="G344" s="18">
        <f>IF(D344&lt;C344,D344+1-C344,D344-C344)*24</f>
        <v/>
      </c>
      <c r="H344" s="18">
        <f>MAX(0,G344-8)</f>
        <v/>
      </c>
    </row>
    <row r="345">
      <c r="A345" t="n">
        <v>1216</v>
      </c>
      <c r="B345" s="14" t="n">
        <v>46212</v>
      </c>
      <c r="C345" s="17" t="n">
        <v>0.2708333333333333</v>
      </c>
      <c r="D345" s="17" t="n">
        <v>0.6041666666666666</v>
      </c>
      <c r="E345" t="inlineStr">
        <is>
          <t>Day</t>
        </is>
      </c>
      <c r="F345" t="inlineStr">
        <is>
          <t>Jul</t>
        </is>
      </c>
      <c r="G345" s="18">
        <f>IF(D345&lt;C345,D345+1-C345,D345-C345)*24</f>
        <v/>
      </c>
      <c r="H345" s="18">
        <f>MAX(0,G345-8)</f>
        <v/>
      </c>
    </row>
    <row r="346">
      <c r="A346" t="n">
        <v>1217</v>
      </c>
      <c r="B346" s="14" t="n">
        <v>46212</v>
      </c>
      <c r="C346" s="17" t="n">
        <v>0.25</v>
      </c>
      <c r="D346" s="17" t="n">
        <v>0.6666666666666666</v>
      </c>
      <c r="E346" t="inlineStr">
        <is>
          <t>Day</t>
        </is>
      </c>
      <c r="F346" t="inlineStr">
        <is>
          <t>Jul</t>
        </is>
      </c>
      <c r="G346" s="18">
        <f>IF(D346&lt;C346,D346+1-C346,D346-C346)*24</f>
        <v/>
      </c>
      <c r="H346" s="18">
        <f>MAX(0,G346-8)</f>
        <v/>
      </c>
    </row>
    <row r="347">
      <c r="A347" t="n">
        <v>1218</v>
      </c>
      <c r="B347" s="14" t="n">
        <v>46212</v>
      </c>
      <c r="C347" s="17" t="n">
        <v>0.25</v>
      </c>
      <c r="D347" s="17" t="n">
        <v>0.6041666666666666</v>
      </c>
      <c r="E347" t="inlineStr">
        <is>
          <t>Day</t>
        </is>
      </c>
      <c r="F347" t="inlineStr">
        <is>
          <t>Jul</t>
        </is>
      </c>
      <c r="G347" s="18">
        <f>IF(D347&lt;C347,D347+1-C347,D347-C347)*24</f>
        <v/>
      </c>
      <c r="H347" s="18">
        <f>MAX(0,G347-8)</f>
        <v/>
      </c>
    </row>
    <row r="348">
      <c r="A348" t="n">
        <v>1219</v>
      </c>
      <c r="B348" s="14" t="n">
        <v>46212</v>
      </c>
      <c r="C348" s="17" t="n">
        <v>0.25</v>
      </c>
      <c r="D348" s="17" t="n">
        <v>0.6666666666666666</v>
      </c>
      <c r="E348" t="inlineStr">
        <is>
          <t>Day</t>
        </is>
      </c>
      <c r="F348" t="inlineStr">
        <is>
          <t>Jul</t>
        </is>
      </c>
      <c r="G348" s="18">
        <f>IF(D348&lt;C348,D348+1-C348,D348-C348)*24</f>
        <v/>
      </c>
      <c r="H348" s="18">
        <f>MAX(0,G348-8)</f>
        <v/>
      </c>
    </row>
    <row r="349">
      <c r="A349" t="n">
        <v>1220</v>
      </c>
      <c r="B349" s="14" t="n">
        <v>46212</v>
      </c>
      <c r="C349" s="17" t="n">
        <v>0.2708333333333333</v>
      </c>
      <c r="D349" s="17" t="n">
        <v>0.6041666666666666</v>
      </c>
      <c r="E349" t="inlineStr">
        <is>
          <t>Day</t>
        </is>
      </c>
      <c r="F349" t="inlineStr">
        <is>
          <t>Jul</t>
        </is>
      </c>
      <c r="G349" s="18">
        <f>IF(D349&lt;C349,D349+1-C349,D349-C349)*24</f>
        <v/>
      </c>
      <c r="H349" s="18">
        <f>MAX(0,G349-8)</f>
        <v/>
      </c>
    </row>
    <row r="350">
      <c r="A350" t="n">
        <v>1101</v>
      </c>
      <c r="B350" s="14" t="n">
        <v>46213</v>
      </c>
      <c r="C350" s="17" t="n">
        <v>0.9375</v>
      </c>
      <c r="D350" s="17" t="n">
        <v>0.3333333333333333</v>
      </c>
      <c r="E350" t="inlineStr">
        <is>
          <t>Night</t>
        </is>
      </c>
      <c r="F350" t="inlineStr">
        <is>
          <t>Jul</t>
        </is>
      </c>
      <c r="G350" s="18">
        <f>IF(D350&lt;C350,D350+1-C350,D350-C350)*24</f>
        <v/>
      </c>
      <c r="H350" s="18">
        <f>MAX(0,G350-8)</f>
        <v/>
      </c>
    </row>
    <row r="351">
      <c r="A351" t="n">
        <v>1102</v>
      </c>
      <c r="B351" s="14" t="n">
        <v>46213</v>
      </c>
      <c r="C351" s="17" t="n">
        <v>0.9270833333333334</v>
      </c>
      <c r="D351" s="17" t="n">
        <v>0.34375</v>
      </c>
      <c r="E351" t="inlineStr">
        <is>
          <t>Night</t>
        </is>
      </c>
      <c r="F351" t="inlineStr">
        <is>
          <t>Jul</t>
        </is>
      </c>
      <c r="G351" s="18">
        <f>IF(D351&lt;C351,D351+1-C351,D351-C351)*24</f>
        <v/>
      </c>
      <c r="H351" s="18">
        <f>MAX(0,G351-8)</f>
        <v/>
      </c>
    </row>
    <row r="352">
      <c r="A352" t="n">
        <v>1104</v>
      </c>
      <c r="B352" s="14" t="n">
        <v>46213</v>
      </c>
      <c r="C352" s="17" t="n">
        <v>0.9375</v>
      </c>
      <c r="D352" s="17" t="n">
        <v>0.375</v>
      </c>
      <c r="E352" t="inlineStr">
        <is>
          <t>Night</t>
        </is>
      </c>
      <c r="F352" t="inlineStr">
        <is>
          <t>Jul</t>
        </is>
      </c>
      <c r="G352" s="18">
        <f>IF(D352&lt;C352,D352+1-C352,D352-C352)*24</f>
        <v/>
      </c>
      <c r="H352" s="18">
        <f>MAX(0,G352-8)</f>
        <v/>
      </c>
    </row>
    <row r="353">
      <c r="A353" t="n">
        <v>1110</v>
      </c>
      <c r="B353" s="14" t="n">
        <v>46213</v>
      </c>
      <c r="C353" s="17" t="n">
        <v>0.9166666666666666</v>
      </c>
      <c r="D353" s="17" t="n">
        <v>0.3958333333333333</v>
      </c>
      <c r="E353" t="inlineStr">
        <is>
          <t>Night</t>
        </is>
      </c>
      <c r="F353" t="inlineStr">
        <is>
          <t>Jul</t>
        </is>
      </c>
      <c r="G353" s="18">
        <f>IF(D353&lt;C353,D353+1-C353,D353-C353)*24</f>
        <v/>
      </c>
      <c r="H353" s="18">
        <f>MAX(0,G353-8)</f>
        <v/>
      </c>
    </row>
    <row r="354">
      <c r="A354" t="n">
        <v>1111</v>
      </c>
      <c r="B354" s="14" t="n">
        <v>46213</v>
      </c>
      <c r="C354" s="17" t="n">
        <v>0.9375</v>
      </c>
      <c r="D354" s="17" t="n">
        <v>0.3333333333333333</v>
      </c>
      <c r="E354" t="inlineStr">
        <is>
          <t>Night</t>
        </is>
      </c>
      <c r="F354" t="inlineStr">
        <is>
          <t>Jul</t>
        </is>
      </c>
      <c r="G354" s="18">
        <f>IF(D354&lt;C354,D354+1-C354,D354-C354)*24</f>
        <v/>
      </c>
      <c r="H354" s="18">
        <f>MAX(0,G354-8)</f>
        <v/>
      </c>
    </row>
    <row r="355">
      <c r="A355" t="n">
        <v>1113</v>
      </c>
      <c r="B355" s="14" t="n">
        <v>46213</v>
      </c>
      <c r="C355" s="17" t="n">
        <v>0.9166666666666666</v>
      </c>
      <c r="D355" s="17" t="n">
        <v>0.3541666666666667</v>
      </c>
      <c r="E355" t="inlineStr">
        <is>
          <t>Night</t>
        </is>
      </c>
      <c r="F355" t="inlineStr">
        <is>
          <t>Jul</t>
        </is>
      </c>
      <c r="G355" s="18">
        <f>IF(D355&lt;C355,D355+1-C355,D355-C355)*24</f>
        <v/>
      </c>
      <c r="H355" s="18">
        <f>MAX(0,G355-8)</f>
        <v/>
      </c>
    </row>
    <row r="356">
      <c r="A356" t="n">
        <v>1114</v>
      </c>
      <c r="B356" s="14" t="n">
        <v>46213</v>
      </c>
      <c r="C356" s="17" t="n">
        <v>0.9166666666666666</v>
      </c>
      <c r="D356" s="17" t="n">
        <v>0.2708333333333333</v>
      </c>
      <c r="E356" t="inlineStr">
        <is>
          <t>Night</t>
        </is>
      </c>
      <c r="F356" t="inlineStr">
        <is>
          <t>Jul</t>
        </is>
      </c>
      <c r="G356" s="18">
        <f>IF(D356&lt;C356,D356+1-C356,D356-C356)*24</f>
        <v/>
      </c>
      <c r="H356" s="18">
        <f>MAX(0,G356-8)</f>
        <v/>
      </c>
    </row>
    <row r="357">
      <c r="A357" t="n">
        <v>1115</v>
      </c>
      <c r="B357" s="14" t="n">
        <v>46213</v>
      </c>
      <c r="C357" s="17" t="n">
        <v>0.9166666666666666</v>
      </c>
      <c r="D357" s="17" t="n">
        <v>0.25</v>
      </c>
      <c r="E357" t="inlineStr">
        <is>
          <t>Night</t>
        </is>
      </c>
      <c r="F357" t="inlineStr">
        <is>
          <t>Jul</t>
        </is>
      </c>
      <c r="G357" s="18">
        <f>IF(D357&lt;C357,D357+1-C357,D357-C357)*24</f>
        <v/>
      </c>
      <c r="H357" s="18">
        <f>MAX(0,G357-8)</f>
        <v/>
      </c>
    </row>
    <row r="358">
      <c r="A358" t="n">
        <v>1118</v>
      </c>
      <c r="B358" s="14" t="n">
        <v>46213</v>
      </c>
      <c r="C358" s="17" t="n">
        <v>0.9166666666666666</v>
      </c>
      <c r="D358" s="17" t="n">
        <v>0.3541666666666667</v>
      </c>
      <c r="E358" t="inlineStr">
        <is>
          <t>Night</t>
        </is>
      </c>
      <c r="F358" t="inlineStr">
        <is>
          <t>Jul</t>
        </is>
      </c>
      <c r="G358" s="18">
        <f>IF(D358&lt;C358,D358+1-C358,D358-C358)*24</f>
        <v/>
      </c>
      <c r="H358" s="18">
        <f>MAX(0,G358-8)</f>
        <v/>
      </c>
    </row>
    <row r="359">
      <c r="A359" t="n">
        <v>1119</v>
      </c>
      <c r="B359" s="14" t="n">
        <v>46213</v>
      </c>
      <c r="C359" s="17" t="n">
        <v>0.9166666666666666</v>
      </c>
      <c r="D359" s="17" t="n">
        <v>0.3125</v>
      </c>
      <c r="E359" t="inlineStr">
        <is>
          <t>Night</t>
        </is>
      </c>
      <c r="F359" t="inlineStr">
        <is>
          <t>Jul</t>
        </is>
      </c>
      <c r="G359" s="18">
        <f>IF(D359&lt;C359,D359+1-C359,D359-C359)*24</f>
        <v/>
      </c>
      <c r="H359" s="18">
        <f>MAX(0,G359-8)</f>
        <v/>
      </c>
    </row>
    <row r="360">
      <c r="A360" t="n">
        <v>1120</v>
      </c>
      <c r="B360" s="14" t="n">
        <v>46213</v>
      </c>
      <c r="C360" s="17" t="n">
        <v>0.9270833333333334</v>
      </c>
      <c r="D360" s="17" t="n">
        <v>0.3854166666666667</v>
      </c>
      <c r="E360" t="inlineStr">
        <is>
          <t>Night</t>
        </is>
      </c>
      <c r="F360" t="inlineStr">
        <is>
          <t>Jul</t>
        </is>
      </c>
      <c r="G360" s="18">
        <f>IF(D360&lt;C360,D360+1-C360,D360-C360)*24</f>
        <v/>
      </c>
      <c r="H360" s="18">
        <f>MAX(0,G360-8)</f>
        <v/>
      </c>
    </row>
    <row r="361">
      <c r="A361" t="n">
        <v>1121</v>
      </c>
      <c r="B361" s="14" t="n">
        <v>46213</v>
      </c>
      <c r="C361" s="17" t="n">
        <v>0.9375</v>
      </c>
      <c r="D361" s="17" t="n">
        <v>0.3125</v>
      </c>
      <c r="E361" t="inlineStr">
        <is>
          <t>Night</t>
        </is>
      </c>
      <c r="F361" t="inlineStr">
        <is>
          <t>Jul</t>
        </is>
      </c>
      <c r="G361" s="18">
        <f>IF(D361&lt;C361,D361+1-C361,D361-C361)*24</f>
        <v/>
      </c>
      <c r="H361" s="18">
        <f>MAX(0,G361-8)</f>
        <v/>
      </c>
    </row>
    <row r="362">
      <c r="A362" t="n">
        <v>1122</v>
      </c>
      <c r="B362" s="14" t="n">
        <v>46213</v>
      </c>
      <c r="C362" s="17" t="n">
        <v>0.9166666666666666</v>
      </c>
      <c r="D362" s="17" t="n">
        <v>0.3958333333333333</v>
      </c>
      <c r="E362" t="inlineStr">
        <is>
          <t>Night</t>
        </is>
      </c>
      <c r="F362" t="inlineStr">
        <is>
          <t>Jul</t>
        </is>
      </c>
      <c r="G362" s="18">
        <f>IF(D362&lt;C362,D362+1-C362,D362-C362)*24</f>
        <v/>
      </c>
      <c r="H362" s="18">
        <f>MAX(0,G362-8)</f>
        <v/>
      </c>
    </row>
    <row r="363">
      <c r="A363" t="n">
        <v>1123</v>
      </c>
      <c r="B363" s="14" t="n">
        <v>46213</v>
      </c>
      <c r="C363" s="17" t="n">
        <v>0.9270833333333334</v>
      </c>
      <c r="D363" s="17" t="n">
        <v>0.28125</v>
      </c>
      <c r="E363" t="inlineStr">
        <is>
          <t>Night</t>
        </is>
      </c>
      <c r="F363" t="inlineStr">
        <is>
          <t>Jul</t>
        </is>
      </c>
      <c r="G363" s="18">
        <f>IF(D363&lt;C363,D363+1-C363,D363-C363)*24</f>
        <v/>
      </c>
      <c r="H363" s="18">
        <f>MAX(0,G363-8)</f>
        <v/>
      </c>
    </row>
    <row r="364">
      <c r="A364" t="n">
        <v>1124</v>
      </c>
      <c r="B364" s="14" t="n">
        <v>46213</v>
      </c>
      <c r="C364" s="17" t="n">
        <v>0.9270833333333334</v>
      </c>
      <c r="D364" s="17" t="n">
        <v>0.28125</v>
      </c>
      <c r="E364" t="inlineStr">
        <is>
          <t>Night</t>
        </is>
      </c>
      <c r="F364" t="inlineStr">
        <is>
          <t>Jul</t>
        </is>
      </c>
      <c r="G364" s="18">
        <f>IF(D364&lt;C364,D364+1-C364,D364-C364)*24</f>
        <v/>
      </c>
      <c r="H364" s="18">
        <f>MAX(0,G364-8)</f>
        <v/>
      </c>
    </row>
    <row r="365">
      <c r="A365" t="n">
        <v>1125</v>
      </c>
      <c r="B365" s="14" t="n">
        <v>46213</v>
      </c>
      <c r="C365" s="17" t="n">
        <v>0.9166666666666666</v>
      </c>
      <c r="D365" s="17" t="n">
        <v>0.2916666666666667</v>
      </c>
      <c r="E365" t="inlineStr">
        <is>
          <t>Night</t>
        </is>
      </c>
      <c r="F365" t="inlineStr">
        <is>
          <t>Jul</t>
        </is>
      </c>
      <c r="G365" s="18">
        <f>IF(D365&lt;C365,D365+1-C365,D365-C365)*24</f>
        <v/>
      </c>
      <c r="H365" s="18">
        <f>MAX(0,G365-8)</f>
        <v/>
      </c>
    </row>
    <row r="366">
      <c r="A366" t="n">
        <v>1128</v>
      </c>
      <c r="B366" s="14" t="n">
        <v>46213</v>
      </c>
      <c r="C366" s="17" t="n">
        <v>0.9166666666666666</v>
      </c>
      <c r="D366" s="17" t="n">
        <v>0.3958333333333333</v>
      </c>
      <c r="E366" t="inlineStr">
        <is>
          <t>Night</t>
        </is>
      </c>
      <c r="F366" t="inlineStr">
        <is>
          <t>Jul</t>
        </is>
      </c>
      <c r="G366" s="18">
        <f>IF(D366&lt;C366,D366+1-C366,D366-C366)*24</f>
        <v/>
      </c>
      <c r="H366" s="18">
        <f>MAX(0,G366-8)</f>
        <v/>
      </c>
    </row>
    <row r="367">
      <c r="A367" t="n">
        <v>1130</v>
      </c>
      <c r="B367" s="14" t="n">
        <v>46213</v>
      </c>
      <c r="C367" s="17" t="n">
        <v>0.9375</v>
      </c>
      <c r="D367" s="17" t="n">
        <v>0.3958333333333333</v>
      </c>
      <c r="E367" t="inlineStr">
        <is>
          <t>Night</t>
        </is>
      </c>
      <c r="F367" t="inlineStr">
        <is>
          <t>Jul</t>
        </is>
      </c>
      <c r="G367" s="18">
        <f>IF(D367&lt;C367,D367+1-C367,D367-C367)*24</f>
        <v/>
      </c>
      <c r="H367" s="18">
        <f>MAX(0,G367-8)</f>
        <v/>
      </c>
    </row>
    <row r="368">
      <c r="A368" t="n">
        <v>1131</v>
      </c>
      <c r="B368" s="14" t="n">
        <v>46213</v>
      </c>
      <c r="C368" s="17" t="n">
        <v>0.9270833333333334</v>
      </c>
      <c r="D368" s="17" t="n">
        <v>0.2604166666666667</v>
      </c>
      <c r="E368" t="inlineStr">
        <is>
          <t>Night</t>
        </is>
      </c>
      <c r="F368" t="inlineStr">
        <is>
          <t>Jul</t>
        </is>
      </c>
      <c r="G368" s="18">
        <f>IF(D368&lt;C368,D368+1-C368,D368-C368)*24</f>
        <v/>
      </c>
      <c r="H368" s="18">
        <f>MAX(0,G368-8)</f>
        <v/>
      </c>
    </row>
    <row r="369">
      <c r="A369" t="n">
        <v>1132</v>
      </c>
      <c r="B369" s="14" t="n">
        <v>46213</v>
      </c>
      <c r="C369" s="17" t="n">
        <v>0.9166666666666666</v>
      </c>
      <c r="D369" s="17" t="n">
        <v>0.2708333333333333</v>
      </c>
      <c r="E369" t="inlineStr">
        <is>
          <t>Night</t>
        </is>
      </c>
      <c r="F369" t="inlineStr">
        <is>
          <t>Jul</t>
        </is>
      </c>
      <c r="G369" s="18">
        <f>IF(D369&lt;C369,D369+1-C369,D369-C369)*24</f>
        <v/>
      </c>
      <c r="H369" s="18">
        <f>MAX(0,G369-8)</f>
        <v/>
      </c>
    </row>
    <row r="370">
      <c r="A370" t="n">
        <v>1133</v>
      </c>
      <c r="B370" s="14" t="n">
        <v>46213</v>
      </c>
      <c r="C370" s="17" t="n">
        <v>0.9166666666666666</v>
      </c>
      <c r="D370" s="17" t="n">
        <v>0.2708333333333333</v>
      </c>
      <c r="E370" t="inlineStr">
        <is>
          <t>Night</t>
        </is>
      </c>
      <c r="F370" t="inlineStr">
        <is>
          <t>Jul</t>
        </is>
      </c>
      <c r="G370" s="18">
        <f>IF(D370&lt;C370,D370+1-C370,D370-C370)*24</f>
        <v/>
      </c>
      <c r="H370" s="18">
        <f>MAX(0,G370-8)</f>
        <v/>
      </c>
    </row>
    <row r="371">
      <c r="A371" t="n">
        <v>1134</v>
      </c>
      <c r="B371" s="14" t="n">
        <v>46213</v>
      </c>
      <c r="C371" s="17" t="n">
        <v>0.9166666666666666</v>
      </c>
      <c r="D371" s="17" t="n">
        <v>0.3333333333333333</v>
      </c>
      <c r="E371" t="inlineStr">
        <is>
          <t>Night</t>
        </is>
      </c>
      <c r="F371" t="inlineStr">
        <is>
          <t>Jul</t>
        </is>
      </c>
      <c r="G371" s="18">
        <f>IF(D371&lt;C371,D371+1-C371,D371-C371)*24</f>
        <v/>
      </c>
      <c r="H371" s="18">
        <f>MAX(0,G371-8)</f>
        <v/>
      </c>
    </row>
    <row r="372">
      <c r="A372" t="n">
        <v>1135</v>
      </c>
      <c r="B372" s="14" t="n">
        <v>46213</v>
      </c>
      <c r="C372" s="17" t="n">
        <v>0.9375</v>
      </c>
      <c r="D372" s="17" t="n">
        <v>0.4166666666666667</v>
      </c>
      <c r="E372" t="inlineStr">
        <is>
          <t>Night</t>
        </is>
      </c>
      <c r="F372" t="inlineStr">
        <is>
          <t>Jul</t>
        </is>
      </c>
      <c r="G372" s="18">
        <f>IF(D372&lt;C372,D372+1-C372,D372-C372)*24</f>
        <v/>
      </c>
      <c r="H372" s="18">
        <f>MAX(0,G372-8)</f>
        <v/>
      </c>
    </row>
    <row r="373">
      <c r="A373" t="n">
        <v>1136</v>
      </c>
      <c r="B373" s="14" t="n">
        <v>46213</v>
      </c>
      <c r="C373" s="17" t="n">
        <v>0.9270833333333334</v>
      </c>
      <c r="D373" s="17" t="n">
        <v>0.3854166666666667</v>
      </c>
      <c r="E373" t="inlineStr">
        <is>
          <t>Night</t>
        </is>
      </c>
      <c r="F373" t="inlineStr">
        <is>
          <t>Jul</t>
        </is>
      </c>
      <c r="G373" s="18">
        <f>IF(D373&lt;C373,D373+1-C373,D373-C373)*24</f>
        <v/>
      </c>
      <c r="H373" s="18">
        <f>MAX(0,G373-8)</f>
        <v/>
      </c>
    </row>
    <row r="374">
      <c r="A374" t="n">
        <v>1137</v>
      </c>
      <c r="B374" s="14" t="n">
        <v>46213</v>
      </c>
      <c r="C374" s="17" t="n">
        <v>0.9166666666666666</v>
      </c>
      <c r="D374" s="17" t="n">
        <v>0.3125</v>
      </c>
      <c r="E374" t="inlineStr">
        <is>
          <t>Night</t>
        </is>
      </c>
      <c r="F374" t="inlineStr">
        <is>
          <t>Jul</t>
        </is>
      </c>
      <c r="G374" s="18">
        <f>IF(D374&lt;C374,D374+1-C374,D374-C374)*24</f>
        <v/>
      </c>
      <c r="H374" s="18">
        <f>MAX(0,G374-8)</f>
        <v/>
      </c>
    </row>
    <row r="375">
      <c r="A375" t="n">
        <v>1147</v>
      </c>
      <c r="B375" s="14" t="n">
        <v>46213</v>
      </c>
      <c r="C375" s="17" t="n">
        <v>0.9166666666666666</v>
      </c>
      <c r="D375" s="17" t="n">
        <v>0.2708333333333333</v>
      </c>
      <c r="E375" t="inlineStr">
        <is>
          <t>Night</t>
        </is>
      </c>
      <c r="F375" t="inlineStr">
        <is>
          <t>Jul</t>
        </is>
      </c>
      <c r="G375" s="18">
        <f>IF(D375&lt;C375,D375+1-C375,D375-C375)*24</f>
        <v/>
      </c>
      <c r="H375" s="18">
        <f>MAX(0,G375-8)</f>
        <v/>
      </c>
    </row>
    <row r="376">
      <c r="A376" t="n">
        <v>1112</v>
      </c>
      <c r="B376" s="14" t="n">
        <v>46213</v>
      </c>
      <c r="C376" s="17" t="n">
        <v>0.01041666666666667</v>
      </c>
      <c r="D376" s="17" t="n">
        <v>0.4479166666666667</v>
      </c>
      <c r="E376" t="inlineStr">
        <is>
          <t>Night</t>
        </is>
      </c>
      <c r="F376" t="inlineStr">
        <is>
          <t>Jul</t>
        </is>
      </c>
      <c r="G376" s="18">
        <f>IF(D376&lt;C376,D376+1-C376,D376-C376)*24</f>
        <v/>
      </c>
      <c r="H376" s="18">
        <f>MAX(0,G376-8)</f>
        <v/>
      </c>
    </row>
    <row r="377">
      <c r="A377" t="n">
        <v>1117</v>
      </c>
      <c r="B377" s="14" t="n">
        <v>46213</v>
      </c>
      <c r="C377" s="17" t="n">
        <v>0.02083333333333333</v>
      </c>
      <c r="D377" s="17" t="n">
        <v>0.3541666666666667</v>
      </c>
      <c r="E377" t="inlineStr">
        <is>
          <t>Night</t>
        </is>
      </c>
      <c r="F377" t="inlineStr">
        <is>
          <t>Jul</t>
        </is>
      </c>
      <c r="G377" s="18">
        <f>IF(D377&lt;C377,D377+1-C377,D377-C377)*24</f>
        <v/>
      </c>
      <c r="H377" s="18">
        <f>MAX(0,G377-8)</f>
        <v/>
      </c>
    </row>
    <row r="378">
      <c r="A378" t="n">
        <v>1126</v>
      </c>
      <c r="B378" s="14" t="n">
        <v>46213</v>
      </c>
      <c r="C378" s="17" t="n">
        <v>0.02083333333333333</v>
      </c>
      <c r="D378" s="17" t="n">
        <v>0.4375</v>
      </c>
      <c r="E378" t="inlineStr">
        <is>
          <t>Night</t>
        </is>
      </c>
      <c r="F378" t="inlineStr">
        <is>
          <t>Jul</t>
        </is>
      </c>
      <c r="G378" s="18">
        <f>IF(D378&lt;C378,D378+1-C378,D378-C378)*24</f>
        <v/>
      </c>
      <c r="H378" s="18">
        <f>MAX(0,G378-8)</f>
        <v/>
      </c>
    </row>
    <row r="379">
      <c r="A379" t="n">
        <v>1129</v>
      </c>
      <c r="B379" s="14" t="n">
        <v>46213</v>
      </c>
      <c r="C379" s="17" t="n">
        <v>0.01041666666666667</v>
      </c>
      <c r="D379" s="17" t="n">
        <v>0.4895833333333333</v>
      </c>
      <c r="E379" t="inlineStr">
        <is>
          <t>Night</t>
        </is>
      </c>
      <c r="F379" t="inlineStr">
        <is>
          <t>Jul</t>
        </is>
      </c>
      <c r="G379" s="18">
        <f>IF(D379&lt;C379,D379+1-C379,D379-C379)*24</f>
        <v/>
      </c>
      <c r="H379" s="18">
        <f>MAX(0,G379-8)</f>
        <v/>
      </c>
    </row>
    <row r="380">
      <c r="A380" t="n">
        <v>1201</v>
      </c>
      <c r="B380" s="14" t="n">
        <v>46213</v>
      </c>
      <c r="C380" s="17" t="n">
        <v>0.25</v>
      </c>
      <c r="D380" s="17" t="n">
        <v>0.5833333333333334</v>
      </c>
      <c r="E380" t="inlineStr">
        <is>
          <t>Day</t>
        </is>
      </c>
      <c r="F380" t="inlineStr">
        <is>
          <t>Jul</t>
        </is>
      </c>
      <c r="G380" s="18">
        <f>IF(D380&lt;C380,D380+1-C380,D380-C380)*24</f>
        <v/>
      </c>
      <c r="H380" s="18">
        <f>MAX(0,G380-8)</f>
        <v/>
      </c>
    </row>
    <row r="381">
      <c r="A381" t="n">
        <v>1202</v>
      </c>
      <c r="B381" s="14" t="n">
        <v>46213</v>
      </c>
      <c r="C381" s="17" t="n">
        <v>0.25</v>
      </c>
      <c r="D381" s="17" t="n">
        <v>0.5833333333333334</v>
      </c>
      <c r="E381" t="inlineStr">
        <is>
          <t>Day</t>
        </is>
      </c>
      <c r="F381" t="inlineStr">
        <is>
          <t>Jul</t>
        </is>
      </c>
      <c r="G381" s="18">
        <f>IF(D381&lt;C381,D381+1-C381,D381-C381)*24</f>
        <v/>
      </c>
      <c r="H381" s="18">
        <f>MAX(0,G381-8)</f>
        <v/>
      </c>
    </row>
    <row r="382">
      <c r="A382" t="n">
        <v>1203</v>
      </c>
      <c r="B382" s="14" t="n">
        <v>46213</v>
      </c>
      <c r="C382" s="17" t="n">
        <v>0.2708333333333333</v>
      </c>
      <c r="D382" s="17" t="n">
        <v>0.6875</v>
      </c>
      <c r="E382" t="inlineStr">
        <is>
          <t>Day</t>
        </is>
      </c>
      <c r="F382" t="inlineStr">
        <is>
          <t>Jul</t>
        </is>
      </c>
      <c r="G382" s="18">
        <f>IF(D382&lt;C382,D382+1-C382,D382-C382)*24</f>
        <v/>
      </c>
      <c r="H382" s="18">
        <f>MAX(0,G382-8)</f>
        <v/>
      </c>
    </row>
    <row r="383">
      <c r="A383" t="n">
        <v>1204</v>
      </c>
      <c r="B383" s="14" t="n">
        <v>46213</v>
      </c>
      <c r="C383" s="17" t="n">
        <v>0.2708333333333333</v>
      </c>
      <c r="D383" s="17" t="n">
        <v>0.6041666666666666</v>
      </c>
      <c r="E383" t="inlineStr">
        <is>
          <t>Day</t>
        </is>
      </c>
      <c r="F383" t="inlineStr">
        <is>
          <t>Jul</t>
        </is>
      </c>
      <c r="G383" s="18">
        <f>IF(D383&lt;C383,D383+1-C383,D383-C383)*24</f>
        <v/>
      </c>
      <c r="H383" s="18">
        <f>MAX(0,G383-8)</f>
        <v/>
      </c>
    </row>
    <row r="384">
      <c r="A384" t="n">
        <v>1205</v>
      </c>
      <c r="B384" s="14" t="n">
        <v>46213</v>
      </c>
      <c r="C384" s="17" t="n">
        <v>0.25</v>
      </c>
      <c r="D384" s="17" t="n">
        <v>0.5833333333333334</v>
      </c>
      <c r="E384" t="inlineStr">
        <is>
          <t>Day</t>
        </is>
      </c>
      <c r="F384" t="inlineStr">
        <is>
          <t>Jul</t>
        </is>
      </c>
      <c r="G384" s="18">
        <f>IF(D384&lt;C384,D384+1-C384,D384-C384)*24</f>
        <v/>
      </c>
      <c r="H384" s="18">
        <f>MAX(0,G384-8)</f>
        <v/>
      </c>
    </row>
    <row r="385">
      <c r="A385" t="n">
        <v>1206</v>
      </c>
      <c r="B385" s="14" t="n">
        <v>46213</v>
      </c>
      <c r="C385" s="17" t="n">
        <v>0.2708333333333333</v>
      </c>
      <c r="D385" s="17" t="n">
        <v>0.6041666666666666</v>
      </c>
      <c r="E385" t="inlineStr">
        <is>
          <t>Day</t>
        </is>
      </c>
      <c r="F385" t="inlineStr">
        <is>
          <t>Jul</t>
        </is>
      </c>
      <c r="G385" s="18">
        <f>IF(D385&lt;C385,D385+1-C385,D385-C385)*24</f>
        <v/>
      </c>
      <c r="H385" s="18">
        <f>MAX(0,G385-8)</f>
        <v/>
      </c>
    </row>
    <row r="386">
      <c r="A386" t="n">
        <v>1207</v>
      </c>
      <c r="B386" s="14" t="n">
        <v>46213</v>
      </c>
      <c r="C386" s="17" t="n">
        <v>0.25</v>
      </c>
      <c r="D386" s="17" t="n">
        <v>0.625</v>
      </c>
      <c r="E386" t="inlineStr">
        <is>
          <t>Day</t>
        </is>
      </c>
      <c r="F386" t="inlineStr">
        <is>
          <t>Jul</t>
        </is>
      </c>
      <c r="G386" s="18">
        <f>IF(D386&lt;C386,D386+1-C386,D386-C386)*24</f>
        <v/>
      </c>
      <c r="H386" s="18">
        <f>MAX(0,G386-8)</f>
        <v/>
      </c>
    </row>
    <row r="387">
      <c r="A387" t="n">
        <v>1208</v>
      </c>
      <c r="B387" s="14" t="n">
        <v>46213</v>
      </c>
      <c r="C387" s="17" t="n">
        <v>0.25</v>
      </c>
      <c r="D387" s="17" t="n">
        <v>0.6041666666666666</v>
      </c>
      <c r="E387" t="inlineStr">
        <is>
          <t>Day</t>
        </is>
      </c>
      <c r="F387" t="inlineStr">
        <is>
          <t>Jul</t>
        </is>
      </c>
      <c r="G387" s="18">
        <f>IF(D387&lt;C387,D387+1-C387,D387-C387)*24</f>
        <v/>
      </c>
      <c r="H387" s="18">
        <f>MAX(0,G387-8)</f>
        <v/>
      </c>
    </row>
    <row r="388">
      <c r="A388" t="n">
        <v>1209</v>
      </c>
      <c r="B388" s="14" t="n">
        <v>46213</v>
      </c>
      <c r="C388" s="17" t="n">
        <v>0.25</v>
      </c>
      <c r="D388" s="17" t="n">
        <v>0.6666666666666666</v>
      </c>
      <c r="E388" t="inlineStr">
        <is>
          <t>Day</t>
        </is>
      </c>
      <c r="F388" t="inlineStr">
        <is>
          <t>Jul</t>
        </is>
      </c>
      <c r="G388" s="18">
        <f>IF(D388&lt;C388,D388+1-C388,D388-C388)*24</f>
        <v/>
      </c>
      <c r="H388" s="18">
        <f>MAX(0,G388-8)</f>
        <v/>
      </c>
    </row>
    <row r="389">
      <c r="A389" t="n">
        <v>1210</v>
      </c>
      <c r="B389" s="14" t="n">
        <v>46213</v>
      </c>
      <c r="C389" s="17" t="n">
        <v>0.25</v>
      </c>
      <c r="D389" s="17" t="n">
        <v>0.6041666666666666</v>
      </c>
      <c r="E389" t="inlineStr">
        <is>
          <t>Day</t>
        </is>
      </c>
      <c r="F389" t="inlineStr">
        <is>
          <t>Jul</t>
        </is>
      </c>
      <c r="G389" s="18">
        <f>IF(D389&lt;C389,D389+1-C389,D389-C389)*24</f>
        <v/>
      </c>
      <c r="H389" s="18">
        <f>MAX(0,G389-8)</f>
        <v/>
      </c>
    </row>
    <row r="390">
      <c r="A390" t="n">
        <v>1211</v>
      </c>
      <c r="B390" s="14" t="n">
        <v>46213</v>
      </c>
      <c r="C390" s="17" t="n">
        <v>0.25</v>
      </c>
      <c r="D390" s="17" t="n">
        <v>0.5833333333333334</v>
      </c>
      <c r="E390" t="inlineStr">
        <is>
          <t>Day</t>
        </is>
      </c>
      <c r="F390" t="inlineStr">
        <is>
          <t>Jul</t>
        </is>
      </c>
      <c r="G390" s="18">
        <f>IF(D390&lt;C390,D390+1-C390,D390-C390)*24</f>
        <v/>
      </c>
      <c r="H390" s="18">
        <f>MAX(0,G390-8)</f>
        <v/>
      </c>
    </row>
    <row r="391">
      <c r="A391" t="n">
        <v>1212</v>
      </c>
      <c r="B391" s="14" t="n">
        <v>46213</v>
      </c>
      <c r="C391" s="17" t="n">
        <v>0.2708333333333333</v>
      </c>
      <c r="D391" s="17" t="n">
        <v>0.625</v>
      </c>
      <c r="E391" t="inlineStr">
        <is>
          <t>Day</t>
        </is>
      </c>
      <c r="F391" t="inlineStr">
        <is>
          <t>Jul</t>
        </is>
      </c>
      <c r="G391" s="18">
        <f>IF(D391&lt;C391,D391+1-C391,D391-C391)*24</f>
        <v/>
      </c>
      <c r="H391" s="18">
        <f>MAX(0,G391-8)</f>
        <v/>
      </c>
    </row>
    <row r="392">
      <c r="A392" t="n">
        <v>1213</v>
      </c>
      <c r="B392" s="14" t="n">
        <v>46213</v>
      </c>
      <c r="C392" s="17" t="n">
        <v>0.25</v>
      </c>
      <c r="D392" s="17" t="n">
        <v>0.6041666666666666</v>
      </c>
      <c r="E392" t="inlineStr">
        <is>
          <t>Day</t>
        </is>
      </c>
      <c r="F392" t="inlineStr">
        <is>
          <t>Jul</t>
        </is>
      </c>
      <c r="G392" s="18">
        <f>IF(D392&lt;C392,D392+1-C392,D392-C392)*24</f>
        <v/>
      </c>
      <c r="H392" s="18">
        <f>MAX(0,G392-8)</f>
        <v/>
      </c>
    </row>
    <row r="393">
      <c r="A393" t="n">
        <v>1214</v>
      </c>
      <c r="B393" s="14" t="n">
        <v>46213</v>
      </c>
      <c r="C393" s="17" t="n">
        <v>0.25</v>
      </c>
      <c r="D393" s="17" t="n">
        <v>0.6666666666666666</v>
      </c>
      <c r="E393" t="inlineStr">
        <is>
          <t>Day</t>
        </is>
      </c>
      <c r="F393" t="inlineStr">
        <is>
          <t>Jul</t>
        </is>
      </c>
      <c r="G393" s="18">
        <f>IF(D393&lt;C393,D393+1-C393,D393-C393)*24</f>
        <v/>
      </c>
      <c r="H393" s="18">
        <f>MAX(0,G393-8)</f>
        <v/>
      </c>
    </row>
    <row r="394">
      <c r="A394" t="n">
        <v>1215</v>
      </c>
      <c r="B394" s="14" t="n">
        <v>46213</v>
      </c>
      <c r="C394" s="17" t="n">
        <v>0.25</v>
      </c>
      <c r="D394" s="17" t="n">
        <v>0.6041666666666666</v>
      </c>
      <c r="E394" t="inlineStr">
        <is>
          <t>Day</t>
        </is>
      </c>
      <c r="F394" t="inlineStr">
        <is>
          <t>Jul</t>
        </is>
      </c>
      <c r="G394" s="18">
        <f>IF(D394&lt;C394,D394+1-C394,D394-C394)*24</f>
        <v/>
      </c>
      <c r="H394" s="18">
        <f>MAX(0,G394-8)</f>
        <v/>
      </c>
    </row>
    <row r="395">
      <c r="A395" t="n">
        <v>1216</v>
      </c>
      <c r="B395" s="14" t="n">
        <v>46213</v>
      </c>
      <c r="C395" s="17" t="n">
        <v>0.2708333333333333</v>
      </c>
      <c r="D395" s="17" t="n">
        <v>0.6458333333333334</v>
      </c>
      <c r="E395" t="inlineStr">
        <is>
          <t>Day</t>
        </is>
      </c>
      <c r="F395" t="inlineStr">
        <is>
          <t>Jul</t>
        </is>
      </c>
      <c r="G395" s="18">
        <f>IF(D395&lt;C395,D395+1-C395,D395-C395)*24</f>
        <v/>
      </c>
      <c r="H395" s="18">
        <f>MAX(0,G395-8)</f>
        <v/>
      </c>
    </row>
    <row r="396">
      <c r="A396" t="n">
        <v>1217</v>
      </c>
      <c r="B396" s="14" t="n">
        <v>46213</v>
      </c>
      <c r="C396" s="17" t="n">
        <v>0.2708333333333333</v>
      </c>
      <c r="D396" s="17" t="n">
        <v>0.625</v>
      </c>
      <c r="E396" t="inlineStr">
        <is>
          <t>Day</t>
        </is>
      </c>
      <c r="F396" t="inlineStr">
        <is>
          <t>Jul</t>
        </is>
      </c>
      <c r="G396" s="18">
        <f>IF(D396&lt;C396,D396+1-C396,D396-C396)*24</f>
        <v/>
      </c>
      <c r="H396" s="18">
        <f>MAX(0,G396-8)</f>
        <v/>
      </c>
    </row>
    <row r="397">
      <c r="A397" t="n">
        <v>1218</v>
      </c>
      <c r="B397" s="14" t="n">
        <v>46213</v>
      </c>
      <c r="C397" s="17" t="n">
        <v>0.25</v>
      </c>
      <c r="D397" s="17" t="n">
        <v>0.5833333333333334</v>
      </c>
      <c r="E397" t="inlineStr">
        <is>
          <t>Day</t>
        </is>
      </c>
      <c r="F397" t="inlineStr">
        <is>
          <t>Jul</t>
        </is>
      </c>
      <c r="G397" s="18">
        <f>IF(D397&lt;C397,D397+1-C397,D397-C397)*24</f>
        <v/>
      </c>
      <c r="H397" s="18">
        <f>MAX(0,G397-8)</f>
        <v/>
      </c>
    </row>
    <row r="398">
      <c r="A398" t="n">
        <v>1219</v>
      </c>
      <c r="B398" s="14" t="n">
        <v>46213</v>
      </c>
      <c r="C398" s="17" t="n">
        <v>0.25</v>
      </c>
      <c r="D398" s="17" t="n">
        <v>0.6666666666666666</v>
      </c>
      <c r="E398" t="inlineStr">
        <is>
          <t>Day</t>
        </is>
      </c>
      <c r="F398" t="inlineStr">
        <is>
          <t>Jul</t>
        </is>
      </c>
      <c r="G398" s="18">
        <f>IF(D398&lt;C398,D398+1-C398,D398-C398)*24</f>
        <v/>
      </c>
      <c r="H398" s="18">
        <f>MAX(0,G398-8)</f>
        <v/>
      </c>
    </row>
    <row r="399">
      <c r="A399" t="n">
        <v>1220</v>
      </c>
      <c r="B399" s="14" t="n">
        <v>46213</v>
      </c>
      <c r="C399" s="17" t="n">
        <v>0.25</v>
      </c>
      <c r="D399" s="17" t="n">
        <v>0.5833333333333334</v>
      </c>
      <c r="E399" t="inlineStr">
        <is>
          <t>Day</t>
        </is>
      </c>
      <c r="F399" t="inlineStr">
        <is>
          <t>Jul</t>
        </is>
      </c>
      <c r="G399" s="18">
        <f>IF(D399&lt;C399,D399+1-C399,D399-C399)*24</f>
        <v/>
      </c>
      <c r="H399" s="18">
        <f>MAX(0,G399-8)</f>
        <v/>
      </c>
    </row>
    <row r="400">
      <c r="A400" t="n">
        <v>1101</v>
      </c>
      <c r="B400" s="14" t="n">
        <v>46216</v>
      </c>
      <c r="C400" s="17" t="n">
        <v>0.9270833333333334</v>
      </c>
      <c r="D400" s="17" t="n">
        <v>0.28125</v>
      </c>
      <c r="E400" t="inlineStr">
        <is>
          <t>Night</t>
        </is>
      </c>
      <c r="F400" t="inlineStr">
        <is>
          <t>Jul</t>
        </is>
      </c>
      <c r="G400" s="18">
        <f>IF(D400&lt;C400,D400+1-C400,D400-C400)*24</f>
        <v/>
      </c>
      <c r="H400" s="18">
        <f>MAX(0,G400-8)</f>
        <v/>
      </c>
    </row>
    <row r="401">
      <c r="A401" t="n">
        <v>1102</v>
      </c>
      <c r="B401" s="14" t="n">
        <v>46216</v>
      </c>
      <c r="C401" s="17" t="n">
        <v>0.9166666666666666</v>
      </c>
      <c r="D401" s="17" t="n">
        <v>0.3541666666666667</v>
      </c>
      <c r="E401" t="inlineStr">
        <is>
          <t>Night</t>
        </is>
      </c>
      <c r="F401" t="inlineStr">
        <is>
          <t>Jul</t>
        </is>
      </c>
      <c r="G401" s="18">
        <f>IF(D401&lt;C401,D401+1-C401,D401-C401)*24</f>
        <v/>
      </c>
      <c r="H401" s="18">
        <f>MAX(0,G401-8)</f>
        <v/>
      </c>
    </row>
    <row r="402">
      <c r="A402" t="n">
        <v>1103</v>
      </c>
      <c r="B402" s="14" t="n">
        <v>46216</v>
      </c>
      <c r="C402" s="17" t="n">
        <v>0.9166666666666666</v>
      </c>
      <c r="D402" s="17" t="n">
        <v>0.25</v>
      </c>
      <c r="E402" t="inlineStr">
        <is>
          <t>Night</t>
        </is>
      </c>
      <c r="F402" t="inlineStr">
        <is>
          <t>Jul</t>
        </is>
      </c>
      <c r="G402" s="18">
        <f>IF(D402&lt;C402,D402+1-C402,D402-C402)*24</f>
        <v/>
      </c>
      <c r="H402" s="18">
        <f>MAX(0,G402-8)</f>
        <v/>
      </c>
    </row>
    <row r="403">
      <c r="A403" t="n">
        <v>1104</v>
      </c>
      <c r="B403" s="14" t="n">
        <v>46216</v>
      </c>
      <c r="C403" s="17" t="n">
        <v>0.9166666666666666</v>
      </c>
      <c r="D403" s="17" t="n">
        <v>0.375</v>
      </c>
      <c r="E403" t="inlineStr">
        <is>
          <t>Night</t>
        </is>
      </c>
      <c r="F403" t="inlineStr">
        <is>
          <t>Jul</t>
        </is>
      </c>
      <c r="G403" s="18">
        <f>IF(D403&lt;C403,D403+1-C403,D403-C403)*24</f>
        <v/>
      </c>
      <c r="H403" s="18">
        <f>MAX(0,G403-8)</f>
        <v/>
      </c>
    </row>
    <row r="404">
      <c r="A404" t="n">
        <v>1108</v>
      </c>
      <c r="B404" s="14" t="n">
        <v>46216</v>
      </c>
      <c r="C404" s="17" t="n">
        <v>0.9166666666666666</v>
      </c>
      <c r="D404" s="17" t="n">
        <v>0.25</v>
      </c>
      <c r="E404" t="inlineStr">
        <is>
          <t>Night</t>
        </is>
      </c>
      <c r="F404" t="inlineStr">
        <is>
          <t>Jul</t>
        </is>
      </c>
      <c r="G404" s="18">
        <f>IF(D404&lt;C404,D404+1-C404,D404-C404)*24</f>
        <v/>
      </c>
      <c r="H404" s="18">
        <f>MAX(0,G404-8)</f>
        <v/>
      </c>
    </row>
    <row r="405">
      <c r="A405" t="n">
        <v>1109</v>
      </c>
      <c r="B405" s="14" t="n">
        <v>46216</v>
      </c>
      <c r="C405" s="17" t="n">
        <v>0.9375</v>
      </c>
      <c r="D405" s="17" t="n">
        <v>0.2708333333333333</v>
      </c>
      <c r="E405" t="inlineStr">
        <is>
          <t>Night</t>
        </is>
      </c>
      <c r="F405" t="inlineStr">
        <is>
          <t>Jul</t>
        </is>
      </c>
      <c r="G405" s="18">
        <f>IF(D405&lt;C405,D405+1-C405,D405-C405)*24</f>
        <v/>
      </c>
      <c r="H405" s="18">
        <f>MAX(0,G405-8)</f>
        <v/>
      </c>
    </row>
    <row r="406">
      <c r="A406" t="n">
        <v>1111</v>
      </c>
      <c r="B406" s="14" t="n">
        <v>46216</v>
      </c>
      <c r="C406" s="17" t="n">
        <v>0.9375</v>
      </c>
      <c r="D406" s="17" t="n">
        <v>0.3333333333333333</v>
      </c>
      <c r="E406" t="inlineStr">
        <is>
          <t>Night</t>
        </is>
      </c>
      <c r="F406" t="inlineStr">
        <is>
          <t>Jul</t>
        </is>
      </c>
      <c r="G406" s="18">
        <f>IF(D406&lt;C406,D406+1-C406,D406-C406)*24</f>
        <v/>
      </c>
      <c r="H406" s="18">
        <f>MAX(0,G406-8)</f>
        <v/>
      </c>
    </row>
    <row r="407">
      <c r="A407" t="n">
        <v>1112</v>
      </c>
      <c r="B407" s="14" t="n">
        <v>46216</v>
      </c>
      <c r="C407" s="17" t="n">
        <v>0.9166666666666666</v>
      </c>
      <c r="D407" s="17" t="n">
        <v>0.2708333333333333</v>
      </c>
      <c r="E407" t="inlineStr">
        <is>
          <t>Night</t>
        </is>
      </c>
      <c r="F407" t="inlineStr">
        <is>
          <t>Jul</t>
        </is>
      </c>
      <c r="G407" s="18">
        <f>IF(D407&lt;C407,D407+1-C407,D407-C407)*24</f>
        <v/>
      </c>
      <c r="H407" s="18">
        <f>MAX(0,G407-8)</f>
        <v/>
      </c>
    </row>
    <row r="408">
      <c r="A408" t="n">
        <v>1113</v>
      </c>
      <c r="B408" s="14" t="n">
        <v>46216</v>
      </c>
      <c r="C408" s="17" t="n">
        <v>0.9166666666666666</v>
      </c>
      <c r="D408" s="17" t="n">
        <v>0.3125</v>
      </c>
      <c r="E408" t="inlineStr">
        <is>
          <t>Night</t>
        </is>
      </c>
      <c r="F408" t="inlineStr">
        <is>
          <t>Jul</t>
        </is>
      </c>
      <c r="G408" s="18">
        <f>IF(D408&lt;C408,D408+1-C408,D408-C408)*24</f>
        <v/>
      </c>
      <c r="H408" s="18">
        <f>MAX(0,G408-8)</f>
        <v/>
      </c>
    </row>
    <row r="409">
      <c r="A409" t="n">
        <v>1114</v>
      </c>
      <c r="B409" s="14" t="n">
        <v>46216</v>
      </c>
      <c r="C409" s="17" t="n">
        <v>0.9166666666666666</v>
      </c>
      <c r="D409" s="17" t="n">
        <v>0.3541666666666667</v>
      </c>
      <c r="E409" t="inlineStr">
        <is>
          <t>Night</t>
        </is>
      </c>
      <c r="F409" t="inlineStr">
        <is>
          <t>Jul</t>
        </is>
      </c>
      <c r="G409" s="18">
        <f>IF(D409&lt;C409,D409+1-C409,D409-C409)*24</f>
        <v/>
      </c>
      <c r="H409" s="18">
        <f>MAX(0,G409-8)</f>
        <v/>
      </c>
    </row>
    <row r="410">
      <c r="A410" t="n">
        <v>1116</v>
      </c>
      <c r="B410" s="14" t="n">
        <v>46216</v>
      </c>
      <c r="C410" s="17" t="n">
        <v>0.9166666666666666</v>
      </c>
      <c r="D410" s="17" t="n">
        <v>0.2708333333333333</v>
      </c>
      <c r="E410" t="inlineStr">
        <is>
          <t>Night</t>
        </is>
      </c>
      <c r="F410" t="inlineStr">
        <is>
          <t>Jul</t>
        </is>
      </c>
      <c r="G410" s="18">
        <f>IF(D410&lt;C410,D410+1-C410,D410-C410)*24</f>
        <v/>
      </c>
      <c r="H410" s="18">
        <f>MAX(0,G410-8)</f>
        <v/>
      </c>
    </row>
    <row r="411">
      <c r="A411" t="n">
        <v>1117</v>
      </c>
      <c r="B411" s="14" t="n">
        <v>46216</v>
      </c>
      <c r="C411" s="17" t="n">
        <v>0.9166666666666666</v>
      </c>
      <c r="D411" s="17" t="n">
        <v>0.375</v>
      </c>
      <c r="E411" t="inlineStr">
        <is>
          <t>Night</t>
        </is>
      </c>
      <c r="F411" t="inlineStr">
        <is>
          <t>Jul</t>
        </is>
      </c>
      <c r="G411" s="18">
        <f>IF(D411&lt;C411,D411+1-C411,D411-C411)*24</f>
        <v/>
      </c>
      <c r="H411" s="18">
        <f>MAX(0,G411-8)</f>
        <v/>
      </c>
    </row>
    <row r="412">
      <c r="A412" t="n">
        <v>1118</v>
      </c>
      <c r="B412" s="14" t="n">
        <v>46216</v>
      </c>
      <c r="C412" s="17" t="n">
        <v>0.9375</v>
      </c>
      <c r="D412" s="17" t="n">
        <v>0.2916666666666667</v>
      </c>
      <c r="E412" t="inlineStr">
        <is>
          <t>Night</t>
        </is>
      </c>
      <c r="F412" t="inlineStr">
        <is>
          <t>Jul</t>
        </is>
      </c>
      <c r="G412" s="18">
        <f>IF(D412&lt;C412,D412+1-C412,D412-C412)*24</f>
        <v/>
      </c>
      <c r="H412" s="18">
        <f>MAX(0,G412-8)</f>
        <v/>
      </c>
    </row>
    <row r="413">
      <c r="A413" t="n">
        <v>1119</v>
      </c>
      <c r="B413" s="14" t="n">
        <v>46216</v>
      </c>
      <c r="C413" s="17" t="n">
        <v>0.9375</v>
      </c>
      <c r="D413" s="17" t="n">
        <v>0.2916666666666667</v>
      </c>
      <c r="E413" t="inlineStr">
        <is>
          <t>Night</t>
        </is>
      </c>
      <c r="F413" t="inlineStr">
        <is>
          <t>Jul</t>
        </is>
      </c>
      <c r="G413" s="18">
        <f>IF(D413&lt;C413,D413+1-C413,D413-C413)*24</f>
        <v/>
      </c>
      <c r="H413" s="18">
        <f>MAX(0,G413-8)</f>
        <v/>
      </c>
    </row>
    <row r="414">
      <c r="A414" t="n">
        <v>1120</v>
      </c>
      <c r="B414" s="14" t="n">
        <v>46216</v>
      </c>
      <c r="C414" s="17" t="n">
        <v>0.9166666666666666</v>
      </c>
      <c r="D414" s="17" t="n">
        <v>0.2708333333333333</v>
      </c>
      <c r="E414" t="inlineStr">
        <is>
          <t>Night</t>
        </is>
      </c>
      <c r="F414" t="inlineStr">
        <is>
          <t>Jul</t>
        </is>
      </c>
      <c r="G414" s="18">
        <f>IF(D414&lt;C414,D414+1-C414,D414-C414)*24</f>
        <v/>
      </c>
      <c r="H414" s="18">
        <f>MAX(0,G414-8)</f>
        <v/>
      </c>
    </row>
    <row r="415">
      <c r="A415" t="n">
        <v>1122</v>
      </c>
      <c r="B415" s="14" t="n">
        <v>46216</v>
      </c>
      <c r="C415" s="17" t="n">
        <v>0.9166666666666666</v>
      </c>
      <c r="D415" s="17" t="n">
        <v>0.2916666666666667</v>
      </c>
      <c r="E415" t="inlineStr">
        <is>
          <t>Night</t>
        </is>
      </c>
      <c r="F415" t="inlineStr">
        <is>
          <t>Jul</t>
        </is>
      </c>
      <c r="G415" s="18">
        <f>IF(D415&lt;C415,D415+1-C415,D415-C415)*24</f>
        <v/>
      </c>
      <c r="H415" s="18">
        <f>MAX(0,G415-8)</f>
        <v/>
      </c>
    </row>
    <row r="416">
      <c r="A416" t="n">
        <v>1123</v>
      </c>
      <c r="B416" s="14" t="n">
        <v>46216</v>
      </c>
      <c r="C416" s="17" t="n">
        <v>0.9375</v>
      </c>
      <c r="D416" s="17" t="n">
        <v>0.2708333333333333</v>
      </c>
      <c r="E416" t="inlineStr">
        <is>
          <t>Night</t>
        </is>
      </c>
      <c r="F416" t="inlineStr">
        <is>
          <t>Jul</t>
        </is>
      </c>
      <c r="G416" s="18">
        <f>IF(D416&lt;C416,D416+1-C416,D416-C416)*24</f>
        <v/>
      </c>
      <c r="H416" s="18">
        <f>MAX(0,G416-8)</f>
        <v/>
      </c>
    </row>
    <row r="417">
      <c r="A417" t="n">
        <v>1124</v>
      </c>
      <c r="B417" s="14" t="n">
        <v>46216</v>
      </c>
      <c r="C417" s="17" t="n">
        <v>0.9166666666666666</v>
      </c>
      <c r="D417" s="17" t="n">
        <v>0.2708333333333333</v>
      </c>
      <c r="E417" t="inlineStr">
        <is>
          <t>Night</t>
        </is>
      </c>
      <c r="F417" t="inlineStr">
        <is>
          <t>Jul</t>
        </is>
      </c>
      <c r="G417" s="18">
        <f>IF(D417&lt;C417,D417+1-C417,D417-C417)*24</f>
        <v/>
      </c>
      <c r="H417" s="18">
        <f>MAX(0,G417-8)</f>
        <v/>
      </c>
    </row>
    <row r="418">
      <c r="A418" t="n">
        <v>1125</v>
      </c>
      <c r="B418" s="14" t="n">
        <v>46216</v>
      </c>
      <c r="C418" s="17" t="n">
        <v>0.9270833333333334</v>
      </c>
      <c r="D418" s="17" t="n">
        <v>0.28125</v>
      </c>
      <c r="E418" t="inlineStr">
        <is>
          <t>Night</t>
        </is>
      </c>
      <c r="F418" t="inlineStr">
        <is>
          <t>Jul</t>
        </is>
      </c>
      <c r="G418" s="18">
        <f>IF(D418&lt;C418,D418+1-C418,D418-C418)*24</f>
        <v/>
      </c>
      <c r="H418" s="18">
        <f>MAX(0,G418-8)</f>
        <v/>
      </c>
    </row>
    <row r="419">
      <c r="A419" t="n">
        <v>1126</v>
      </c>
      <c r="B419" s="14" t="n">
        <v>46216</v>
      </c>
      <c r="C419" s="17" t="n">
        <v>0.9166666666666666</v>
      </c>
      <c r="D419" s="17" t="n">
        <v>0.2916666666666667</v>
      </c>
      <c r="E419" t="inlineStr">
        <is>
          <t>Night</t>
        </is>
      </c>
      <c r="F419" t="inlineStr">
        <is>
          <t>Jul</t>
        </is>
      </c>
      <c r="G419" s="18">
        <f>IF(D419&lt;C419,D419+1-C419,D419-C419)*24</f>
        <v/>
      </c>
      <c r="H419" s="18">
        <f>MAX(0,G419-8)</f>
        <v/>
      </c>
    </row>
    <row r="420">
      <c r="A420" t="n">
        <v>1129</v>
      </c>
      <c r="B420" s="14" t="n">
        <v>46216</v>
      </c>
      <c r="C420" s="17" t="n">
        <v>0.9166666666666666</v>
      </c>
      <c r="D420" s="17" t="n">
        <v>0.3958333333333333</v>
      </c>
      <c r="E420" t="inlineStr">
        <is>
          <t>Night</t>
        </is>
      </c>
      <c r="F420" t="inlineStr">
        <is>
          <t>Jul</t>
        </is>
      </c>
      <c r="G420" s="18">
        <f>IF(D420&lt;C420,D420+1-C420,D420-C420)*24</f>
        <v/>
      </c>
      <c r="H420" s="18">
        <f>MAX(0,G420-8)</f>
        <v/>
      </c>
    </row>
    <row r="421">
      <c r="A421" t="n">
        <v>1131</v>
      </c>
      <c r="B421" s="14" t="n">
        <v>46216</v>
      </c>
      <c r="C421" s="17" t="n">
        <v>0.9270833333333334</v>
      </c>
      <c r="D421" s="17" t="n">
        <v>0.40625</v>
      </c>
      <c r="E421" t="inlineStr">
        <is>
          <t>Night</t>
        </is>
      </c>
      <c r="F421" t="inlineStr">
        <is>
          <t>Jul</t>
        </is>
      </c>
      <c r="G421" s="18">
        <f>IF(D421&lt;C421,D421+1-C421,D421-C421)*24</f>
        <v/>
      </c>
      <c r="H421" s="18">
        <f>MAX(0,G421-8)</f>
        <v/>
      </c>
    </row>
    <row r="422">
      <c r="A422" t="n">
        <v>1132</v>
      </c>
      <c r="B422" s="14" t="n">
        <v>46216</v>
      </c>
      <c r="C422" s="17" t="n">
        <v>0.9166666666666666</v>
      </c>
      <c r="D422" s="17" t="n">
        <v>0.3333333333333333</v>
      </c>
      <c r="E422" t="inlineStr">
        <is>
          <t>Night</t>
        </is>
      </c>
      <c r="F422" t="inlineStr">
        <is>
          <t>Jul</t>
        </is>
      </c>
      <c r="G422" s="18">
        <f>IF(D422&lt;C422,D422+1-C422,D422-C422)*24</f>
        <v/>
      </c>
      <c r="H422" s="18">
        <f>MAX(0,G422-8)</f>
        <v/>
      </c>
    </row>
    <row r="423">
      <c r="A423" t="n">
        <v>1133</v>
      </c>
      <c r="B423" s="14" t="n">
        <v>46216</v>
      </c>
      <c r="C423" s="17" t="n">
        <v>0.9166666666666666</v>
      </c>
      <c r="D423" s="17" t="n">
        <v>0.2708333333333333</v>
      </c>
      <c r="E423" t="inlineStr">
        <is>
          <t>Night</t>
        </is>
      </c>
      <c r="F423" t="inlineStr">
        <is>
          <t>Jul</t>
        </is>
      </c>
      <c r="G423" s="18">
        <f>IF(D423&lt;C423,D423+1-C423,D423-C423)*24</f>
        <v/>
      </c>
      <c r="H423" s="18">
        <f>MAX(0,G423-8)</f>
        <v/>
      </c>
    </row>
    <row r="424">
      <c r="A424" t="n">
        <v>1134</v>
      </c>
      <c r="B424" s="14" t="n">
        <v>46216</v>
      </c>
      <c r="C424" s="17" t="n">
        <v>0.9166666666666666</v>
      </c>
      <c r="D424" s="17" t="n">
        <v>0.375</v>
      </c>
      <c r="E424" t="inlineStr">
        <is>
          <t>Night</t>
        </is>
      </c>
      <c r="F424" t="inlineStr">
        <is>
          <t>Jul</t>
        </is>
      </c>
      <c r="G424" s="18">
        <f>IF(D424&lt;C424,D424+1-C424,D424-C424)*24</f>
        <v/>
      </c>
      <c r="H424" s="18">
        <f>MAX(0,G424-8)</f>
        <v/>
      </c>
    </row>
    <row r="425">
      <c r="A425" t="n">
        <v>1135</v>
      </c>
      <c r="B425" s="14" t="n">
        <v>46216</v>
      </c>
      <c r="C425" s="17" t="n">
        <v>0.9166666666666666</v>
      </c>
      <c r="D425" s="17" t="n">
        <v>0.2916666666666667</v>
      </c>
      <c r="E425" t="inlineStr">
        <is>
          <t>Night</t>
        </is>
      </c>
      <c r="F425" t="inlineStr">
        <is>
          <t>Jul</t>
        </is>
      </c>
      <c r="G425" s="18">
        <f>IF(D425&lt;C425,D425+1-C425,D425-C425)*24</f>
        <v/>
      </c>
      <c r="H425" s="18">
        <f>MAX(0,G425-8)</f>
        <v/>
      </c>
    </row>
    <row r="426">
      <c r="A426" t="n">
        <v>1137</v>
      </c>
      <c r="B426" s="14" t="n">
        <v>46216</v>
      </c>
      <c r="C426" s="17" t="n">
        <v>0.9166666666666666</v>
      </c>
      <c r="D426" s="17" t="n">
        <v>0.2708333333333333</v>
      </c>
      <c r="E426" t="inlineStr">
        <is>
          <t>Night</t>
        </is>
      </c>
      <c r="F426" t="inlineStr">
        <is>
          <t>Jul</t>
        </is>
      </c>
      <c r="G426" s="18">
        <f>IF(D426&lt;C426,D426+1-C426,D426-C426)*24</f>
        <v/>
      </c>
      <c r="H426" s="18">
        <f>MAX(0,G426-8)</f>
        <v/>
      </c>
    </row>
    <row r="427">
      <c r="A427" t="n">
        <v>1110</v>
      </c>
      <c r="B427" s="14" t="n">
        <v>46216</v>
      </c>
      <c r="C427" s="17" t="n">
        <v>0.02083333333333333</v>
      </c>
      <c r="D427" s="17" t="n">
        <v>0.3958333333333333</v>
      </c>
      <c r="E427" t="inlineStr">
        <is>
          <t>Night</t>
        </is>
      </c>
      <c r="F427" t="inlineStr">
        <is>
          <t>Jul</t>
        </is>
      </c>
      <c r="G427" s="18">
        <f>IF(D427&lt;C427,D427+1-C427,D427-C427)*24</f>
        <v/>
      </c>
      <c r="H427" s="18">
        <f>MAX(0,G427-8)</f>
        <v/>
      </c>
    </row>
    <row r="428">
      <c r="A428" t="n">
        <v>1115</v>
      </c>
      <c r="B428" s="14" t="n">
        <v>46216</v>
      </c>
      <c r="C428" s="17" t="n">
        <v>0.01041666666666667</v>
      </c>
      <c r="D428" s="17" t="n">
        <v>0.4270833333333333</v>
      </c>
      <c r="E428" t="inlineStr">
        <is>
          <t>Night</t>
        </is>
      </c>
      <c r="F428" t="inlineStr">
        <is>
          <t>Jul</t>
        </is>
      </c>
      <c r="G428" s="18">
        <f>IF(D428&lt;C428,D428+1-C428,D428-C428)*24</f>
        <v/>
      </c>
      <c r="H428" s="18">
        <f>MAX(0,G428-8)</f>
        <v/>
      </c>
    </row>
    <row r="429">
      <c r="A429" t="n">
        <v>1121</v>
      </c>
      <c r="B429" s="14" t="n">
        <v>46216</v>
      </c>
      <c r="C429" s="17" t="n">
        <v>0.02083333333333333</v>
      </c>
      <c r="D429" s="17" t="n">
        <v>0.3541666666666667</v>
      </c>
      <c r="E429" t="inlineStr">
        <is>
          <t>Night</t>
        </is>
      </c>
      <c r="F429" t="inlineStr">
        <is>
          <t>Jul</t>
        </is>
      </c>
      <c r="G429" s="18">
        <f>IF(D429&lt;C429,D429+1-C429,D429-C429)*24</f>
        <v/>
      </c>
      <c r="H429" s="18">
        <f>MAX(0,G429-8)</f>
        <v/>
      </c>
    </row>
    <row r="430">
      <c r="A430" t="n">
        <v>1128</v>
      </c>
      <c r="B430" s="14" t="n">
        <v>46216</v>
      </c>
      <c r="C430" s="17" t="n">
        <v>0.02083333333333333</v>
      </c>
      <c r="D430" s="17" t="n">
        <v>0.3541666666666667</v>
      </c>
      <c r="E430" t="inlineStr">
        <is>
          <t>Night</t>
        </is>
      </c>
      <c r="F430" t="inlineStr">
        <is>
          <t>Jul</t>
        </is>
      </c>
      <c r="G430" s="18">
        <f>IF(D430&lt;C430,D430+1-C430,D430-C430)*24</f>
        <v/>
      </c>
      <c r="H430" s="18">
        <f>MAX(0,G430-8)</f>
        <v/>
      </c>
    </row>
    <row r="431">
      <c r="A431" t="n">
        <v>1130</v>
      </c>
      <c r="B431" s="14" t="n">
        <v>46216</v>
      </c>
      <c r="C431" s="17" t="n">
        <v>0.01041666666666667</v>
      </c>
      <c r="D431" s="17" t="n">
        <v>0.34375</v>
      </c>
      <c r="E431" t="inlineStr">
        <is>
          <t>Night</t>
        </is>
      </c>
      <c r="F431" t="inlineStr">
        <is>
          <t>Jul</t>
        </is>
      </c>
      <c r="G431" s="18">
        <f>IF(D431&lt;C431,D431+1-C431,D431-C431)*24</f>
        <v/>
      </c>
      <c r="H431" s="18">
        <f>MAX(0,G431-8)</f>
        <v/>
      </c>
    </row>
    <row r="432">
      <c r="A432" t="n">
        <v>1136</v>
      </c>
      <c r="B432" s="14" t="n">
        <v>46216</v>
      </c>
      <c r="C432" s="17" t="n">
        <v>0.01041666666666667</v>
      </c>
      <c r="D432" s="17" t="n">
        <v>0.4479166666666667</v>
      </c>
      <c r="E432" t="inlineStr">
        <is>
          <t>Night</t>
        </is>
      </c>
      <c r="F432" t="inlineStr">
        <is>
          <t>Jul</t>
        </is>
      </c>
      <c r="G432" s="18">
        <f>IF(D432&lt;C432,D432+1-C432,D432-C432)*24</f>
        <v/>
      </c>
      <c r="H432" s="18">
        <f>MAX(0,G432-8)</f>
        <v/>
      </c>
    </row>
    <row r="433">
      <c r="A433" t="n">
        <v>1147</v>
      </c>
      <c r="B433" s="14" t="n">
        <v>46216</v>
      </c>
      <c r="C433" s="17" t="n">
        <v>0.01041666666666667</v>
      </c>
      <c r="D433" s="17" t="n">
        <v>0.4270833333333333</v>
      </c>
      <c r="E433" t="inlineStr">
        <is>
          <t>Night</t>
        </is>
      </c>
      <c r="F433" t="inlineStr">
        <is>
          <t>Jul</t>
        </is>
      </c>
      <c r="G433" s="18">
        <f>IF(D433&lt;C433,D433+1-C433,D433-C433)*24</f>
        <v/>
      </c>
      <c r="H433" s="18">
        <f>MAX(0,G433-8)</f>
        <v/>
      </c>
    </row>
    <row r="434">
      <c r="A434" t="n">
        <v>1201</v>
      </c>
      <c r="B434" s="14" t="n">
        <v>46216</v>
      </c>
      <c r="C434" s="17" t="n">
        <v>0.25</v>
      </c>
      <c r="D434" s="17" t="n">
        <v>0.5833333333333334</v>
      </c>
      <c r="E434" t="inlineStr">
        <is>
          <t>Day</t>
        </is>
      </c>
      <c r="F434" t="inlineStr">
        <is>
          <t>Jul</t>
        </is>
      </c>
      <c r="G434" s="18">
        <f>IF(D434&lt;C434,D434+1-C434,D434-C434)*24</f>
        <v/>
      </c>
      <c r="H434" s="18">
        <f>MAX(0,G434-8)</f>
        <v/>
      </c>
    </row>
    <row r="435">
      <c r="A435" t="n">
        <v>1202</v>
      </c>
      <c r="B435" s="14" t="n">
        <v>46216</v>
      </c>
      <c r="C435" s="17" t="n">
        <v>0.25</v>
      </c>
      <c r="D435" s="17" t="n">
        <v>0.5833333333333334</v>
      </c>
      <c r="E435" t="inlineStr">
        <is>
          <t>Day</t>
        </is>
      </c>
      <c r="F435" t="inlineStr">
        <is>
          <t>Jul</t>
        </is>
      </c>
      <c r="G435" s="18">
        <f>IF(D435&lt;C435,D435+1-C435,D435-C435)*24</f>
        <v/>
      </c>
      <c r="H435" s="18">
        <f>MAX(0,G435-8)</f>
        <v/>
      </c>
    </row>
    <row r="436">
      <c r="A436" t="n">
        <v>1203</v>
      </c>
      <c r="B436" s="14" t="n">
        <v>46216</v>
      </c>
      <c r="C436" s="17" t="n">
        <v>0.2708333333333333</v>
      </c>
      <c r="D436" s="17" t="n">
        <v>0.625</v>
      </c>
      <c r="E436" t="inlineStr">
        <is>
          <t>Day</t>
        </is>
      </c>
      <c r="F436" t="inlineStr">
        <is>
          <t>Jul</t>
        </is>
      </c>
      <c r="G436" s="18">
        <f>IF(D436&lt;C436,D436+1-C436,D436-C436)*24</f>
        <v/>
      </c>
      <c r="H436" s="18">
        <f>MAX(0,G436-8)</f>
        <v/>
      </c>
    </row>
    <row r="437">
      <c r="A437" t="n">
        <v>1204</v>
      </c>
      <c r="B437" s="14" t="n">
        <v>46216</v>
      </c>
      <c r="C437" s="17" t="n">
        <v>0.25</v>
      </c>
      <c r="D437" s="17" t="n">
        <v>0.625</v>
      </c>
      <c r="E437" t="inlineStr">
        <is>
          <t>Day</t>
        </is>
      </c>
      <c r="F437" t="inlineStr">
        <is>
          <t>Jul</t>
        </is>
      </c>
      <c r="G437" s="18">
        <f>IF(D437&lt;C437,D437+1-C437,D437-C437)*24</f>
        <v/>
      </c>
      <c r="H437" s="18">
        <f>MAX(0,G437-8)</f>
        <v/>
      </c>
    </row>
    <row r="438">
      <c r="A438" t="n">
        <v>1205</v>
      </c>
      <c r="B438" s="14" t="n">
        <v>46216</v>
      </c>
      <c r="C438" s="17" t="n">
        <v>0.25</v>
      </c>
      <c r="D438" s="17" t="n">
        <v>0.6041666666666666</v>
      </c>
      <c r="E438" t="inlineStr">
        <is>
          <t>Day</t>
        </is>
      </c>
      <c r="F438" t="inlineStr">
        <is>
          <t>Jul</t>
        </is>
      </c>
      <c r="G438" s="18">
        <f>IF(D438&lt;C438,D438+1-C438,D438-C438)*24</f>
        <v/>
      </c>
      <c r="H438" s="18">
        <f>MAX(0,G438-8)</f>
        <v/>
      </c>
    </row>
    <row r="439">
      <c r="A439" t="n">
        <v>1206</v>
      </c>
      <c r="B439" s="14" t="n">
        <v>46216</v>
      </c>
      <c r="C439" s="17" t="n">
        <v>0.25</v>
      </c>
      <c r="D439" s="17" t="n">
        <v>0.625</v>
      </c>
      <c r="E439" t="inlineStr">
        <is>
          <t>Day</t>
        </is>
      </c>
      <c r="F439" t="inlineStr">
        <is>
          <t>Jul</t>
        </is>
      </c>
      <c r="G439" s="18">
        <f>IF(D439&lt;C439,D439+1-C439,D439-C439)*24</f>
        <v/>
      </c>
      <c r="H439" s="18">
        <f>MAX(0,G439-8)</f>
        <v/>
      </c>
    </row>
    <row r="440">
      <c r="A440" t="n">
        <v>1207</v>
      </c>
      <c r="B440" s="14" t="n">
        <v>46216</v>
      </c>
      <c r="C440" s="17" t="n">
        <v>0.25</v>
      </c>
      <c r="D440" s="17" t="n">
        <v>0.6666666666666666</v>
      </c>
      <c r="E440" t="inlineStr">
        <is>
          <t>Day</t>
        </is>
      </c>
      <c r="F440" t="inlineStr">
        <is>
          <t>Jul</t>
        </is>
      </c>
      <c r="G440" s="18">
        <f>IF(D440&lt;C440,D440+1-C440,D440-C440)*24</f>
        <v/>
      </c>
      <c r="H440" s="18">
        <f>MAX(0,G440-8)</f>
        <v/>
      </c>
    </row>
    <row r="441">
      <c r="A441" t="n">
        <v>1208</v>
      </c>
      <c r="B441" s="14" t="n">
        <v>46216</v>
      </c>
      <c r="C441" s="17" t="n">
        <v>0.25</v>
      </c>
      <c r="D441" s="17" t="n">
        <v>0.625</v>
      </c>
      <c r="E441" t="inlineStr">
        <is>
          <t>Day</t>
        </is>
      </c>
      <c r="F441" t="inlineStr">
        <is>
          <t>Jul</t>
        </is>
      </c>
      <c r="G441" s="18">
        <f>IF(D441&lt;C441,D441+1-C441,D441-C441)*24</f>
        <v/>
      </c>
      <c r="H441" s="18">
        <f>MAX(0,G441-8)</f>
        <v/>
      </c>
    </row>
    <row r="442">
      <c r="A442" t="n">
        <v>1209</v>
      </c>
      <c r="B442" s="14" t="n">
        <v>46216</v>
      </c>
      <c r="C442" s="17" t="n">
        <v>0.2708333333333333</v>
      </c>
      <c r="D442" s="17" t="n">
        <v>0.625</v>
      </c>
      <c r="E442" t="inlineStr">
        <is>
          <t>Day</t>
        </is>
      </c>
      <c r="F442" t="inlineStr">
        <is>
          <t>Jul</t>
        </is>
      </c>
      <c r="G442" s="18">
        <f>IF(D442&lt;C442,D442+1-C442,D442-C442)*24</f>
        <v/>
      </c>
      <c r="H442" s="18">
        <f>MAX(0,G442-8)</f>
        <v/>
      </c>
    </row>
    <row r="443">
      <c r="A443" t="n">
        <v>1210</v>
      </c>
      <c r="B443" s="14" t="n">
        <v>46216</v>
      </c>
      <c r="C443" s="17" t="n">
        <v>0.25</v>
      </c>
      <c r="D443" s="17" t="n">
        <v>0.6666666666666666</v>
      </c>
      <c r="E443" t="inlineStr">
        <is>
          <t>Day</t>
        </is>
      </c>
      <c r="F443" t="inlineStr">
        <is>
          <t>Jul</t>
        </is>
      </c>
      <c r="G443" s="18">
        <f>IF(D443&lt;C443,D443+1-C443,D443-C443)*24</f>
        <v/>
      </c>
      <c r="H443" s="18">
        <f>MAX(0,G443-8)</f>
        <v/>
      </c>
    </row>
    <row r="444">
      <c r="A444" t="n">
        <v>1211</v>
      </c>
      <c r="B444" s="14" t="n">
        <v>46216</v>
      </c>
      <c r="C444" s="17" t="n">
        <v>0.2708333333333333</v>
      </c>
      <c r="D444" s="17" t="n">
        <v>0.625</v>
      </c>
      <c r="E444" t="inlineStr">
        <is>
          <t>Day</t>
        </is>
      </c>
      <c r="F444" t="inlineStr">
        <is>
          <t>Jul</t>
        </is>
      </c>
      <c r="G444" s="18">
        <f>IF(D444&lt;C444,D444+1-C444,D444-C444)*24</f>
        <v/>
      </c>
      <c r="H444" s="18">
        <f>MAX(0,G444-8)</f>
        <v/>
      </c>
    </row>
    <row r="445">
      <c r="A445" t="n">
        <v>1212</v>
      </c>
      <c r="B445" s="14" t="n">
        <v>46216</v>
      </c>
      <c r="C445" s="17" t="n">
        <v>0.25</v>
      </c>
      <c r="D445" s="17" t="n">
        <v>0.5833333333333334</v>
      </c>
      <c r="E445" t="inlineStr">
        <is>
          <t>Day</t>
        </is>
      </c>
      <c r="F445" t="inlineStr">
        <is>
          <t>Jul</t>
        </is>
      </c>
      <c r="G445" s="18">
        <f>IF(D445&lt;C445,D445+1-C445,D445-C445)*24</f>
        <v/>
      </c>
      <c r="H445" s="18">
        <f>MAX(0,G445-8)</f>
        <v/>
      </c>
    </row>
    <row r="446">
      <c r="A446" t="n">
        <v>1213</v>
      </c>
      <c r="B446" s="14" t="n">
        <v>46216</v>
      </c>
      <c r="C446" s="17" t="n">
        <v>0.25</v>
      </c>
      <c r="D446" s="17" t="n">
        <v>0.5833333333333334</v>
      </c>
      <c r="E446" t="inlineStr">
        <is>
          <t>Day</t>
        </is>
      </c>
      <c r="F446" t="inlineStr">
        <is>
          <t>Jul</t>
        </is>
      </c>
      <c r="G446" s="18">
        <f>IF(D446&lt;C446,D446+1-C446,D446-C446)*24</f>
        <v/>
      </c>
      <c r="H446" s="18">
        <f>MAX(0,G446-8)</f>
        <v/>
      </c>
    </row>
    <row r="447">
      <c r="A447" t="n">
        <v>1214</v>
      </c>
      <c r="B447" s="14" t="n">
        <v>46216</v>
      </c>
      <c r="C447" s="17" t="n">
        <v>0.25</v>
      </c>
      <c r="D447" s="17" t="n">
        <v>0.5833333333333334</v>
      </c>
      <c r="E447" t="inlineStr">
        <is>
          <t>Day</t>
        </is>
      </c>
      <c r="F447" t="inlineStr">
        <is>
          <t>Jul</t>
        </is>
      </c>
      <c r="G447" s="18">
        <f>IF(D447&lt;C447,D447+1-C447,D447-C447)*24</f>
        <v/>
      </c>
      <c r="H447" s="18">
        <f>MAX(0,G447-8)</f>
        <v/>
      </c>
    </row>
    <row r="448">
      <c r="A448" t="n">
        <v>1215</v>
      </c>
      <c r="B448" s="14" t="n">
        <v>46216</v>
      </c>
      <c r="C448" s="17" t="n">
        <v>0.25</v>
      </c>
      <c r="D448" s="17" t="n">
        <v>0.6666666666666666</v>
      </c>
      <c r="E448" t="inlineStr">
        <is>
          <t>Day</t>
        </is>
      </c>
      <c r="F448" t="inlineStr">
        <is>
          <t>Jul</t>
        </is>
      </c>
      <c r="G448" s="18">
        <f>IF(D448&lt;C448,D448+1-C448,D448-C448)*24</f>
        <v/>
      </c>
      <c r="H448" s="18">
        <f>MAX(0,G448-8)</f>
        <v/>
      </c>
    </row>
    <row r="449">
      <c r="A449" t="n">
        <v>1216</v>
      </c>
      <c r="B449" s="14" t="n">
        <v>46216</v>
      </c>
      <c r="C449" s="17" t="n">
        <v>0.2708333333333333</v>
      </c>
      <c r="D449" s="17" t="n">
        <v>0.6041666666666666</v>
      </c>
      <c r="E449" t="inlineStr">
        <is>
          <t>Day</t>
        </is>
      </c>
      <c r="F449" t="inlineStr">
        <is>
          <t>Jul</t>
        </is>
      </c>
      <c r="G449" s="18">
        <f>IF(D449&lt;C449,D449+1-C449,D449-C449)*24</f>
        <v/>
      </c>
      <c r="H449" s="18">
        <f>MAX(0,G449-8)</f>
        <v/>
      </c>
    </row>
    <row r="450">
      <c r="A450" t="n">
        <v>1217</v>
      </c>
      <c r="B450" s="14" t="n">
        <v>46216</v>
      </c>
      <c r="C450" s="17" t="n">
        <v>0.25</v>
      </c>
      <c r="D450" s="17" t="n">
        <v>0.5833333333333334</v>
      </c>
      <c r="E450" t="inlineStr">
        <is>
          <t>Day</t>
        </is>
      </c>
      <c r="F450" t="inlineStr">
        <is>
          <t>Jul</t>
        </is>
      </c>
      <c r="G450" s="18">
        <f>IF(D450&lt;C450,D450+1-C450,D450-C450)*24</f>
        <v/>
      </c>
      <c r="H450" s="18">
        <f>MAX(0,G450-8)</f>
        <v/>
      </c>
    </row>
    <row r="451">
      <c r="A451" t="n">
        <v>1218</v>
      </c>
      <c r="B451" s="14" t="n">
        <v>46216</v>
      </c>
      <c r="C451" s="17" t="n">
        <v>0.25</v>
      </c>
      <c r="D451" s="17" t="n">
        <v>0.6666666666666666</v>
      </c>
      <c r="E451" t="inlineStr">
        <is>
          <t>Day</t>
        </is>
      </c>
      <c r="F451" t="inlineStr">
        <is>
          <t>Jul</t>
        </is>
      </c>
      <c r="G451" s="18">
        <f>IF(D451&lt;C451,D451+1-C451,D451-C451)*24</f>
        <v/>
      </c>
      <c r="H451" s="18">
        <f>MAX(0,G451-8)</f>
        <v/>
      </c>
    </row>
    <row r="452">
      <c r="A452" t="n">
        <v>1219</v>
      </c>
      <c r="B452" s="14" t="n">
        <v>46216</v>
      </c>
      <c r="C452" s="17" t="n">
        <v>0.25</v>
      </c>
      <c r="D452" s="17" t="n">
        <v>0.5833333333333334</v>
      </c>
      <c r="E452" t="inlineStr">
        <is>
          <t>Day</t>
        </is>
      </c>
      <c r="F452" t="inlineStr">
        <is>
          <t>Jul</t>
        </is>
      </c>
      <c r="G452" s="18">
        <f>IF(D452&lt;C452,D452+1-C452,D452-C452)*24</f>
        <v/>
      </c>
      <c r="H452" s="18">
        <f>MAX(0,G452-8)</f>
        <v/>
      </c>
    </row>
    <row r="453">
      <c r="A453" t="n">
        <v>1220</v>
      </c>
      <c r="B453" s="14" t="n">
        <v>46216</v>
      </c>
      <c r="C453" s="17" t="n">
        <v>0.25</v>
      </c>
      <c r="D453" s="17" t="n">
        <v>0.625</v>
      </c>
      <c r="E453" t="inlineStr">
        <is>
          <t>Day</t>
        </is>
      </c>
      <c r="F453" t="inlineStr">
        <is>
          <t>Jul</t>
        </is>
      </c>
      <c r="G453" s="18">
        <f>IF(D453&lt;C453,D453+1-C453,D453-C453)*24</f>
        <v/>
      </c>
      <c r="H453" s="18">
        <f>MAX(0,G453-8)</f>
        <v/>
      </c>
    </row>
    <row r="454">
      <c r="A454" t="n">
        <v>1101</v>
      </c>
      <c r="B454" s="14" t="n">
        <v>46217</v>
      </c>
      <c r="C454" s="17" t="n">
        <v>0.9166666666666666</v>
      </c>
      <c r="D454" s="17" t="n">
        <v>0.2708333333333333</v>
      </c>
      <c r="E454" t="inlineStr">
        <is>
          <t>Night</t>
        </is>
      </c>
      <c r="F454" t="inlineStr">
        <is>
          <t>Jul</t>
        </is>
      </c>
      <c r="G454" s="18">
        <f>IF(D454&lt;C454,D454+1-C454,D454-C454)*24</f>
        <v/>
      </c>
      <c r="H454" s="18">
        <f>MAX(0,G454-8)</f>
        <v/>
      </c>
    </row>
    <row r="455">
      <c r="A455" t="n">
        <v>1102</v>
      </c>
      <c r="B455" s="14" t="n">
        <v>46217</v>
      </c>
      <c r="C455" s="17" t="n">
        <v>0.9375</v>
      </c>
      <c r="D455" s="17" t="n">
        <v>0.375</v>
      </c>
      <c r="E455" t="inlineStr">
        <is>
          <t>Night</t>
        </is>
      </c>
      <c r="F455" t="inlineStr">
        <is>
          <t>Jul</t>
        </is>
      </c>
      <c r="G455" s="18">
        <f>IF(D455&lt;C455,D455+1-C455,D455-C455)*24</f>
        <v/>
      </c>
      <c r="H455" s="18">
        <f>MAX(0,G455-8)</f>
        <v/>
      </c>
    </row>
    <row r="456">
      <c r="A456" t="n">
        <v>1103</v>
      </c>
      <c r="B456" s="14" t="n">
        <v>46217</v>
      </c>
      <c r="C456" s="17" t="n">
        <v>0.9166666666666666</v>
      </c>
      <c r="D456" s="17" t="n">
        <v>0.2916666666666667</v>
      </c>
      <c r="E456" t="inlineStr">
        <is>
          <t>Night</t>
        </is>
      </c>
      <c r="F456" t="inlineStr">
        <is>
          <t>Jul</t>
        </is>
      </c>
      <c r="G456" s="18">
        <f>IF(D456&lt;C456,D456+1-C456,D456-C456)*24</f>
        <v/>
      </c>
      <c r="H456" s="18">
        <f>MAX(0,G456-8)</f>
        <v/>
      </c>
    </row>
    <row r="457">
      <c r="A457" t="n">
        <v>1104</v>
      </c>
      <c r="B457" s="14" t="n">
        <v>46217</v>
      </c>
      <c r="C457" s="17" t="n">
        <v>0.9166666666666666</v>
      </c>
      <c r="D457" s="17" t="n">
        <v>0.375</v>
      </c>
      <c r="E457" t="inlineStr">
        <is>
          <t>Night</t>
        </is>
      </c>
      <c r="F457" t="inlineStr">
        <is>
          <t>Jul</t>
        </is>
      </c>
      <c r="G457" s="18">
        <f>IF(D457&lt;C457,D457+1-C457,D457-C457)*24</f>
        <v/>
      </c>
      <c r="H457" s="18">
        <f>MAX(0,G457-8)</f>
        <v/>
      </c>
    </row>
    <row r="458">
      <c r="A458" t="n">
        <v>1107</v>
      </c>
      <c r="B458" s="14" t="n">
        <v>46217</v>
      </c>
      <c r="C458" s="17" t="n">
        <v>0.9375</v>
      </c>
      <c r="D458" s="17" t="n">
        <v>0.3958333333333333</v>
      </c>
      <c r="E458" t="inlineStr">
        <is>
          <t>Night</t>
        </is>
      </c>
      <c r="F458" t="inlineStr">
        <is>
          <t>Jul</t>
        </is>
      </c>
      <c r="G458" s="18">
        <f>IF(D458&lt;C458,D458+1-C458,D458-C458)*24</f>
        <v/>
      </c>
      <c r="H458" s="18">
        <f>MAX(0,G458-8)</f>
        <v/>
      </c>
    </row>
    <row r="459">
      <c r="A459" t="n">
        <v>1108</v>
      </c>
      <c r="B459" s="14" t="n">
        <v>46217</v>
      </c>
      <c r="C459" s="17" t="n">
        <v>0.9270833333333334</v>
      </c>
      <c r="D459" s="17" t="n">
        <v>0.28125</v>
      </c>
      <c r="E459" t="inlineStr">
        <is>
          <t>Night</t>
        </is>
      </c>
      <c r="F459" t="inlineStr">
        <is>
          <t>Jul</t>
        </is>
      </c>
      <c r="G459" s="18">
        <f>IF(D459&lt;C459,D459+1-C459,D459-C459)*24</f>
        <v/>
      </c>
      <c r="H459" s="18">
        <f>MAX(0,G459-8)</f>
        <v/>
      </c>
    </row>
    <row r="460">
      <c r="A460" t="n">
        <v>1110</v>
      </c>
      <c r="B460" s="14" t="n">
        <v>46217</v>
      </c>
      <c r="C460" s="17" t="n">
        <v>0.9375</v>
      </c>
      <c r="D460" s="17" t="n">
        <v>0.3541666666666667</v>
      </c>
      <c r="E460" t="inlineStr">
        <is>
          <t>Night</t>
        </is>
      </c>
      <c r="F460" t="inlineStr">
        <is>
          <t>Jul</t>
        </is>
      </c>
      <c r="G460" s="18">
        <f>IF(D460&lt;C460,D460+1-C460,D460-C460)*24</f>
        <v/>
      </c>
      <c r="H460" s="18">
        <f>MAX(0,G460-8)</f>
        <v/>
      </c>
    </row>
    <row r="461">
      <c r="A461" t="n">
        <v>1111</v>
      </c>
      <c r="B461" s="14" t="n">
        <v>46217</v>
      </c>
      <c r="C461" s="17" t="n">
        <v>0.9166666666666666</v>
      </c>
      <c r="D461" s="17" t="n">
        <v>0.2708333333333333</v>
      </c>
      <c r="E461" t="inlineStr">
        <is>
          <t>Night</t>
        </is>
      </c>
      <c r="F461" t="inlineStr">
        <is>
          <t>Jul</t>
        </is>
      </c>
      <c r="G461" s="18">
        <f>IF(D461&lt;C461,D461+1-C461,D461-C461)*24</f>
        <v/>
      </c>
      <c r="H461" s="18">
        <f>MAX(0,G461-8)</f>
        <v/>
      </c>
    </row>
    <row r="462">
      <c r="A462" t="n">
        <v>1112</v>
      </c>
      <c r="B462" s="14" t="n">
        <v>46217</v>
      </c>
      <c r="C462" s="17" t="n">
        <v>0.9270833333333334</v>
      </c>
      <c r="D462" s="17" t="n">
        <v>0.3020833333333333</v>
      </c>
      <c r="E462" t="inlineStr">
        <is>
          <t>Night</t>
        </is>
      </c>
      <c r="F462" t="inlineStr">
        <is>
          <t>Jul</t>
        </is>
      </c>
      <c r="G462" s="18">
        <f>IF(D462&lt;C462,D462+1-C462,D462-C462)*24</f>
        <v/>
      </c>
      <c r="H462" s="18">
        <f>MAX(0,G462-8)</f>
        <v/>
      </c>
    </row>
    <row r="463">
      <c r="A463" t="n">
        <v>1113</v>
      </c>
      <c r="B463" s="14" t="n">
        <v>46217</v>
      </c>
      <c r="C463" s="17" t="n">
        <v>0.9270833333333334</v>
      </c>
      <c r="D463" s="17" t="n">
        <v>0.40625</v>
      </c>
      <c r="E463" t="inlineStr">
        <is>
          <t>Night</t>
        </is>
      </c>
      <c r="F463" t="inlineStr">
        <is>
          <t>Jul</t>
        </is>
      </c>
      <c r="G463" s="18">
        <f>IF(D463&lt;C463,D463+1-C463,D463-C463)*24</f>
        <v/>
      </c>
      <c r="H463" s="18">
        <f>MAX(0,G463-8)</f>
        <v/>
      </c>
    </row>
    <row r="464">
      <c r="A464" t="n">
        <v>1114</v>
      </c>
      <c r="B464" s="14" t="n">
        <v>46217</v>
      </c>
      <c r="C464" s="17" t="n">
        <v>0.9270833333333334</v>
      </c>
      <c r="D464" s="17" t="n">
        <v>0.2604166666666667</v>
      </c>
      <c r="E464" t="inlineStr">
        <is>
          <t>Night</t>
        </is>
      </c>
      <c r="F464" t="inlineStr">
        <is>
          <t>Jul</t>
        </is>
      </c>
      <c r="G464" s="18">
        <f>IF(D464&lt;C464,D464+1-C464,D464-C464)*24</f>
        <v/>
      </c>
      <c r="H464" s="18">
        <f>MAX(0,G464-8)</f>
        <v/>
      </c>
    </row>
    <row r="465">
      <c r="A465" t="n">
        <v>1115</v>
      </c>
      <c r="B465" s="14" t="n">
        <v>46217</v>
      </c>
      <c r="C465" s="17" t="n">
        <v>0.9166666666666666</v>
      </c>
      <c r="D465" s="17" t="n">
        <v>0.3333333333333333</v>
      </c>
      <c r="E465" t="inlineStr">
        <is>
          <t>Night</t>
        </is>
      </c>
      <c r="F465" t="inlineStr">
        <is>
          <t>Jul</t>
        </is>
      </c>
      <c r="G465" s="18">
        <f>IF(D465&lt;C465,D465+1-C465,D465-C465)*24</f>
        <v/>
      </c>
      <c r="H465" s="18">
        <f>MAX(0,G465-8)</f>
        <v/>
      </c>
    </row>
    <row r="466">
      <c r="A466" t="n">
        <v>1116</v>
      </c>
      <c r="B466" s="14" t="n">
        <v>46217</v>
      </c>
      <c r="C466" s="17" t="n">
        <v>0.9375</v>
      </c>
      <c r="D466" s="17" t="n">
        <v>0.3541666666666667</v>
      </c>
      <c r="E466" t="inlineStr">
        <is>
          <t>Night</t>
        </is>
      </c>
      <c r="F466" t="inlineStr">
        <is>
          <t>Jul</t>
        </is>
      </c>
      <c r="G466" s="18">
        <f>IF(D466&lt;C466,D466+1-C466,D466-C466)*24</f>
        <v/>
      </c>
      <c r="H466" s="18">
        <f>MAX(0,G466-8)</f>
        <v/>
      </c>
    </row>
    <row r="467">
      <c r="A467" t="n">
        <v>1117</v>
      </c>
      <c r="B467" s="14" t="n">
        <v>46217</v>
      </c>
      <c r="C467" s="17" t="n">
        <v>0.9166666666666666</v>
      </c>
      <c r="D467" s="17" t="n">
        <v>0.2916666666666667</v>
      </c>
      <c r="E467" t="inlineStr">
        <is>
          <t>Night</t>
        </is>
      </c>
      <c r="F467" t="inlineStr">
        <is>
          <t>Jul</t>
        </is>
      </c>
      <c r="G467" s="18">
        <f>IF(D467&lt;C467,D467+1-C467,D467-C467)*24</f>
        <v/>
      </c>
      <c r="H467" s="18">
        <f>MAX(0,G467-8)</f>
        <v/>
      </c>
    </row>
    <row r="468">
      <c r="A468" t="n">
        <v>1119</v>
      </c>
      <c r="B468" s="14" t="n">
        <v>46217</v>
      </c>
      <c r="C468" s="17" t="n">
        <v>0.9166666666666666</v>
      </c>
      <c r="D468" s="17" t="n">
        <v>0.25</v>
      </c>
      <c r="E468" t="inlineStr">
        <is>
          <t>Night</t>
        </is>
      </c>
      <c r="F468" t="inlineStr">
        <is>
          <t>Jul</t>
        </is>
      </c>
      <c r="G468" s="18">
        <f>IF(D468&lt;C468,D468+1-C468,D468-C468)*24</f>
        <v/>
      </c>
      <c r="H468" s="18">
        <f>MAX(0,G468-8)</f>
        <v/>
      </c>
    </row>
    <row r="469">
      <c r="A469" t="n">
        <v>1120</v>
      </c>
      <c r="B469" s="14" t="n">
        <v>46217</v>
      </c>
      <c r="C469" s="17" t="n">
        <v>0.9166666666666666</v>
      </c>
      <c r="D469" s="17" t="n">
        <v>0.3125</v>
      </c>
      <c r="E469" t="inlineStr">
        <is>
          <t>Night</t>
        </is>
      </c>
      <c r="F469" t="inlineStr">
        <is>
          <t>Jul</t>
        </is>
      </c>
      <c r="G469" s="18">
        <f>IF(D469&lt;C469,D469+1-C469,D469-C469)*24</f>
        <v/>
      </c>
      <c r="H469" s="18">
        <f>MAX(0,G469-8)</f>
        <v/>
      </c>
    </row>
    <row r="470">
      <c r="A470" t="n">
        <v>1121</v>
      </c>
      <c r="B470" s="14" t="n">
        <v>46217</v>
      </c>
      <c r="C470" s="17" t="n">
        <v>0.9375</v>
      </c>
      <c r="D470" s="17" t="n">
        <v>0.3333333333333333</v>
      </c>
      <c r="E470" t="inlineStr">
        <is>
          <t>Night</t>
        </is>
      </c>
      <c r="F470" t="inlineStr">
        <is>
          <t>Jul</t>
        </is>
      </c>
      <c r="G470" s="18">
        <f>IF(D470&lt;C470,D470+1-C470,D470-C470)*24</f>
        <v/>
      </c>
      <c r="H470" s="18">
        <f>MAX(0,G470-8)</f>
        <v/>
      </c>
    </row>
    <row r="471">
      <c r="A471" t="n">
        <v>1122</v>
      </c>
      <c r="B471" s="14" t="n">
        <v>46217</v>
      </c>
      <c r="C471" s="17" t="n">
        <v>0.9166666666666666</v>
      </c>
      <c r="D471" s="17" t="n">
        <v>0.3958333333333333</v>
      </c>
      <c r="E471" t="inlineStr">
        <is>
          <t>Night</t>
        </is>
      </c>
      <c r="F471" t="inlineStr">
        <is>
          <t>Jul</t>
        </is>
      </c>
      <c r="G471" s="18">
        <f>IF(D471&lt;C471,D471+1-C471,D471-C471)*24</f>
        <v/>
      </c>
      <c r="H471" s="18">
        <f>MAX(0,G471-8)</f>
        <v/>
      </c>
    </row>
    <row r="472">
      <c r="A472" t="n">
        <v>1123</v>
      </c>
      <c r="B472" s="14" t="n">
        <v>46217</v>
      </c>
      <c r="C472" s="17" t="n">
        <v>0.9166666666666666</v>
      </c>
      <c r="D472" s="17" t="n">
        <v>0.25</v>
      </c>
      <c r="E472" t="inlineStr">
        <is>
          <t>Night</t>
        </is>
      </c>
      <c r="F472" t="inlineStr">
        <is>
          <t>Jul</t>
        </is>
      </c>
      <c r="G472" s="18">
        <f>IF(D472&lt;C472,D472+1-C472,D472-C472)*24</f>
        <v/>
      </c>
      <c r="H472" s="18">
        <f>MAX(0,G472-8)</f>
        <v/>
      </c>
    </row>
    <row r="473">
      <c r="A473" t="n">
        <v>1124</v>
      </c>
      <c r="B473" s="14" t="n">
        <v>46217</v>
      </c>
      <c r="C473" s="17" t="n">
        <v>0.9166666666666666</v>
      </c>
      <c r="D473" s="17" t="n">
        <v>0.3958333333333333</v>
      </c>
      <c r="E473" t="inlineStr">
        <is>
          <t>Night</t>
        </is>
      </c>
      <c r="F473" t="inlineStr">
        <is>
          <t>Jul</t>
        </is>
      </c>
      <c r="G473" s="18">
        <f>IF(D473&lt;C473,D473+1-C473,D473-C473)*24</f>
        <v/>
      </c>
      <c r="H473" s="18">
        <f>MAX(0,G473-8)</f>
        <v/>
      </c>
    </row>
    <row r="474">
      <c r="A474" t="n">
        <v>1125</v>
      </c>
      <c r="B474" s="14" t="n">
        <v>46217</v>
      </c>
      <c r="C474" s="17" t="n">
        <v>0.9166666666666666</v>
      </c>
      <c r="D474" s="17" t="n">
        <v>0.25</v>
      </c>
      <c r="E474" t="inlineStr">
        <is>
          <t>Night</t>
        </is>
      </c>
      <c r="F474" t="inlineStr">
        <is>
          <t>Jul</t>
        </is>
      </c>
      <c r="G474" s="18">
        <f>IF(D474&lt;C474,D474+1-C474,D474-C474)*24</f>
        <v/>
      </c>
      <c r="H474" s="18">
        <f>MAX(0,G474-8)</f>
        <v/>
      </c>
    </row>
    <row r="475">
      <c r="A475" t="n">
        <v>1126</v>
      </c>
      <c r="B475" s="14" t="n">
        <v>46217</v>
      </c>
      <c r="C475" s="17" t="n">
        <v>0.9166666666666666</v>
      </c>
      <c r="D475" s="17" t="n">
        <v>0.2708333333333333</v>
      </c>
      <c r="E475" t="inlineStr">
        <is>
          <t>Night</t>
        </is>
      </c>
      <c r="F475" t="inlineStr">
        <is>
          <t>Jul</t>
        </is>
      </c>
      <c r="G475" s="18">
        <f>IF(D475&lt;C475,D475+1-C475,D475-C475)*24</f>
        <v/>
      </c>
      <c r="H475" s="18">
        <f>MAX(0,G475-8)</f>
        <v/>
      </c>
    </row>
    <row r="476">
      <c r="A476" t="n">
        <v>1128</v>
      </c>
      <c r="B476" s="14" t="n">
        <v>46217</v>
      </c>
      <c r="C476" s="17" t="n">
        <v>0.9166666666666666</v>
      </c>
      <c r="D476" s="17" t="n">
        <v>0.2708333333333333</v>
      </c>
      <c r="E476" t="inlineStr">
        <is>
          <t>Night</t>
        </is>
      </c>
      <c r="F476" t="inlineStr">
        <is>
          <t>Jul</t>
        </is>
      </c>
      <c r="G476" s="18">
        <f>IF(D476&lt;C476,D476+1-C476,D476-C476)*24</f>
        <v/>
      </c>
      <c r="H476" s="18">
        <f>MAX(0,G476-8)</f>
        <v/>
      </c>
    </row>
    <row r="477">
      <c r="A477" t="n">
        <v>1129</v>
      </c>
      <c r="B477" s="14" t="n">
        <v>46217</v>
      </c>
      <c r="C477" s="17" t="n">
        <v>0.9166666666666666</v>
      </c>
      <c r="D477" s="17" t="n">
        <v>0.3333333333333333</v>
      </c>
      <c r="E477" t="inlineStr">
        <is>
          <t>Night</t>
        </is>
      </c>
      <c r="F477" t="inlineStr">
        <is>
          <t>Jul</t>
        </is>
      </c>
      <c r="G477" s="18">
        <f>IF(D477&lt;C477,D477+1-C477,D477-C477)*24</f>
        <v/>
      </c>
      <c r="H477" s="18">
        <f>MAX(0,G477-8)</f>
        <v/>
      </c>
    </row>
    <row r="478">
      <c r="A478" t="n">
        <v>1130</v>
      </c>
      <c r="B478" s="14" t="n">
        <v>46217</v>
      </c>
      <c r="C478" s="17" t="n">
        <v>0.9166666666666666</v>
      </c>
      <c r="D478" s="17" t="n">
        <v>0.25</v>
      </c>
      <c r="E478" t="inlineStr">
        <is>
          <t>Night</t>
        </is>
      </c>
      <c r="F478" t="inlineStr">
        <is>
          <t>Jul</t>
        </is>
      </c>
      <c r="G478" s="18">
        <f>IF(D478&lt;C478,D478+1-C478,D478-C478)*24</f>
        <v/>
      </c>
      <c r="H478" s="18">
        <f>MAX(0,G478-8)</f>
        <v/>
      </c>
    </row>
    <row r="479">
      <c r="A479" t="n">
        <v>1131</v>
      </c>
      <c r="B479" s="14" t="n">
        <v>46217</v>
      </c>
      <c r="C479" s="17" t="n">
        <v>0.9166666666666666</v>
      </c>
      <c r="D479" s="17" t="n">
        <v>0.375</v>
      </c>
      <c r="E479" t="inlineStr">
        <is>
          <t>Night</t>
        </is>
      </c>
      <c r="F479" t="inlineStr">
        <is>
          <t>Jul</t>
        </is>
      </c>
      <c r="G479" s="18">
        <f>IF(D479&lt;C479,D479+1-C479,D479-C479)*24</f>
        <v/>
      </c>
      <c r="H479" s="18">
        <f>MAX(0,G479-8)</f>
        <v/>
      </c>
    </row>
    <row r="480">
      <c r="A480" t="n">
        <v>1132</v>
      </c>
      <c r="B480" s="14" t="n">
        <v>46217</v>
      </c>
      <c r="C480" s="17" t="n">
        <v>0.9166666666666666</v>
      </c>
      <c r="D480" s="17" t="n">
        <v>0.2708333333333333</v>
      </c>
      <c r="E480" t="inlineStr">
        <is>
          <t>Night</t>
        </is>
      </c>
      <c r="F480" t="inlineStr">
        <is>
          <t>Jul</t>
        </is>
      </c>
      <c r="G480" s="18">
        <f>IF(D480&lt;C480,D480+1-C480,D480-C480)*24</f>
        <v/>
      </c>
      <c r="H480" s="18">
        <f>MAX(0,G480-8)</f>
        <v/>
      </c>
    </row>
    <row r="481">
      <c r="A481" t="n">
        <v>1133</v>
      </c>
      <c r="B481" s="14" t="n">
        <v>46217</v>
      </c>
      <c r="C481" s="17" t="n">
        <v>0.9166666666666666</v>
      </c>
      <c r="D481" s="17" t="n">
        <v>0.3333333333333333</v>
      </c>
      <c r="E481" t="inlineStr">
        <is>
          <t>Night</t>
        </is>
      </c>
      <c r="F481" t="inlineStr">
        <is>
          <t>Jul</t>
        </is>
      </c>
      <c r="G481" s="18">
        <f>IF(D481&lt;C481,D481+1-C481,D481-C481)*24</f>
        <v/>
      </c>
      <c r="H481" s="18">
        <f>MAX(0,G481-8)</f>
        <v/>
      </c>
    </row>
    <row r="482">
      <c r="A482" t="n">
        <v>1134</v>
      </c>
      <c r="B482" s="14" t="n">
        <v>46217</v>
      </c>
      <c r="C482" s="17" t="n">
        <v>0.9270833333333334</v>
      </c>
      <c r="D482" s="17" t="n">
        <v>0.28125</v>
      </c>
      <c r="E482" t="inlineStr">
        <is>
          <t>Night</t>
        </is>
      </c>
      <c r="F482" t="inlineStr">
        <is>
          <t>Jul</t>
        </is>
      </c>
      <c r="G482" s="18">
        <f>IF(D482&lt;C482,D482+1-C482,D482-C482)*24</f>
        <v/>
      </c>
      <c r="H482" s="18">
        <f>MAX(0,G482-8)</f>
        <v/>
      </c>
    </row>
    <row r="483">
      <c r="A483" t="n">
        <v>1135</v>
      </c>
      <c r="B483" s="14" t="n">
        <v>46217</v>
      </c>
      <c r="C483" s="17" t="n">
        <v>0.9375</v>
      </c>
      <c r="D483" s="17" t="n">
        <v>0.2916666666666667</v>
      </c>
      <c r="E483" t="inlineStr">
        <is>
          <t>Night</t>
        </is>
      </c>
      <c r="F483" t="inlineStr">
        <is>
          <t>Jul</t>
        </is>
      </c>
      <c r="G483" s="18">
        <f>IF(D483&lt;C483,D483+1-C483,D483-C483)*24</f>
        <v/>
      </c>
      <c r="H483" s="18">
        <f>MAX(0,G483-8)</f>
        <v/>
      </c>
    </row>
    <row r="484">
      <c r="A484" t="n">
        <v>1136</v>
      </c>
      <c r="B484" s="14" t="n">
        <v>46217</v>
      </c>
      <c r="C484" s="17" t="n">
        <v>0.9270833333333334</v>
      </c>
      <c r="D484" s="17" t="n">
        <v>0.34375</v>
      </c>
      <c r="E484" t="inlineStr">
        <is>
          <t>Night</t>
        </is>
      </c>
      <c r="F484" t="inlineStr">
        <is>
          <t>Jul</t>
        </is>
      </c>
      <c r="G484" s="18">
        <f>IF(D484&lt;C484,D484+1-C484,D484-C484)*24</f>
        <v/>
      </c>
      <c r="H484" s="18">
        <f>MAX(0,G484-8)</f>
        <v/>
      </c>
    </row>
    <row r="485">
      <c r="A485" t="n">
        <v>1137</v>
      </c>
      <c r="B485" s="14" t="n">
        <v>46217</v>
      </c>
      <c r="C485" s="17" t="n">
        <v>0.9166666666666666</v>
      </c>
      <c r="D485" s="17" t="n">
        <v>0.375</v>
      </c>
      <c r="E485" t="inlineStr">
        <is>
          <t>Night</t>
        </is>
      </c>
      <c r="F485" t="inlineStr">
        <is>
          <t>Jul</t>
        </is>
      </c>
      <c r="G485" s="18">
        <f>IF(D485&lt;C485,D485+1-C485,D485-C485)*24</f>
        <v/>
      </c>
      <c r="H485" s="18">
        <f>MAX(0,G485-8)</f>
        <v/>
      </c>
    </row>
    <row r="486">
      <c r="A486" t="n">
        <v>1147</v>
      </c>
      <c r="B486" s="14" t="n">
        <v>46217</v>
      </c>
      <c r="C486" s="17" t="n">
        <v>0.9166666666666666</v>
      </c>
      <c r="D486" s="17" t="n">
        <v>0.3333333333333333</v>
      </c>
      <c r="E486" t="inlineStr">
        <is>
          <t>Night</t>
        </is>
      </c>
      <c r="F486" t="inlineStr">
        <is>
          <t>Jul</t>
        </is>
      </c>
      <c r="G486" s="18">
        <f>IF(D486&lt;C486,D486+1-C486,D486-C486)*24</f>
        <v/>
      </c>
      <c r="H486" s="18">
        <f>MAX(0,G486-8)</f>
        <v/>
      </c>
    </row>
    <row r="487">
      <c r="A487" t="n">
        <v>1118</v>
      </c>
      <c r="B487" s="14" t="n">
        <v>46217</v>
      </c>
      <c r="C487" s="17" t="n">
        <v>0.02083333333333333</v>
      </c>
      <c r="D487" s="17" t="n">
        <v>0.4583333333333333</v>
      </c>
      <c r="E487" t="inlineStr">
        <is>
          <t>Night</t>
        </is>
      </c>
      <c r="F487" t="inlineStr">
        <is>
          <t>Jul</t>
        </is>
      </c>
      <c r="G487" s="18">
        <f>IF(D487&lt;C487,D487+1-C487,D487-C487)*24</f>
        <v/>
      </c>
      <c r="H487" s="18">
        <f>MAX(0,G487-8)</f>
        <v/>
      </c>
    </row>
    <row r="488">
      <c r="A488" t="n">
        <v>1201</v>
      </c>
      <c r="B488" s="14" t="n">
        <v>46217</v>
      </c>
      <c r="C488" s="17" t="n">
        <v>0.25</v>
      </c>
      <c r="D488" s="17" t="n">
        <v>0.6666666666666666</v>
      </c>
      <c r="E488" t="inlineStr">
        <is>
          <t>Day</t>
        </is>
      </c>
      <c r="F488" t="inlineStr">
        <is>
          <t>Jul</t>
        </is>
      </c>
      <c r="G488" s="18">
        <f>IF(D488&lt;C488,D488+1-C488,D488-C488)*24</f>
        <v/>
      </c>
      <c r="H488" s="18">
        <f>MAX(0,G488-8)</f>
        <v/>
      </c>
    </row>
    <row r="489">
      <c r="A489" t="n">
        <v>1202</v>
      </c>
      <c r="B489" s="14" t="n">
        <v>46217</v>
      </c>
      <c r="C489" s="17" t="n">
        <v>0.25</v>
      </c>
      <c r="D489" s="17" t="n">
        <v>0.625</v>
      </c>
      <c r="E489" t="inlineStr">
        <is>
          <t>Day</t>
        </is>
      </c>
      <c r="F489" t="inlineStr">
        <is>
          <t>Jul</t>
        </is>
      </c>
      <c r="G489" s="18">
        <f>IF(D489&lt;C489,D489+1-C489,D489-C489)*24</f>
        <v/>
      </c>
      <c r="H489" s="18">
        <f>MAX(0,G489-8)</f>
        <v/>
      </c>
    </row>
    <row r="490">
      <c r="A490" t="n">
        <v>1203</v>
      </c>
      <c r="B490" s="14" t="n">
        <v>46217</v>
      </c>
      <c r="C490" s="17" t="n">
        <v>0.25</v>
      </c>
      <c r="D490" s="17" t="n">
        <v>0.5833333333333334</v>
      </c>
      <c r="E490" t="inlineStr">
        <is>
          <t>Day</t>
        </is>
      </c>
      <c r="F490" t="inlineStr">
        <is>
          <t>Jul</t>
        </is>
      </c>
      <c r="G490" s="18">
        <f>IF(D490&lt;C490,D490+1-C490,D490-C490)*24</f>
        <v/>
      </c>
      <c r="H490" s="18">
        <f>MAX(0,G490-8)</f>
        <v/>
      </c>
    </row>
    <row r="491">
      <c r="A491" t="n">
        <v>1204</v>
      </c>
      <c r="B491" s="14" t="n">
        <v>46217</v>
      </c>
      <c r="C491" s="17" t="n">
        <v>0.2708333333333333</v>
      </c>
      <c r="D491" s="17" t="n">
        <v>0.6041666666666666</v>
      </c>
      <c r="E491" t="inlineStr">
        <is>
          <t>Day</t>
        </is>
      </c>
      <c r="F491" t="inlineStr">
        <is>
          <t>Jul</t>
        </is>
      </c>
      <c r="G491" s="18">
        <f>IF(D491&lt;C491,D491+1-C491,D491-C491)*24</f>
        <v/>
      </c>
      <c r="H491" s="18">
        <f>MAX(0,G491-8)</f>
        <v/>
      </c>
    </row>
    <row r="492">
      <c r="A492" t="n">
        <v>1205</v>
      </c>
      <c r="B492" s="14" t="n">
        <v>46217</v>
      </c>
      <c r="C492" s="17" t="n">
        <v>0.2708333333333333</v>
      </c>
      <c r="D492" s="17" t="n">
        <v>0.6041666666666666</v>
      </c>
      <c r="E492" t="inlineStr">
        <is>
          <t>Day</t>
        </is>
      </c>
      <c r="F492" t="inlineStr">
        <is>
          <t>Jul</t>
        </is>
      </c>
      <c r="G492" s="18">
        <f>IF(D492&lt;C492,D492+1-C492,D492-C492)*24</f>
        <v/>
      </c>
      <c r="H492" s="18">
        <f>MAX(0,G492-8)</f>
        <v/>
      </c>
    </row>
    <row r="493">
      <c r="A493" t="n">
        <v>1206</v>
      </c>
      <c r="B493" s="14" t="n">
        <v>46217</v>
      </c>
      <c r="C493" s="17" t="n">
        <v>0.2708333333333333</v>
      </c>
      <c r="D493" s="17" t="n">
        <v>0.625</v>
      </c>
      <c r="E493" t="inlineStr">
        <is>
          <t>Day</t>
        </is>
      </c>
      <c r="F493" t="inlineStr">
        <is>
          <t>Jul</t>
        </is>
      </c>
      <c r="G493" s="18">
        <f>IF(D493&lt;C493,D493+1-C493,D493-C493)*24</f>
        <v/>
      </c>
      <c r="H493" s="18">
        <f>MAX(0,G493-8)</f>
        <v/>
      </c>
    </row>
    <row r="494">
      <c r="A494" t="n">
        <v>1207</v>
      </c>
      <c r="B494" s="14" t="n">
        <v>46217</v>
      </c>
      <c r="C494" s="17" t="n">
        <v>0.25</v>
      </c>
      <c r="D494" s="17" t="n">
        <v>0.625</v>
      </c>
      <c r="E494" t="inlineStr">
        <is>
          <t>Day</t>
        </is>
      </c>
      <c r="F494" t="inlineStr">
        <is>
          <t>Jul</t>
        </is>
      </c>
      <c r="G494" s="18">
        <f>IF(D494&lt;C494,D494+1-C494,D494-C494)*24</f>
        <v/>
      </c>
      <c r="H494" s="18">
        <f>MAX(0,G494-8)</f>
        <v/>
      </c>
    </row>
    <row r="495">
      <c r="A495" t="n">
        <v>1208</v>
      </c>
      <c r="B495" s="14" t="n">
        <v>46217</v>
      </c>
      <c r="C495" s="17" t="n">
        <v>0.25</v>
      </c>
      <c r="D495" s="17" t="n">
        <v>0.6666666666666666</v>
      </c>
      <c r="E495" t="inlineStr">
        <is>
          <t>Day</t>
        </is>
      </c>
      <c r="F495" t="inlineStr">
        <is>
          <t>Jul</t>
        </is>
      </c>
      <c r="G495" s="18">
        <f>IF(D495&lt;C495,D495+1-C495,D495-C495)*24</f>
        <v/>
      </c>
      <c r="H495" s="18">
        <f>MAX(0,G495-8)</f>
        <v/>
      </c>
    </row>
    <row r="496">
      <c r="A496" t="n">
        <v>1209</v>
      </c>
      <c r="B496" s="14" t="n">
        <v>46217</v>
      </c>
      <c r="C496" s="17" t="n">
        <v>0.2708333333333333</v>
      </c>
      <c r="D496" s="17" t="n">
        <v>0.625</v>
      </c>
      <c r="E496" t="inlineStr">
        <is>
          <t>Day</t>
        </is>
      </c>
      <c r="F496" t="inlineStr">
        <is>
          <t>Jul</t>
        </is>
      </c>
      <c r="G496" s="18">
        <f>IF(D496&lt;C496,D496+1-C496,D496-C496)*24</f>
        <v/>
      </c>
      <c r="H496" s="18">
        <f>MAX(0,G496-8)</f>
        <v/>
      </c>
    </row>
    <row r="497">
      <c r="A497" t="n">
        <v>1210</v>
      </c>
      <c r="B497" s="14" t="n">
        <v>46217</v>
      </c>
      <c r="C497" s="17" t="n">
        <v>0.2708333333333333</v>
      </c>
      <c r="D497" s="17" t="n">
        <v>0.6041666666666666</v>
      </c>
      <c r="E497" t="inlineStr">
        <is>
          <t>Day</t>
        </is>
      </c>
      <c r="F497" t="inlineStr">
        <is>
          <t>Jul</t>
        </is>
      </c>
      <c r="G497" s="18">
        <f>IF(D497&lt;C497,D497+1-C497,D497-C497)*24</f>
        <v/>
      </c>
      <c r="H497" s="18">
        <f>MAX(0,G497-8)</f>
        <v/>
      </c>
    </row>
    <row r="498">
      <c r="A498" t="n">
        <v>1211</v>
      </c>
      <c r="B498" s="14" t="n">
        <v>46217</v>
      </c>
      <c r="C498" s="17" t="n">
        <v>0.25</v>
      </c>
      <c r="D498" s="17" t="n">
        <v>0.6666666666666666</v>
      </c>
      <c r="E498" t="inlineStr">
        <is>
          <t>Day</t>
        </is>
      </c>
      <c r="F498" t="inlineStr">
        <is>
          <t>Jul</t>
        </is>
      </c>
      <c r="G498" s="18">
        <f>IF(D498&lt;C498,D498+1-C498,D498-C498)*24</f>
        <v/>
      </c>
      <c r="H498" s="18">
        <f>MAX(0,G498-8)</f>
        <v/>
      </c>
    </row>
    <row r="499">
      <c r="A499" t="n">
        <v>1212</v>
      </c>
      <c r="B499" s="14" t="n">
        <v>46217</v>
      </c>
      <c r="C499" s="17" t="n">
        <v>0.25</v>
      </c>
      <c r="D499" s="17" t="n">
        <v>0.625</v>
      </c>
      <c r="E499" t="inlineStr">
        <is>
          <t>Day</t>
        </is>
      </c>
      <c r="F499" t="inlineStr">
        <is>
          <t>Jul</t>
        </is>
      </c>
      <c r="G499" s="18">
        <f>IF(D499&lt;C499,D499+1-C499,D499-C499)*24</f>
        <v/>
      </c>
      <c r="H499" s="18">
        <f>MAX(0,G499-8)</f>
        <v/>
      </c>
    </row>
    <row r="500">
      <c r="A500" t="n">
        <v>1214</v>
      </c>
      <c r="B500" s="14" t="n">
        <v>46217</v>
      </c>
      <c r="C500" s="17" t="n">
        <v>0.25</v>
      </c>
      <c r="D500" s="17" t="n">
        <v>0.6666666666666666</v>
      </c>
      <c r="E500" t="inlineStr">
        <is>
          <t>Day</t>
        </is>
      </c>
      <c r="F500" t="inlineStr">
        <is>
          <t>Jul</t>
        </is>
      </c>
      <c r="G500" s="18">
        <f>IF(D500&lt;C500,D500+1-C500,D500-C500)*24</f>
        <v/>
      </c>
      <c r="H500" s="18">
        <f>MAX(0,G500-8)</f>
        <v/>
      </c>
    </row>
    <row r="501">
      <c r="A501" t="n">
        <v>1216</v>
      </c>
      <c r="B501" s="14" t="n">
        <v>46217</v>
      </c>
      <c r="C501" s="17" t="n">
        <v>0.25</v>
      </c>
      <c r="D501" s="17" t="n">
        <v>0.625</v>
      </c>
      <c r="E501" t="inlineStr">
        <is>
          <t>Day</t>
        </is>
      </c>
      <c r="F501" t="inlineStr">
        <is>
          <t>Jul</t>
        </is>
      </c>
      <c r="G501" s="18">
        <f>IF(D501&lt;C501,D501+1-C501,D501-C501)*24</f>
        <v/>
      </c>
      <c r="H501" s="18">
        <f>MAX(0,G501-8)</f>
        <v/>
      </c>
    </row>
    <row r="502">
      <c r="A502" t="n">
        <v>1217</v>
      </c>
      <c r="B502" s="14" t="n">
        <v>46217</v>
      </c>
      <c r="C502" s="17" t="n">
        <v>0.2708333333333333</v>
      </c>
      <c r="D502" s="17" t="n">
        <v>0.625</v>
      </c>
      <c r="E502" t="inlineStr">
        <is>
          <t>Day</t>
        </is>
      </c>
      <c r="F502" t="inlineStr">
        <is>
          <t>Jul</t>
        </is>
      </c>
      <c r="G502" s="18">
        <f>IF(D502&lt;C502,D502+1-C502,D502-C502)*24</f>
        <v/>
      </c>
      <c r="H502" s="18">
        <f>MAX(0,G502-8)</f>
        <v/>
      </c>
    </row>
    <row r="503">
      <c r="A503" t="n">
        <v>1218</v>
      </c>
      <c r="B503" s="14" t="n">
        <v>46217</v>
      </c>
      <c r="C503" s="17" t="n">
        <v>0.25</v>
      </c>
      <c r="D503" s="17" t="n">
        <v>0.6666666666666666</v>
      </c>
      <c r="E503" t="inlineStr">
        <is>
          <t>Day</t>
        </is>
      </c>
      <c r="F503" t="inlineStr">
        <is>
          <t>Jul</t>
        </is>
      </c>
      <c r="G503" s="18">
        <f>IF(D503&lt;C503,D503+1-C503,D503-C503)*24</f>
        <v/>
      </c>
      <c r="H503" s="18">
        <f>MAX(0,G503-8)</f>
        <v/>
      </c>
    </row>
    <row r="504">
      <c r="A504" t="n">
        <v>1219</v>
      </c>
      <c r="B504" s="14" t="n">
        <v>46217</v>
      </c>
      <c r="C504" s="17" t="n">
        <v>0.25</v>
      </c>
      <c r="D504" s="17" t="n">
        <v>0.6666666666666666</v>
      </c>
      <c r="E504" t="inlineStr">
        <is>
          <t>Day</t>
        </is>
      </c>
      <c r="F504" t="inlineStr">
        <is>
          <t>Jul</t>
        </is>
      </c>
      <c r="G504" s="18">
        <f>IF(D504&lt;C504,D504+1-C504,D504-C504)*24</f>
        <v/>
      </c>
      <c r="H504" s="18">
        <f>MAX(0,G504-8)</f>
        <v/>
      </c>
    </row>
    <row r="505">
      <c r="A505" t="n">
        <v>1220</v>
      </c>
      <c r="B505" s="14" t="n">
        <v>46217</v>
      </c>
      <c r="C505" s="17" t="n">
        <v>0.25</v>
      </c>
      <c r="D505" s="17" t="n">
        <v>0.6666666666666666</v>
      </c>
      <c r="E505" t="inlineStr">
        <is>
          <t>Day</t>
        </is>
      </c>
      <c r="F505" t="inlineStr">
        <is>
          <t>Jul</t>
        </is>
      </c>
      <c r="G505" s="18">
        <f>IF(D505&lt;C505,D505+1-C505,D505-C505)*24</f>
        <v/>
      </c>
      <c r="H505" s="18">
        <f>MAX(0,G505-8)</f>
        <v/>
      </c>
    </row>
    <row r="506">
      <c r="A506" t="n">
        <v>1102</v>
      </c>
      <c r="B506" s="14" t="n">
        <v>46218</v>
      </c>
      <c r="C506" s="17" t="n">
        <v>0.9166666666666666</v>
      </c>
      <c r="D506" s="17" t="n">
        <v>0.375</v>
      </c>
      <c r="E506" t="inlineStr">
        <is>
          <t>Night</t>
        </is>
      </c>
      <c r="F506" t="inlineStr">
        <is>
          <t>Jul</t>
        </is>
      </c>
      <c r="G506" s="18">
        <f>IF(D506&lt;C506,D506+1-C506,D506-C506)*24</f>
        <v/>
      </c>
      <c r="H506" s="18">
        <f>MAX(0,G506-8)</f>
        <v/>
      </c>
    </row>
    <row r="507">
      <c r="A507" t="n">
        <v>1103</v>
      </c>
      <c r="B507" s="14" t="n">
        <v>46218</v>
      </c>
      <c r="C507" s="17" t="n">
        <v>0.9166666666666666</v>
      </c>
      <c r="D507" s="17" t="n">
        <v>0.2916666666666667</v>
      </c>
      <c r="E507" t="inlineStr">
        <is>
          <t>Night</t>
        </is>
      </c>
      <c r="F507" t="inlineStr">
        <is>
          <t>Jul</t>
        </is>
      </c>
      <c r="G507" s="18">
        <f>IF(D507&lt;C507,D507+1-C507,D507-C507)*24</f>
        <v/>
      </c>
      <c r="H507" s="18">
        <f>MAX(0,G507-8)</f>
        <v/>
      </c>
    </row>
    <row r="508">
      <c r="A508" t="n">
        <v>1107</v>
      </c>
      <c r="B508" s="14" t="n">
        <v>46218</v>
      </c>
      <c r="C508" s="17" t="n">
        <v>0.9166666666666666</v>
      </c>
      <c r="D508" s="17" t="n">
        <v>0.25</v>
      </c>
      <c r="E508" t="inlineStr">
        <is>
          <t>Night</t>
        </is>
      </c>
      <c r="F508" t="inlineStr">
        <is>
          <t>Jul</t>
        </is>
      </c>
      <c r="G508" s="18">
        <f>IF(D508&lt;C508,D508+1-C508,D508-C508)*24</f>
        <v/>
      </c>
      <c r="H508" s="18">
        <f>MAX(0,G508-8)</f>
        <v/>
      </c>
    </row>
    <row r="509">
      <c r="A509" t="n">
        <v>1110</v>
      </c>
      <c r="B509" s="14" t="n">
        <v>46218</v>
      </c>
      <c r="C509" s="17" t="n">
        <v>0.9166666666666666</v>
      </c>
      <c r="D509" s="17" t="n">
        <v>0.2708333333333333</v>
      </c>
      <c r="E509" t="inlineStr">
        <is>
          <t>Night</t>
        </is>
      </c>
      <c r="F509" t="inlineStr">
        <is>
          <t>Jul</t>
        </is>
      </c>
      <c r="G509" s="18">
        <f>IF(D509&lt;C509,D509+1-C509,D509-C509)*24</f>
        <v/>
      </c>
      <c r="H509" s="18">
        <f>MAX(0,G509-8)</f>
        <v/>
      </c>
    </row>
    <row r="510">
      <c r="A510" t="n">
        <v>1111</v>
      </c>
      <c r="B510" s="14" t="n">
        <v>46218</v>
      </c>
      <c r="C510" s="17" t="n">
        <v>0.9375</v>
      </c>
      <c r="D510" s="17" t="n">
        <v>0.2708333333333333</v>
      </c>
      <c r="E510" t="inlineStr">
        <is>
          <t>Night</t>
        </is>
      </c>
      <c r="F510" t="inlineStr">
        <is>
          <t>Jul</t>
        </is>
      </c>
      <c r="G510" s="18">
        <f>IF(D510&lt;C510,D510+1-C510,D510-C510)*24</f>
        <v/>
      </c>
      <c r="H510" s="18">
        <f>MAX(0,G510-8)</f>
        <v/>
      </c>
    </row>
    <row r="511">
      <c r="A511" t="n">
        <v>1112</v>
      </c>
      <c r="B511" s="14" t="n">
        <v>46218</v>
      </c>
      <c r="C511" s="17" t="n">
        <v>0.9166666666666666</v>
      </c>
      <c r="D511" s="17" t="n">
        <v>0.3333333333333333</v>
      </c>
      <c r="E511" t="inlineStr">
        <is>
          <t>Night</t>
        </is>
      </c>
      <c r="F511" t="inlineStr">
        <is>
          <t>Jul</t>
        </is>
      </c>
      <c r="G511" s="18">
        <f>IF(D511&lt;C511,D511+1-C511,D511-C511)*24</f>
        <v/>
      </c>
      <c r="H511" s="18">
        <f>MAX(0,G511-8)</f>
        <v/>
      </c>
    </row>
    <row r="512">
      <c r="A512" t="n">
        <v>1113</v>
      </c>
      <c r="B512" s="14" t="n">
        <v>46218</v>
      </c>
      <c r="C512" s="17" t="n">
        <v>0.9270833333333334</v>
      </c>
      <c r="D512" s="17" t="n">
        <v>0.2604166666666667</v>
      </c>
      <c r="E512" t="inlineStr">
        <is>
          <t>Night</t>
        </is>
      </c>
      <c r="F512" t="inlineStr">
        <is>
          <t>Jul</t>
        </is>
      </c>
      <c r="G512" s="18">
        <f>IF(D512&lt;C512,D512+1-C512,D512-C512)*24</f>
        <v/>
      </c>
      <c r="H512" s="18">
        <f>MAX(0,G512-8)</f>
        <v/>
      </c>
    </row>
    <row r="513">
      <c r="A513" t="n">
        <v>1114</v>
      </c>
      <c r="B513" s="14" t="n">
        <v>46218</v>
      </c>
      <c r="C513" s="17" t="n">
        <v>0.9270833333333334</v>
      </c>
      <c r="D513" s="17" t="n">
        <v>0.28125</v>
      </c>
      <c r="E513" t="inlineStr">
        <is>
          <t>Night</t>
        </is>
      </c>
      <c r="F513" t="inlineStr">
        <is>
          <t>Jul</t>
        </is>
      </c>
      <c r="G513" s="18">
        <f>IF(D513&lt;C513,D513+1-C513,D513-C513)*24</f>
        <v/>
      </c>
      <c r="H513" s="18">
        <f>MAX(0,G513-8)</f>
        <v/>
      </c>
    </row>
    <row r="514">
      <c r="A514" t="n">
        <v>1116</v>
      </c>
      <c r="B514" s="14" t="n">
        <v>46218</v>
      </c>
      <c r="C514" s="17" t="n">
        <v>0.9166666666666666</v>
      </c>
      <c r="D514" s="17" t="n">
        <v>0.25</v>
      </c>
      <c r="E514" t="inlineStr">
        <is>
          <t>Night</t>
        </is>
      </c>
      <c r="F514" t="inlineStr">
        <is>
          <t>Jul</t>
        </is>
      </c>
      <c r="G514" s="18">
        <f>IF(D514&lt;C514,D514+1-C514,D514-C514)*24</f>
        <v/>
      </c>
      <c r="H514" s="18">
        <f>MAX(0,G514-8)</f>
        <v/>
      </c>
    </row>
    <row r="515">
      <c r="A515" t="n">
        <v>1117</v>
      </c>
      <c r="B515" s="14" t="n">
        <v>46218</v>
      </c>
      <c r="C515" s="17" t="n">
        <v>0.9270833333333334</v>
      </c>
      <c r="D515" s="17" t="n">
        <v>0.3229166666666667</v>
      </c>
      <c r="E515" t="inlineStr">
        <is>
          <t>Night</t>
        </is>
      </c>
      <c r="F515" t="inlineStr">
        <is>
          <t>Jul</t>
        </is>
      </c>
      <c r="G515" s="18">
        <f>IF(D515&lt;C515,D515+1-C515,D515-C515)*24</f>
        <v/>
      </c>
      <c r="H515" s="18">
        <f>MAX(0,G515-8)</f>
        <v/>
      </c>
    </row>
    <row r="516">
      <c r="A516" t="n">
        <v>1118</v>
      </c>
      <c r="B516" s="14" t="n">
        <v>46218</v>
      </c>
      <c r="C516" s="17" t="n">
        <v>0.9166666666666666</v>
      </c>
      <c r="D516" s="17" t="n">
        <v>0.3958333333333333</v>
      </c>
      <c r="E516" t="inlineStr">
        <is>
          <t>Night</t>
        </is>
      </c>
      <c r="F516" t="inlineStr">
        <is>
          <t>Jul</t>
        </is>
      </c>
      <c r="G516" s="18">
        <f>IF(D516&lt;C516,D516+1-C516,D516-C516)*24</f>
        <v/>
      </c>
      <c r="H516" s="18">
        <f>MAX(0,G516-8)</f>
        <v/>
      </c>
    </row>
    <row r="517">
      <c r="A517" t="n">
        <v>1119</v>
      </c>
      <c r="B517" s="14" t="n">
        <v>46218</v>
      </c>
      <c r="C517" s="17" t="n">
        <v>0.9166666666666666</v>
      </c>
      <c r="D517" s="17" t="n">
        <v>0.2916666666666667</v>
      </c>
      <c r="E517" t="inlineStr">
        <is>
          <t>Night</t>
        </is>
      </c>
      <c r="F517" t="inlineStr">
        <is>
          <t>Jul</t>
        </is>
      </c>
      <c r="G517" s="18">
        <f>IF(D517&lt;C517,D517+1-C517,D517-C517)*24</f>
        <v/>
      </c>
      <c r="H517" s="18">
        <f>MAX(0,G517-8)</f>
        <v/>
      </c>
    </row>
    <row r="518">
      <c r="A518" t="n">
        <v>1120</v>
      </c>
      <c r="B518" s="14" t="n">
        <v>46218</v>
      </c>
      <c r="C518" s="17" t="n">
        <v>0.9375</v>
      </c>
      <c r="D518" s="17" t="n">
        <v>0.2708333333333333</v>
      </c>
      <c r="E518" t="inlineStr">
        <is>
          <t>Night</t>
        </is>
      </c>
      <c r="F518" t="inlineStr">
        <is>
          <t>Jul</t>
        </is>
      </c>
      <c r="G518" s="18">
        <f>IF(D518&lt;C518,D518+1-C518,D518-C518)*24</f>
        <v/>
      </c>
      <c r="H518" s="18">
        <f>MAX(0,G518-8)</f>
        <v/>
      </c>
    </row>
    <row r="519">
      <c r="A519" t="n">
        <v>1121</v>
      </c>
      <c r="B519" s="14" t="n">
        <v>46218</v>
      </c>
      <c r="C519" s="17" t="n">
        <v>0.9375</v>
      </c>
      <c r="D519" s="17" t="n">
        <v>0.2916666666666667</v>
      </c>
      <c r="E519" t="inlineStr">
        <is>
          <t>Night</t>
        </is>
      </c>
      <c r="F519" t="inlineStr">
        <is>
          <t>Jul</t>
        </is>
      </c>
      <c r="G519" s="18">
        <f>IF(D519&lt;C519,D519+1-C519,D519-C519)*24</f>
        <v/>
      </c>
      <c r="H519" s="18">
        <f>MAX(0,G519-8)</f>
        <v/>
      </c>
    </row>
    <row r="520">
      <c r="A520" t="n">
        <v>1123</v>
      </c>
      <c r="B520" s="14" t="n">
        <v>46218</v>
      </c>
      <c r="C520" s="17" t="n">
        <v>0.9270833333333334</v>
      </c>
      <c r="D520" s="17" t="n">
        <v>0.3229166666666667</v>
      </c>
      <c r="E520" t="inlineStr">
        <is>
          <t>Night</t>
        </is>
      </c>
      <c r="F520" t="inlineStr">
        <is>
          <t>Jul</t>
        </is>
      </c>
      <c r="G520" s="18">
        <f>IF(D520&lt;C520,D520+1-C520,D520-C520)*24</f>
        <v/>
      </c>
      <c r="H520" s="18">
        <f>MAX(0,G520-8)</f>
        <v/>
      </c>
    </row>
    <row r="521">
      <c r="A521" t="n">
        <v>1124</v>
      </c>
      <c r="B521" s="14" t="n">
        <v>46218</v>
      </c>
      <c r="C521" s="17" t="n">
        <v>0.9166666666666666</v>
      </c>
      <c r="D521" s="17" t="n">
        <v>0.3125</v>
      </c>
      <c r="E521" t="inlineStr">
        <is>
          <t>Night</t>
        </is>
      </c>
      <c r="F521" t="inlineStr">
        <is>
          <t>Jul</t>
        </is>
      </c>
      <c r="G521" s="18">
        <f>IF(D521&lt;C521,D521+1-C521,D521-C521)*24</f>
        <v/>
      </c>
      <c r="H521" s="18">
        <f>MAX(0,G521-8)</f>
        <v/>
      </c>
    </row>
    <row r="522">
      <c r="A522" t="n">
        <v>1126</v>
      </c>
      <c r="B522" s="14" t="n">
        <v>46218</v>
      </c>
      <c r="C522" s="17" t="n">
        <v>0.9270833333333334</v>
      </c>
      <c r="D522" s="17" t="n">
        <v>0.3645833333333333</v>
      </c>
      <c r="E522" t="inlineStr">
        <is>
          <t>Night</t>
        </is>
      </c>
      <c r="F522" t="inlineStr">
        <is>
          <t>Jul</t>
        </is>
      </c>
      <c r="G522" s="18">
        <f>IF(D522&lt;C522,D522+1-C522,D522-C522)*24</f>
        <v/>
      </c>
      <c r="H522" s="18">
        <f>MAX(0,G522-8)</f>
        <v/>
      </c>
    </row>
    <row r="523">
      <c r="A523" t="n">
        <v>1129</v>
      </c>
      <c r="B523" s="14" t="n">
        <v>46218</v>
      </c>
      <c r="C523" s="17" t="n">
        <v>0.9166666666666666</v>
      </c>
      <c r="D523" s="17" t="n">
        <v>0.25</v>
      </c>
      <c r="E523" t="inlineStr">
        <is>
          <t>Night</t>
        </is>
      </c>
      <c r="F523" t="inlineStr">
        <is>
          <t>Jul</t>
        </is>
      </c>
      <c r="G523" s="18">
        <f>IF(D523&lt;C523,D523+1-C523,D523-C523)*24</f>
        <v/>
      </c>
      <c r="H523" s="18">
        <f>MAX(0,G523-8)</f>
        <v/>
      </c>
    </row>
    <row r="524">
      <c r="A524" t="n">
        <v>1130</v>
      </c>
      <c r="B524" s="14" t="n">
        <v>46218</v>
      </c>
      <c r="C524" s="17" t="n">
        <v>0.9166666666666666</v>
      </c>
      <c r="D524" s="17" t="n">
        <v>0.25</v>
      </c>
      <c r="E524" t="inlineStr">
        <is>
          <t>Night</t>
        </is>
      </c>
      <c r="F524" t="inlineStr">
        <is>
          <t>Jul</t>
        </is>
      </c>
      <c r="G524" s="18">
        <f>IF(D524&lt;C524,D524+1-C524,D524-C524)*24</f>
        <v/>
      </c>
      <c r="H524" s="18">
        <f>MAX(0,G524-8)</f>
        <v/>
      </c>
    </row>
    <row r="525">
      <c r="A525" t="n">
        <v>1131</v>
      </c>
      <c r="B525" s="14" t="n">
        <v>46218</v>
      </c>
      <c r="C525" s="17" t="n">
        <v>0.9166666666666666</v>
      </c>
      <c r="D525" s="17" t="n">
        <v>0.3958333333333333</v>
      </c>
      <c r="E525" t="inlineStr">
        <is>
          <t>Night</t>
        </is>
      </c>
      <c r="F525" t="inlineStr">
        <is>
          <t>Jul</t>
        </is>
      </c>
      <c r="G525" s="18">
        <f>IF(D525&lt;C525,D525+1-C525,D525-C525)*24</f>
        <v/>
      </c>
      <c r="H525" s="18">
        <f>MAX(0,G525-8)</f>
        <v/>
      </c>
    </row>
    <row r="526">
      <c r="A526" t="n">
        <v>1132</v>
      </c>
      <c r="B526" s="14" t="n">
        <v>46218</v>
      </c>
      <c r="C526" s="17" t="n">
        <v>0.9166666666666666</v>
      </c>
      <c r="D526" s="17" t="n">
        <v>0.3958333333333333</v>
      </c>
      <c r="E526" t="inlineStr">
        <is>
          <t>Night</t>
        </is>
      </c>
      <c r="F526" t="inlineStr">
        <is>
          <t>Jul</t>
        </is>
      </c>
      <c r="G526" s="18">
        <f>IF(D526&lt;C526,D526+1-C526,D526-C526)*24</f>
        <v/>
      </c>
      <c r="H526" s="18">
        <f>MAX(0,G526-8)</f>
        <v/>
      </c>
    </row>
    <row r="527">
      <c r="A527" t="n">
        <v>1133</v>
      </c>
      <c r="B527" s="14" t="n">
        <v>46218</v>
      </c>
      <c r="C527" s="17" t="n">
        <v>0.9166666666666666</v>
      </c>
      <c r="D527" s="17" t="n">
        <v>0.2708333333333333</v>
      </c>
      <c r="E527" t="inlineStr">
        <is>
          <t>Night</t>
        </is>
      </c>
      <c r="F527" t="inlineStr">
        <is>
          <t>Jul</t>
        </is>
      </c>
      <c r="G527" s="18">
        <f>IF(D527&lt;C527,D527+1-C527,D527-C527)*24</f>
        <v/>
      </c>
      <c r="H527" s="18">
        <f>MAX(0,G527-8)</f>
        <v/>
      </c>
    </row>
    <row r="528">
      <c r="A528" t="n">
        <v>1134</v>
      </c>
      <c r="B528" s="14" t="n">
        <v>46218</v>
      </c>
      <c r="C528" s="17" t="n">
        <v>0.9270833333333334</v>
      </c>
      <c r="D528" s="17" t="n">
        <v>0.3229166666666667</v>
      </c>
      <c r="E528" t="inlineStr">
        <is>
          <t>Night</t>
        </is>
      </c>
      <c r="F528" t="inlineStr">
        <is>
          <t>Jul</t>
        </is>
      </c>
      <c r="G528" s="18">
        <f>IF(D528&lt;C528,D528+1-C528,D528-C528)*24</f>
        <v/>
      </c>
      <c r="H528" s="18">
        <f>MAX(0,G528-8)</f>
        <v/>
      </c>
    </row>
    <row r="529">
      <c r="A529" t="n">
        <v>1135</v>
      </c>
      <c r="B529" s="14" t="n">
        <v>46218</v>
      </c>
      <c r="C529" s="17" t="n">
        <v>0.9166666666666666</v>
      </c>
      <c r="D529" s="17" t="n">
        <v>0.3958333333333333</v>
      </c>
      <c r="E529" t="inlineStr">
        <is>
          <t>Night</t>
        </is>
      </c>
      <c r="F529" t="inlineStr">
        <is>
          <t>Jul</t>
        </is>
      </c>
      <c r="G529" s="18">
        <f>IF(D529&lt;C529,D529+1-C529,D529-C529)*24</f>
        <v/>
      </c>
      <c r="H529" s="18">
        <f>MAX(0,G529-8)</f>
        <v/>
      </c>
    </row>
    <row r="530">
      <c r="A530" t="n">
        <v>1136</v>
      </c>
      <c r="B530" s="14" t="n">
        <v>46218</v>
      </c>
      <c r="C530" s="17" t="n">
        <v>0.9166666666666666</v>
      </c>
      <c r="D530" s="17" t="n">
        <v>0.375</v>
      </c>
      <c r="E530" t="inlineStr">
        <is>
          <t>Night</t>
        </is>
      </c>
      <c r="F530" t="inlineStr">
        <is>
          <t>Jul</t>
        </is>
      </c>
      <c r="G530" s="18">
        <f>IF(D530&lt;C530,D530+1-C530,D530-C530)*24</f>
        <v/>
      </c>
      <c r="H530" s="18">
        <f>MAX(0,G530-8)</f>
        <v/>
      </c>
    </row>
    <row r="531">
      <c r="A531" t="n">
        <v>1137</v>
      </c>
      <c r="B531" s="14" t="n">
        <v>46218</v>
      </c>
      <c r="C531" s="17" t="n">
        <v>0.9166666666666666</v>
      </c>
      <c r="D531" s="17" t="n">
        <v>0.3958333333333333</v>
      </c>
      <c r="E531" t="inlineStr">
        <is>
          <t>Night</t>
        </is>
      </c>
      <c r="F531" t="inlineStr">
        <is>
          <t>Jul</t>
        </is>
      </c>
      <c r="G531" s="18">
        <f>IF(D531&lt;C531,D531+1-C531,D531-C531)*24</f>
        <v/>
      </c>
      <c r="H531" s="18">
        <f>MAX(0,G531-8)</f>
        <v/>
      </c>
    </row>
    <row r="532">
      <c r="A532" t="n">
        <v>1147</v>
      </c>
      <c r="B532" s="14" t="n">
        <v>46218</v>
      </c>
      <c r="C532" s="17" t="n">
        <v>0.9166666666666666</v>
      </c>
      <c r="D532" s="17" t="n">
        <v>0.2708333333333333</v>
      </c>
      <c r="E532" t="inlineStr">
        <is>
          <t>Night</t>
        </is>
      </c>
      <c r="F532" t="inlineStr">
        <is>
          <t>Jul</t>
        </is>
      </c>
      <c r="G532" s="18">
        <f>IF(D532&lt;C532,D532+1-C532,D532-C532)*24</f>
        <v/>
      </c>
      <c r="H532" s="18">
        <f>MAX(0,G532-8)</f>
        <v/>
      </c>
    </row>
    <row r="533">
      <c r="A533" t="n">
        <v>1104</v>
      </c>
      <c r="B533" s="14" t="n">
        <v>46218</v>
      </c>
      <c r="C533" s="17" t="n">
        <v>0.02083333333333333</v>
      </c>
      <c r="D533" s="17" t="n">
        <v>0.375</v>
      </c>
      <c r="E533" t="inlineStr">
        <is>
          <t>Night</t>
        </is>
      </c>
      <c r="F533" t="inlineStr">
        <is>
          <t>Jul</t>
        </is>
      </c>
      <c r="G533" s="18">
        <f>IF(D533&lt;C533,D533+1-C533,D533-C533)*24</f>
        <v/>
      </c>
      <c r="H533" s="18">
        <f>MAX(0,G533-8)</f>
        <v/>
      </c>
    </row>
    <row r="534">
      <c r="A534" t="n">
        <v>1122</v>
      </c>
      <c r="B534" s="14" t="n">
        <v>46218</v>
      </c>
      <c r="C534" s="17" t="n">
        <v>0.02083333333333333</v>
      </c>
      <c r="D534" s="17" t="n">
        <v>0.4583333333333333</v>
      </c>
      <c r="E534" t="inlineStr">
        <is>
          <t>Night</t>
        </is>
      </c>
      <c r="F534" t="inlineStr">
        <is>
          <t>Jul</t>
        </is>
      </c>
      <c r="G534" s="18">
        <f>IF(D534&lt;C534,D534+1-C534,D534-C534)*24</f>
        <v/>
      </c>
      <c r="H534" s="18">
        <f>MAX(0,G534-8)</f>
        <v/>
      </c>
    </row>
    <row r="535">
      <c r="A535" t="n">
        <v>1125</v>
      </c>
      <c r="B535" s="14" t="n">
        <v>46218</v>
      </c>
      <c r="C535" s="17" t="n">
        <v>0.02083333333333333</v>
      </c>
      <c r="D535" s="17" t="n">
        <v>0.3958333333333333</v>
      </c>
      <c r="E535" t="inlineStr">
        <is>
          <t>Night</t>
        </is>
      </c>
      <c r="F535" t="inlineStr">
        <is>
          <t>Jul</t>
        </is>
      </c>
      <c r="G535" s="18">
        <f>IF(D535&lt;C535,D535+1-C535,D535-C535)*24</f>
        <v/>
      </c>
      <c r="H535" s="18">
        <f>MAX(0,G535-8)</f>
        <v/>
      </c>
    </row>
    <row r="536">
      <c r="A536" t="n">
        <v>1128</v>
      </c>
      <c r="B536" s="14" t="n">
        <v>46218</v>
      </c>
      <c r="C536" s="17" t="n">
        <v>0.02083333333333333</v>
      </c>
      <c r="D536" s="17" t="n">
        <v>0.4375</v>
      </c>
      <c r="E536" t="inlineStr">
        <is>
          <t>Night</t>
        </is>
      </c>
      <c r="F536" t="inlineStr">
        <is>
          <t>Jul</t>
        </is>
      </c>
      <c r="G536" s="18">
        <f>IF(D536&lt;C536,D536+1-C536,D536-C536)*24</f>
        <v/>
      </c>
      <c r="H536" s="18">
        <f>MAX(0,G536-8)</f>
        <v/>
      </c>
    </row>
    <row r="537">
      <c r="A537" t="n">
        <v>1201</v>
      </c>
      <c r="B537" s="14" t="n">
        <v>46218</v>
      </c>
      <c r="C537" s="17" t="n">
        <v>0.25</v>
      </c>
      <c r="D537" s="17" t="n">
        <v>0.6041666666666666</v>
      </c>
      <c r="E537" t="inlineStr">
        <is>
          <t>Day</t>
        </is>
      </c>
      <c r="F537" t="inlineStr">
        <is>
          <t>Jul</t>
        </is>
      </c>
      <c r="G537" s="18">
        <f>IF(D537&lt;C537,D537+1-C537,D537-C537)*24</f>
        <v/>
      </c>
      <c r="H537" s="18">
        <f>MAX(0,G537-8)</f>
        <v/>
      </c>
    </row>
    <row r="538">
      <c r="A538" t="n">
        <v>1202</v>
      </c>
      <c r="B538" s="14" t="n">
        <v>46218</v>
      </c>
      <c r="C538" s="17" t="n">
        <v>0.2708333333333333</v>
      </c>
      <c r="D538" s="17" t="n">
        <v>0.625</v>
      </c>
      <c r="E538" t="inlineStr">
        <is>
          <t>Day</t>
        </is>
      </c>
      <c r="F538" t="inlineStr">
        <is>
          <t>Jul</t>
        </is>
      </c>
      <c r="G538" s="18">
        <f>IF(D538&lt;C538,D538+1-C538,D538-C538)*24</f>
        <v/>
      </c>
      <c r="H538" s="18">
        <f>MAX(0,G538-8)</f>
        <v/>
      </c>
    </row>
    <row r="539">
      <c r="A539" t="n">
        <v>1203</v>
      </c>
      <c r="B539" s="14" t="n">
        <v>46218</v>
      </c>
      <c r="C539" s="17" t="n">
        <v>0.25</v>
      </c>
      <c r="D539" s="17" t="n">
        <v>0.625</v>
      </c>
      <c r="E539" t="inlineStr">
        <is>
          <t>Day</t>
        </is>
      </c>
      <c r="F539" t="inlineStr">
        <is>
          <t>Jul</t>
        </is>
      </c>
      <c r="G539" s="18">
        <f>IF(D539&lt;C539,D539+1-C539,D539-C539)*24</f>
        <v/>
      </c>
      <c r="H539" s="18">
        <f>MAX(0,G539-8)</f>
        <v/>
      </c>
    </row>
    <row r="540">
      <c r="A540" t="n">
        <v>1204</v>
      </c>
      <c r="B540" s="14" t="n">
        <v>46218</v>
      </c>
      <c r="C540" s="17" t="n">
        <v>0.2708333333333333</v>
      </c>
      <c r="D540" s="17" t="n">
        <v>0.625</v>
      </c>
      <c r="E540" t="inlineStr">
        <is>
          <t>Day</t>
        </is>
      </c>
      <c r="F540" t="inlineStr">
        <is>
          <t>Jul</t>
        </is>
      </c>
      <c r="G540" s="18">
        <f>IF(D540&lt;C540,D540+1-C540,D540-C540)*24</f>
        <v/>
      </c>
      <c r="H540" s="18">
        <f>MAX(0,G540-8)</f>
        <v/>
      </c>
    </row>
    <row r="541">
      <c r="A541" t="n">
        <v>1205</v>
      </c>
      <c r="B541" s="14" t="n">
        <v>46218</v>
      </c>
      <c r="C541" s="17" t="n">
        <v>0.2708333333333333</v>
      </c>
      <c r="D541" s="17" t="n">
        <v>0.6041666666666666</v>
      </c>
      <c r="E541" t="inlineStr">
        <is>
          <t>Day</t>
        </is>
      </c>
      <c r="F541" t="inlineStr">
        <is>
          <t>Jul</t>
        </is>
      </c>
      <c r="G541" s="18">
        <f>IF(D541&lt;C541,D541+1-C541,D541-C541)*24</f>
        <v/>
      </c>
      <c r="H541" s="18">
        <f>MAX(0,G541-8)</f>
        <v/>
      </c>
    </row>
    <row r="542">
      <c r="A542" t="n">
        <v>1206</v>
      </c>
      <c r="B542" s="14" t="n">
        <v>46218</v>
      </c>
      <c r="C542" s="17" t="n">
        <v>0.25</v>
      </c>
      <c r="D542" s="17" t="n">
        <v>0.5833333333333334</v>
      </c>
      <c r="E542" t="inlineStr">
        <is>
          <t>Day</t>
        </is>
      </c>
      <c r="F542" t="inlineStr">
        <is>
          <t>Jul</t>
        </is>
      </c>
      <c r="G542" s="18">
        <f>IF(D542&lt;C542,D542+1-C542,D542-C542)*24</f>
        <v/>
      </c>
      <c r="H542" s="18">
        <f>MAX(0,G542-8)</f>
        <v/>
      </c>
    </row>
    <row r="543">
      <c r="A543" t="n">
        <v>1207</v>
      </c>
      <c r="B543" s="14" t="n">
        <v>46218</v>
      </c>
      <c r="C543" s="17" t="n">
        <v>0.2708333333333333</v>
      </c>
      <c r="D543" s="17" t="n">
        <v>0.6041666666666666</v>
      </c>
      <c r="E543" t="inlineStr">
        <is>
          <t>Day</t>
        </is>
      </c>
      <c r="F543" t="inlineStr">
        <is>
          <t>Jul</t>
        </is>
      </c>
      <c r="G543" s="18">
        <f>IF(D543&lt;C543,D543+1-C543,D543-C543)*24</f>
        <v/>
      </c>
      <c r="H543" s="18">
        <f>MAX(0,G543-8)</f>
        <v/>
      </c>
    </row>
    <row r="544">
      <c r="A544" t="n">
        <v>1208</v>
      </c>
      <c r="B544" s="14" t="n">
        <v>46218</v>
      </c>
      <c r="C544" s="17" t="n">
        <v>0.25</v>
      </c>
      <c r="D544" s="17" t="n">
        <v>0.625</v>
      </c>
      <c r="E544" t="inlineStr">
        <is>
          <t>Day</t>
        </is>
      </c>
      <c r="F544" t="inlineStr">
        <is>
          <t>Jul</t>
        </is>
      </c>
      <c r="G544" s="18">
        <f>IF(D544&lt;C544,D544+1-C544,D544-C544)*24</f>
        <v/>
      </c>
      <c r="H544" s="18">
        <f>MAX(0,G544-8)</f>
        <v/>
      </c>
    </row>
    <row r="545">
      <c r="A545" t="n">
        <v>1209</v>
      </c>
      <c r="B545" s="14" t="n">
        <v>46218</v>
      </c>
      <c r="C545" s="17" t="n">
        <v>0.25</v>
      </c>
      <c r="D545" s="17" t="n">
        <v>0.6041666666666666</v>
      </c>
      <c r="E545" t="inlineStr">
        <is>
          <t>Day</t>
        </is>
      </c>
      <c r="F545" t="inlineStr">
        <is>
          <t>Jul</t>
        </is>
      </c>
      <c r="G545" s="18">
        <f>IF(D545&lt;C545,D545+1-C545,D545-C545)*24</f>
        <v/>
      </c>
      <c r="H545" s="18">
        <f>MAX(0,G545-8)</f>
        <v/>
      </c>
    </row>
    <row r="546">
      <c r="A546" t="n">
        <v>1210</v>
      </c>
      <c r="B546" s="14" t="n">
        <v>46218</v>
      </c>
      <c r="C546" s="17" t="n">
        <v>0.25</v>
      </c>
      <c r="D546" s="17" t="n">
        <v>0.6041666666666666</v>
      </c>
      <c r="E546" t="inlineStr">
        <is>
          <t>Day</t>
        </is>
      </c>
      <c r="F546" t="inlineStr">
        <is>
          <t>Jul</t>
        </is>
      </c>
      <c r="G546" s="18">
        <f>IF(D546&lt;C546,D546+1-C546,D546-C546)*24</f>
        <v/>
      </c>
      <c r="H546" s="18">
        <f>MAX(0,G546-8)</f>
        <v/>
      </c>
    </row>
    <row r="547">
      <c r="A547" t="n">
        <v>1211</v>
      </c>
      <c r="B547" s="14" t="n">
        <v>46218</v>
      </c>
      <c r="C547" s="17" t="n">
        <v>0.25</v>
      </c>
      <c r="D547" s="17" t="n">
        <v>0.5833333333333334</v>
      </c>
      <c r="E547" t="inlineStr">
        <is>
          <t>Day</t>
        </is>
      </c>
      <c r="F547" t="inlineStr">
        <is>
          <t>Jul</t>
        </is>
      </c>
      <c r="G547" s="18">
        <f>IF(D547&lt;C547,D547+1-C547,D547-C547)*24</f>
        <v/>
      </c>
      <c r="H547" s="18">
        <f>MAX(0,G547-8)</f>
        <v/>
      </c>
    </row>
    <row r="548">
      <c r="A548" t="n">
        <v>1212</v>
      </c>
      <c r="B548" s="14" t="n">
        <v>46218</v>
      </c>
      <c r="C548" s="17" t="n">
        <v>0.25</v>
      </c>
      <c r="D548" s="17" t="n">
        <v>0.5833333333333334</v>
      </c>
      <c r="E548" t="inlineStr">
        <is>
          <t>Day</t>
        </is>
      </c>
      <c r="F548" t="inlineStr">
        <is>
          <t>Jul</t>
        </is>
      </c>
      <c r="G548" s="18">
        <f>IF(D548&lt;C548,D548+1-C548,D548-C548)*24</f>
        <v/>
      </c>
      <c r="H548" s="18">
        <f>MAX(0,G548-8)</f>
        <v/>
      </c>
    </row>
    <row r="549">
      <c r="A549" t="n">
        <v>1213</v>
      </c>
      <c r="B549" s="14" t="n">
        <v>46218</v>
      </c>
      <c r="C549" s="17" t="n">
        <v>0.25</v>
      </c>
      <c r="D549" s="17" t="n">
        <v>0.5833333333333334</v>
      </c>
      <c r="E549" t="inlineStr">
        <is>
          <t>Day</t>
        </is>
      </c>
      <c r="F549" t="inlineStr">
        <is>
          <t>Jul</t>
        </is>
      </c>
      <c r="G549" s="18">
        <f>IF(D549&lt;C549,D549+1-C549,D549-C549)*24</f>
        <v/>
      </c>
      <c r="H549" s="18">
        <f>MAX(0,G549-8)</f>
        <v/>
      </c>
    </row>
    <row r="550">
      <c r="A550" t="n">
        <v>1214</v>
      </c>
      <c r="B550" s="14" t="n">
        <v>46218</v>
      </c>
      <c r="C550" s="17" t="n">
        <v>0.2708333333333333</v>
      </c>
      <c r="D550" s="17" t="n">
        <v>0.6041666666666666</v>
      </c>
      <c r="E550" t="inlineStr">
        <is>
          <t>Day</t>
        </is>
      </c>
      <c r="F550" t="inlineStr">
        <is>
          <t>Jul</t>
        </is>
      </c>
      <c r="G550" s="18">
        <f>IF(D550&lt;C550,D550+1-C550,D550-C550)*24</f>
        <v/>
      </c>
      <c r="H550" s="18">
        <f>MAX(0,G550-8)</f>
        <v/>
      </c>
    </row>
    <row r="551">
      <c r="A551" t="n">
        <v>1215</v>
      </c>
      <c r="B551" s="14" t="n">
        <v>46218</v>
      </c>
      <c r="C551" s="17" t="n">
        <v>0.25</v>
      </c>
      <c r="D551" s="17" t="n">
        <v>0.5833333333333334</v>
      </c>
      <c r="E551" t="inlineStr">
        <is>
          <t>Day</t>
        </is>
      </c>
      <c r="F551" t="inlineStr">
        <is>
          <t>Jul</t>
        </is>
      </c>
      <c r="G551" s="18">
        <f>IF(D551&lt;C551,D551+1-C551,D551-C551)*24</f>
        <v/>
      </c>
      <c r="H551" s="18">
        <f>MAX(0,G551-8)</f>
        <v/>
      </c>
    </row>
    <row r="552">
      <c r="A552" t="n">
        <v>1216</v>
      </c>
      <c r="B552" s="14" t="n">
        <v>46218</v>
      </c>
      <c r="C552" s="17" t="n">
        <v>0.25</v>
      </c>
      <c r="D552" s="17" t="n">
        <v>0.6041666666666666</v>
      </c>
      <c r="E552" t="inlineStr">
        <is>
          <t>Day</t>
        </is>
      </c>
      <c r="F552" t="inlineStr">
        <is>
          <t>Jul</t>
        </is>
      </c>
      <c r="G552" s="18">
        <f>IF(D552&lt;C552,D552+1-C552,D552-C552)*24</f>
        <v/>
      </c>
      <c r="H552" s="18">
        <f>MAX(0,G552-8)</f>
        <v/>
      </c>
    </row>
    <row r="553">
      <c r="A553" t="n">
        <v>1217</v>
      </c>
      <c r="B553" s="14" t="n">
        <v>46218</v>
      </c>
      <c r="C553" s="17" t="n">
        <v>0.25</v>
      </c>
      <c r="D553" s="17" t="n">
        <v>0.6666666666666666</v>
      </c>
      <c r="E553" t="inlineStr">
        <is>
          <t>Day</t>
        </is>
      </c>
      <c r="F553" t="inlineStr">
        <is>
          <t>Jul</t>
        </is>
      </c>
      <c r="G553" s="18">
        <f>IF(D553&lt;C553,D553+1-C553,D553-C553)*24</f>
        <v/>
      </c>
      <c r="H553" s="18">
        <f>MAX(0,G553-8)</f>
        <v/>
      </c>
    </row>
    <row r="554">
      <c r="A554" t="n">
        <v>1218</v>
      </c>
      <c r="B554" s="14" t="n">
        <v>46218</v>
      </c>
      <c r="C554" s="17" t="n">
        <v>0.25</v>
      </c>
      <c r="D554" s="17" t="n">
        <v>0.6041666666666666</v>
      </c>
      <c r="E554" t="inlineStr">
        <is>
          <t>Day</t>
        </is>
      </c>
      <c r="F554" t="inlineStr">
        <is>
          <t>Jul</t>
        </is>
      </c>
      <c r="G554" s="18">
        <f>IF(D554&lt;C554,D554+1-C554,D554-C554)*24</f>
        <v/>
      </c>
      <c r="H554" s="18">
        <f>MAX(0,G554-8)</f>
        <v/>
      </c>
    </row>
    <row r="555">
      <c r="A555" t="n">
        <v>1219</v>
      </c>
      <c r="B555" s="14" t="n">
        <v>46218</v>
      </c>
      <c r="C555" s="17" t="n">
        <v>0.2708333333333333</v>
      </c>
      <c r="D555" s="17" t="n">
        <v>0.6041666666666666</v>
      </c>
      <c r="E555" t="inlineStr">
        <is>
          <t>Day</t>
        </is>
      </c>
      <c r="F555" t="inlineStr">
        <is>
          <t>Jul</t>
        </is>
      </c>
      <c r="G555" s="18">
        <f>IF(D555&lt;C555,D555+1-C555,D555-C555)*24</f>
        <v/>
      </c>
      <c r="H555" s="18">
        <f>MAX(0,G555-8)</f>
        <v/>
      </c>
    </row>
    <row r="556">
      <c r="A556" t="n">
        <v>1220</v>
      </c>
      <c r="B556" s="14" t="n">
        <v>46218</v>
      </c>
      <c r="C556" s="17" t="n">
        <v>0.25</v>
      </c>
      <c r="D556" s="17" t="n">
        <v>0.5833333333333334</v>
      </c>
      <c r="E556" t="inlineStr">
        <is>
          <t>Day</t>
        </is>
      </c>
      <c r="F556" t="inlineStr">
        <is>
          <t>Jul</t>
        </is>
      </c>
      <c r="G556" s="18">
        <f>IF(D556&lt;C556,D556+1-C556,D556-C556)*24</f>
        <v/>
      </c>
      <c r="H556" s="18">
        <f>MAX(0,G556-8)</f>
        <v/>
      </c>
    </row>
    <row r="557">
      <c r="A557" t="n">
        <v>1101</v>
      </c>
      <c r="B557" s="14" t="n">
        <v>46219</v>
      </c>
      <c r="C557" s="17" t="n">
        <v>0.9375</v>
      </c>
      <c r="D557" s="17" t="n">
        <v>0.3958333333333333</v>
      </c>
      <c r="E557" t="inlineStr">
        <is>
          <t>Night</t>
        </is>
      </c>
      <c r="F557" t="inlineStr">
        <is>
          <t>Jul</t>
        </is>
      </c>
      <c r="G557" s="18">
        <f>IF(D557&lt;C557,D557+1-C557,D557-C557)*24</f>
        <v/>
      </c>
      <c r="H557" s="18">
        <f>MAX(0,G557-8)</f>
        <v/>
      </c>
    </row>
    <row r="558">
      <c r="A558" t="n">
        <v>1102</v>
      </c>
      <c r="B558" s="14" t="n">
        <v>46219</v>
      </c>
      <c r="C558" s="17" t="n">
        <v>0.9166666666666666</v>
      </c>
      <c r="D558" s="17" t="n">
        <v>0.375</v>
      </c>
      <c r="E558" t="inlineStr">
        <is>
          <t>Night</t>
        </is>
      </c>
      <c r="F558" t="inlineStr">
        <is>
          <t>Jul</t>
        </is>
      </c>
      <c r="G558" s="18">
        <f>IF(D558&lt;C558,D558+1-C558,D558-C558)*24</f>
        <v/>
      </c>
      <c r="H558" s="18">
        <f>MAX(0,G558-8)</f>
        <v/>
      </c>
    </row>
    <row r="559">
      <c r="A559" t="n">
        <v>1103</v>
      </c>
      <c r="B559" s="14" t="n">
        <v>46219</v>
      </c>
      <c r="C559" s="17" t="n">
        <v>0.9166666666666666</v>
      </c>
      <c r="D559" s="17" t="n">
        <v>0.25</v>
      </c>
      <c r="E559" t="inlineStr">
        <is>
          <t>Night</t>
        </is>
      </c>
      <c r="F559" t="inlineStr">
        <is>
          <t>Jul</t>
        </is>
      </c>
      <c r="G559" s="18">
        <f>IF(D559&lt;C559,D559+1-C559,D559-C559)*24</f>
        <v/>
      </c>
      <c r="H559" s="18">
        <f>MAX(0,G559-8)</f>
        <v/>
      </c>
    </row>
    <row r="560">
      <c r="A560" t="n">
        <v>1109</v>
      </c>
      <c r="B560" s="14" t="n">
        <v>46219</v>
      </c>
      <c r="C560" s="17" t="n">
        <v>0.9270833333333334</v>
      </c>
      <c r="D560" s="17" t="n">
        <v>0.3854166666666667</v>
      </c>
      <c r="E560" t="inlineStr">
        <is>
          <t>Night</t>
        </is>
      </c>
      <c r="F560" t="inlineStr">
        <is>
          <t>Jul</t>
        </is>
      </c>
      <c r="G560" s="18">
        <f>IF(D560&lt;C560,D560+1-C560,D560-C560)*24</f>
        <v/>
      </c>
      <c r="H560" s="18">
        <f>MAX(0,G560-8)</f>
        <v/>
      </c>
    </row>
    <row r="561">
      <c r="A561" t="n">
        <v>1110</v>
      </c>
      <c r="B561" s="14" t="n">
        <v>46219</v>
      </c>
      <c r="C561" s="17" t="n">
        <v>0.9270833333333334</v>
      </c>
      <c r="D561" s="17" t="n">
        <v>0.34375</v>
      </c>
      <c r="E561" t="inlineStr">
        <is>
          <t>Night</t>
        </is>
      </c>
      <c r="F561" t="inlineStr">
        <is>
          <t>Jul</t>
        </is>
      </c>
      <c r="G561" s="18">
        <f>IF(D561&lt;C561,D561+1-C561,D561-C561)*24</f>
        <v/>
      </c>
      <c r="H561" s="18">
        <f>MAX(0,G561-8)</f>
        <v/>
      </c>
    </row>
    <row r="562">
      <c r="A562" t="n">
        <v>1111</v>
      </c>
      <c r="B562" s="14" t="n">
        <v>46219</v>
      </c>
      <c r="C562" s="17" t="n">
        <v>0.9166666666666666</v>
      </c>
      <c r="D562" s="17" t="n">
        <v>0.3958333333333333</v>
      </c>
      <c r="E562" t="inlineStr">
        <is>
          <t>Night</t>
        </is>
      </c>
      <c r="F562" t="inlineStr">
        <is>
          <t>Jul</t>
        </is>
      </c>
      <c r="G562" s="18">
        <f>IF(D562&lt;C562,D562+1-C562,D562-C562)*24</f>
        <v/>
      </c>
      <c r="H562" s="18">
        <f>MAX(0,G562-8)</f>
        <v/>
      </c>
    </row>
    <row r="563">
      <c r="A563" t="n">
        <v>1112</v>
      </c>
      <c r="B563" s="14" t="n">
        <v>46219</v>
      </c>
      <c r="C563" s="17" t="n">
        <v>0.9166666666666666</v>
      </c>
      <c r="D563" s="17" t="n">
        <v>0.3125</v>
      </c>
      <c r="E563" t="inlineStr">
        <is>
          <t>Night</t>
        </is>
      </c>
      <c r="F563" t="inlineStr">
        <is>
          <t>Jul</t>
        </is>
      </c>
      <c r="G563" s="18">
        <f>IF(D563&lt;C563,D563+1-C563,D563-C563)*24</f>
        <v/>
      </c>
      <c r="H563" s="18">
        <f>MAX(0,G563-8)</f>
        <v/>
      </c>
    </row>
    <row r="564">
      <c r="A564" t="n">
        <v>1114</v>
      </c>
      <c r="B564" s="14" t="n">
        <v>46219</v>
      </c>
      <c r="C564" s="17" t="n">
        <v>0.9166666666666666</v>
      </c>
      <c r="D564" s="17" t="n">
        <v>0.375</v>
      </c>
      <c r="E564" t="inlineStr">
        <is>
          <t>Night</t>
        </is>
      </c>
      <c r="F564" t="inlineStr">
        <is>
          <t>Jul</t>
        </is>
      </c>
      <c r="G564" s="18">
        <f>IF(D564&lt;C564,D564+1-C564,D564-C564)*24</f>
        <v/>
      </c>
      <c r="H564" s="18">
        <f>MAX(0,G564-8)</f>
        <v/>
      </c>
    </row>
    <row r="565">
      <c r="A565" t="n">
        <v>1115</v>
      </c>
      <c r="B565" s="14" t="n">
        <v>46219</v>
      </c>
      <c r="C565" s="17" t="n">
        <v>0.9166666666666666</v>
      </c>
      <c r="D565" s="17" t="n">
        <v>0.25</v>
      </c>
      <c r="E565" t="inlineStr">
        <is>
          <t>Night</t>
        </is>
      </c>
      <c r="F565" t="inlineStr">
        <is>
          <t>Jul</t>
        </is>
      </c>
      <c r="G565" s="18">
        <f>IF(D565&lt;C565,D565+1-C565,D565-C565)*24</f>
        <v/>
      </c>
      <c r="H565" s="18">
        <f>MAX(0,G565-8)</f>
        <v/>
      </c>
    </row>
    <row r="566">
      <c r="A566" t="n">
        <v>1116</v>
      </c>
      <c r="B566" s="14" t="n">
        <v>46219</v>
      </c>
      <c r="C566" s="17" t="n">
        <v>0.9166666666666666</v>
      </c>
      <c r="D566" s="17" t="n">
        <v>0.3333333333333333</v>
      </c>
      <c r="E566" t="inlineStr">
        <is>
          <t>Night</t>
        </is>
      </c>
      <c r="F566" t="inlineStr">
        <is>
          <t>Jul</t>
        </is>
      </c>
      <c r="G566" s="18">
        <f>IF(D566&lt;C566,D566+1-C566,D566-C566)*24</f>
        <v/>
      </c>
      <c r="H566" s="18">
        <f>MAX(0,G566-8)</f>
        <v/>
      </c>
    </row>
    <row r="567">
      <c r="A567" t="n">
        <v>1117</v>
      </c>
      <c r="B567" s="14" t="n">
        <v>46219</v>
      </c>
      <c r="C567" s="17" t="n">
        <v>0.9166666666666666</v>
      </c>
      <c r="D567" s="17" t="n">
        <v>0.2708333333333333</v>
      </c>
      <c r="E567" t="inlineStr">
        <is>
          <t>Night</t>
        </is>
      </c>
      <c r="F567" t="inlineStr">
        <is>
          <t>Jul</t>
        </is>
      </c>
      <c r="G567" s="18">
        <f>IF(D567&lt;C567,D567+1-C567,D567-C567)*24</f>
        <v/>
      </c>
      <c r="H567" s="18">
        <f>MAX(0,G567-8)</f>
        <v/>
      </c>
    </row>
    <row r="568">
      <c r="A568" t="n">
        <v>1118</v>
      </c>
      <c r="B568" s="14" t="n">
        <v>46219</v>
      </c>
      <c r="C568" s="17" t="n">
        <v>0.9166666666666666</v>
      </c>
      <c r="D568" s="17" t="n">
        <v>0.2916666666666667</v>
      </c>
      <c r="E568" t="inlineStr">
        <is>
          <t>Night</t>
        </is>
      </c>
      <c r="F568" t="inlineStr">
        <is>
          <t>Jul</t>
        </is>
      </c>
      <c r="G568" s="18">
        <f>IF(D568&lt;C568,D568+1-C568,D568-C568)*24</f>
        <v/>
      </c>
      <c r="H568" s="18">
        <f>MAX(0,G568-8)</f>
        <v/>
      </c>
    </row>
    <row r="569">
      <c r="A569" t="n">
        <v>1119</v>
      </c>
      <c r="B569" s="14" t="n">
        <v>46219</v>
      </c>
      <c r="C569" s="17" t="n">
        <v>0.9166666666666666</v>
      </c>
      <c r="D569" s="17" t="n">
        <v>0.2916666666666667</v>
      </c>
      <c r="E569" t="inlineStr">
        <is>
          <t>Night</t>
        </is>
      </c>
      <c r="F569" t="inlineStr">
        <is>
          <t>Jul</t>
        </is>
      </c>
      <c r="G569" s="18">
        <f>IF(D569&lt;C569,D569+1-C569,D569-C569)*24</f>
        <v/>
      </c>
      <c r="H569" s="18">
        <f>MAX(0,G569-8)</f>
        <v/>
      </c>
    </row>
    <row r="570">
      <c r="A570" t="n">
        <v>1120</v>
      </c>
      <c r="B570" s="14" t="n">
        <v>46219</v>
      </c>
      <c r="C570" s="17" t="n">
        <v>0.9166666666666666</v>
      </c>
      <c r="D570" s="17" t="n">
        <v>0.3333333333333333</v>
      </c>
      <c r="E570" t="inlineStr">
        <is>
          <t>Night</t>
        </is>
      </c>
      <c r="F570" t="inlineStr">
        <is>
          <t>Jul</t>
        </is>
      </c>
      <c r="G570" s="18">
        <f>IF(D570&lt;C570,D570+1-C570,D570-C570)*24</f>
        <v/>
      </c>
      <c r="H570" s="18">
        <f>MAX(0,G570-8)</f>
        <v/>
      </c>
    </row>
    <row r="571">
      <c r="A571" t="n">
        <v>1121</v>
      </c>
      <c r="B571" s="14" t="n">
        <v>46219</v>
      </c>
      <c r="C571" s="17" t="n">
        <v>0.9166666666666666</v>
      </c>
      <c r="D571" s="17" t="n">
        <v>0.3541666666666667</v>
      </c>
      <c r="E571" t="inlineStr">
        <is>
          <t>Night</t>
        </is>
      </c>
      <c r="F571" t="inlineStr">
        <is>
          <t>Jul</t>
        </is>
      </c>
      <c r="G571" s="18">
        <f>IF(D571&lt;C571,D571+1-C571,D571-C571)*24</f>
        <v/>
      </c>
      <c r="H571" s="18">
        <f>MAX(0,G571-8)</f>
        <v/>
      </c>
    </row>
    <row r="572">
      <c r="A572" t="n">
        <v>1122</v>
      </c>
      <c r="B572" s="14" t="n">
        <v>46219</v>
      </c>
      <c r="C572" s="17" t="n">
        <v>0.9166666666666666</v>
      </c>
      <c r="D572" s="17" t="n">
        <v>0.2708333333333333</v>
      </c>
      <c r="E572" t="inlineStr">
        <is>
          <t>Night</t>
        </is>
      </c>
      <c r="F572" t="inlineStr">
        <is>
          <t>Jul</t>
        </is>
      </c>
      <c r="G572" s="18">
        <f>IF(D572&lt;C572,D572+1-C572,D572-C572)*24</f>
        <v/>
      </c>
      <c r="H572" s="18">
        <f>MAX(0,G572-8)</f>
        <v/>
      </c>
    </row>
    <row r="573">
      <c r="A573" t="n">
        <v>1123</v>
      </c>
      <c r="B573" s="14" t="n">
        <v>46219</v>
      </c>
      <c r="C573" s="17" t="n">
        <v>0.9166666666666666</v>
      </c>
      <c r="D573" s="17" t="n">
        <v>0.2708333333333333</v>
      </c>
      <c r="E573" t="inlineStr">
        <is>
          <t>Night</t>
        </is>
      </c>
      <c r="F573" t="inlineStr">
        <is>
          <t>Jul</t>
        </is>
      </c>
      <c r="G573" s="18">
        <f>IF(D573&lt;C573,D573+1-C573,D573-C573)*24</f>
        <v/>
      </c>
      <c r="H573" s="18">
        <f>MAX(0,G573-8)</f>
        <v/>
      </c>
    </row>
    <row r="574">
      <c r="A574" t="n">
        <v>1124</v>
      </c>
      <c r="B574" s="14" t="n">
        <v>46219</v>
      </c>
      <c r="C574" s="17" t="n">
        <v>0.9166666666666666</v>
      </c>
      <c r="D574" s="17" t="n">
        <v>0.375</v>
      </c>
      <c r="E574" t="inlineStr">
        <is>
          <t>Night</t>
        </is>
      </c>
      <c r="F574" t="inlineStr">
        <is>
          <t>Jul</t>
        </is>
      </c>
      <c r="G574" s="18">
        <f>IF(D574&lt;C574,D574+1-C574,D574-C574)*24</f>
        <v/>
      </c>
      <c r="H574" s="18">
        <f>MAX(0,G574-8)</f>
        <v/>
      </c>
    </row>
    <row r="575">
      <c r="A575" t="n">
        <v>1125</v>
      </c>
      <c r="B575" s="14" t="n">
        <v>46219</v>
      </c>
      <c r="C575" s="17" t="n">
        <v>0.9166666666666666</v>
      </c>
      <c r="D575" s="17" t="n">
        <v>0.3541666666666667</v>
      </c>
      <c r="E575" t="inlineStr">
        <is>
          <t>Night</t>
        </is>
      </c>
      <c r="F575" t="inlineStr">
        <is>
          <t>Jul</t>
        </is>
      </c>
      <c r="G575" s="18">
        <f>IF(D575&lt;C575,D575+1-C575,D575-C575)*24</f>
        <v/>
      </c>
      <c r="H575" s="18">
        <f>MAX(0,G575-8)</f>
        <v/>
      </c>
    </row>
    <row r="576">
      <c r="A576" t="n">
        <v>1126</v>
      </c>
      <c r="B576" s="14" t="n">
        <v>46219</v>
      </c>
      <c r="C576" s="17" t="n">
        <v>0.9270833333333334</v>
      </c>
      <c r="D576" s="17" t="n">
        <v>0.3020833333333333</v>
      </c>
      <c r="E576" t="inlineStr">
        <is>
          <t>Night</t>
        </is>
      </c>
      <c r="F576" t="inlineStr">
        <is>
          <t>Jul</t>
        </is>
      </c>
      <c r="G576" s="18">
        <f>IF(D576&lt;C576,D576+1-C576,D576-C576)*24</f>
        <v/>
      </c>
      <c r="H576" s="18">
        <f>MAX(0,G576-8)</f>
        <v/>
      </c>
    </row>
    <row r="577">
      <c r="A577" t="n">
        <v>1128</v>
      </c>
      <c r="B577" s="14" t="n">
        <v>46219</v>
      </c>
      <c r="C577" s="17" t="n">
        <v>0.9166666666666666</v>
      </c>
      <c r="D577" s="17" t="n">
        <v>0.25</v>
      </c>
      <c r="E577" t="inlineStr">
        <is>
          <t>Night</t>
        </is>
      </c>
      <c r="F577" t="inlineStr">
        <is>
          <t>Jul</t>
        </is>
      </c>
      <c r="G577" s="18">
        <f>IF(D577&lt;C577,D577+1-C577,D577-C577)*24</f>
        <v/>
      </c>
      <c r="H577" s="18">
        <f>MAX(0,G577-8)</f>
        <v/>
      </c>
    </row>
    <row r="578">
      <c r="A578" t="n">
        <v>1129</v>
      </c>
      <c r="B578" s="14" t="n">
        <v>46219</v>
      </c>
      <c r="C578" s="17" t="n">
        <v>0.9166666666666666</v>
      </c>
      <c r="D578" s="17" t="n">
        <v>0.3541666666666667</v>
      </c>
      <c r="E578" t="inlineStr">
        <is>
          <t>Night</t>
        </is>
      </c>
      <c r="F578" t="inlineStr">
        <is>
          <t>Jul</t>
        </is>
      </c>
      <c r="G578" s="18">
        <f>IF(D578&lt;C578,D578+1-C578,D578-C578)*24</f>
        <v/>
      </c>
      <c r="H578" s="18">
        <f>MAX(0,G578-8)</f>
        <v/>
      </c>
    </row>
    <row r="579">
      <c r="A579" t="n">
        <v>1130</v>
      </c>
      <c r="B579" s="14" t="n">
        <v>46219</v>
      </c>
      <c r="C579" s="17" t="n">
        <v>0.9375</v>
      </c>
      <c r="D579" s="17" t="n">
        <v>0.2916666666666667</v>
      </c>
      <c r="E579" t="inlineStr">
        <is>
          <t>Night</t>
        </is>
      </c>
      <c r="F579" t="inlineStr">
        <is>
          <t>Jul</t>
        </is>
      </c>
      <c r="G579" s="18">
        <f>IF(D579&lt;C579,D579+1-C579,D579-C579)*24</f>
        <v/>
      </c>
      <c r="H579" s="18">
        <f>MAX(0,G579-8)</f>
        <v/>
      </c>
    </row>
    <row r="580">
      <c r="A580" t="n">
        <v>1131</v>
      </c>
      <c r="B580" s="14" t="n">
        <v>46219</v>
      </c>
      <c r="C580" s="17" t="n">
        <v>0.9270833333333334</v>
      </c>
      <c r="D580" s="17" t="n">
        <v>0.3854166666666667</v>
      </c>
      <c r="E580" t="inlineStr">
        <is>
          <t>Night</t>
        </is>
      </c>
      <c r="F580" t="inlineStr">
        <is>
          <t>Jul</t>
        </is>
      </c>
      <c r="G580" s="18">
        <f>IF(D580&lt;C580,D580+1-C580,D580-C580)*24</f>
        <v/>
      </c>
      <c r="H580" s="18">
        <f>MAX(0,G580-8)</f>
        <v/>
      </c>
    </row>
    <row r="581">
      <c r="A581" t="n">
        <v>1132</v>
      </c>
      <c r="B581" s="14" t="n">
        <v>46219</v>
      </c>
      <c r="C581" s="17" t="n">
        <v>0.9166666666666666</v>
      </c>
      <c r="D581" s="17" t="n">
        <v>0.2916666666666667</v>
      </c>
      <c r="E581" t="inlineStr">
        <is>
          <t>Night</t>
        </is>
      </c>
      <c r="F581" t="inlineStr">
        <is>
          <t>Jul</t>
        </is>
      </c>
      <c r="G581" s="18">
        <f>IF(D581&lt;C581,D581+1-C581,D581-C581)*24</f>
        <v/>
      </c>
      <c r="H581" s="18">
        <f>MAX(0,G581-8)</f>
        <v/>
      </c>
    </row>
    <row r="582">
      <c r="A582" t="n">
        <v>1134</v>
      </c>
      <c r="B582" s="14" t="n">
        <v>46219</v>
      </c>
      <c r="C582" s="17" t="n">
        <v>0.9166666666666666</v>
      </c>
      <c r="D582" s="17" t="n">
        <v>0.2708333333333333</v>
      </c>
      <c r="E582" t="inlineStr">
        <is>
          <t>Night</t>
        </is>
      </c>
      <c r="F582" t="inlineStr">
        <is>
          <t>Jul</t>
        </is>
      </c>
      <c r="G582" s="18">
        <f>IF(D582&lt;C582,D582+1-C582,D582-C582)*24</f>
        <v/>
      </c>
      <c r="H582" s="18">
        <f>MAX(0,G582-8)</f>
        <v/>
      </c>
    </row>
    <row r="583">
      <c r="A583" t="n">
        <v>1135</v>
      </c>
      <c r="B583" s="14" t="n">
        <v>46219</v>
      </c>
      <c r="C583" s="17" t="n">
        <v>0.9270833333333334</v>
      </c>
      <c r="D583" s="17" t="n">
        <v>0.28125</v>
      </c>
      <c r="E583" t="inlineStr">
        <is>
          <t>Night</t>
        </is>
      </c>
      <c r="F583" t="inlineStr">
        <is>
          <t>Jul</t>
        </is>
      </c>
      <c r="G583" s="18">
        <f>IF(D583&lt;C583,D583+1-C583,D583-C583)*24</f>
        <v/>
      </c>
      <c r="H583" s="18">
        <f>MAX(0,G583-8)</f>
        <v/>
      </c>
    </row>
    <row r="584">
      <c r="A584" t="n">
        <v>1136</v>
      </c>
      <c r="B584" s="14" t="n">
        <v>46219</v>
      </c>
      <c r="C584" s="17" t="n">
        <v>0.9166666666666666</v>
      </c>
      <c r="D584" s="17" t="n">
        <v>0.2708333333333333</v>
      </c>
      <c r="E584" t="inlineStr">
        <is>
          <t>Night</t>
        </is>
      </c>
      <c r="F584" t="inlineStr">
        <is>
          <t>Jul</t>
        </is>
      </c>
      <c r="G584" s="18">
        <f>IF(D584&lt;C584,D584+1-C584,D584-C584)*24</f>
        <v/>
      </c>
      <c r="H584" s="18">
        <f>MAX(0,G584-8)</f>
        <v/>
      </c>
    </row>
    <row r="585">
      <c r="A585" t="n">
        <v>1137</v>
      </c>
      <c r="B585" s="14" t="n">
        <v>46219</v>
      </c>
      <c r="C585" s="17" t="n">
        <v>0.9270833333333334</v>
      </c>
      <c r="D585" s="17" t="n">
        <v>0.34375</v>
      </c>
      <c r="E585" t="inlineStr">
        <is>
          <t>Night</t>
        </is>
      </c>
      <c r="F585" t="inlineStr">
        <is>
          <t>Jul</t>
        </is>
      </c>
      <c r="G585" s="18">
        <f>IF(D585&lt;C585,D585+1-C585,D585-C585)*24</f>
        <v/>
      </c>
      <c r="H585" s="18">
        <f>MAX(0,G585-8)</f>
        <v/>
      </c>
    </row>
    <row r="586">
      <c r="A586" t="n">
        <v>1147</v>
      </c>
      <c r="B586" s="14" t="n">
        <v>46219</v>
      </c>
      <c r="C586" s="17" t="n">
        <v>0.9166666666666666</v>
      </c>
      <c r="D586" s="17" t="n">
        <v>0.25</v>
      </c>
      <c r="E586" t="inlineStr">
        <is>
          <t>Night</t>
        </is>
      </c>
      <c r="F586" t="inlineStr">
        <is>
          <t>Jul</t>
        </is>
      </c>
      <c r="G586" s="18">
        <f>IF(D586&lt;C586,D586+1-C586,D586-C586)*24</f>
        <v/>
      </c>
      <c r="H586" s="18">
        <f>MAX(0,G586-8)</f>
        <v/>
      </c>
    </row>
    <row r="587">
      <c r="A587" t="n">
        <v>1113</v>
      </c>
      <c r="B587" s="14" t="n">
        <v>46219</v>
      </c>
      <c r="C587" s="17" t="n">
        <v>0.02083333333333333</v>
      </c>
      <c r="D587" s="17" t="n">
        <v>0.4375</v>
      </c>
      <c r="E587" t="inlineStr">
        <is>
          <t>Night</t>
        </is>
      </c>
      <c r="F587" t="inlineStr">
        <is>
          <t>Jul</t>
        </is>
      </c>
      <c r="G587" s="18">
        <f>IF(D587&lt;C587,D587+1-C587,D587-C587)*24</f>
        <v/>
      </c>
      <c r="H587" s="18">
        <f>MAX(0,G587-8)</f>
        <v/>
      </c>
    </row>
    <row r="588">
      <c r="A588" t="n">
        <v>1201</v>
      </c>
      <c r="B588" s="14" t="n">
        <v>46219</v>
      </c>
      <c r="C588" s="17" t="n">
        <v>0.2708333333333333</v>
      </c>
      <c r="D588" s="17" t="n">
        <v>0.6458333333333334</v>
      </c>
      <c r="E588" t="inlineStr">
        <is>
          <t>Day</t>
        </is>
      </c>
      <c r="F588" t="inlineStr">
        <is>
          <t>Jul</t>
        </is>
      </c>
      <c r="G588" s="18">
        <f>IF(D588&lt;C588,D588+1-C588,D588-C588)*24</f>
        <v/>
      </c>
      <c r="H588" s="18">
        <f>MAX(0,G588-8)</f>
        <v/>
      </c>
    </row>
    <row r="589">
      <c r="A589" t="n">
        <v>1202</v>
      </c>
      <c r="B589" s="14" t="n">
        <v>46219</v>
      </c>
      <c r="C589" s="17" t="n">
        <v>0.2708333333333333</v>
      </c>
      <c r="D589" s="17" t="n">
        <v>0.6041666666666666</v>
      </c>
      <c r="E589" t="inlineStr">
        <is>
          <t>Day</t>
        </is>
      </c>
      <c r="F589" t="inlineStr">
        <is>
          <t>Jul</t>
        </is>
      </c>
      <c r="G589" s="18">
        <f>IF(D589&lt;C589,D589+1-C589,D589-C589)*24</f>
        <v/>
      </c>
      <c r="H589" s="18">
        <f>MAX(0,G589-8)</f>
        <v/>
      </c>
    </row>
    <row r="590">
      <c r="A590" t="n">
        <v>1203</v>
      </c>
      <c r="B590" s="14" t="n">
        <v>46219</v>
      </c>
      <c r="C590" s="17" t="n">
        <v>0.25</v>
      </c>
      <c r="D590" s="17" t="n">
        <v>0.5833333333333334</v>
      </c>
      <c r="E590" t="inlineStr">
        <is>
          <t>Day</t>
        </is>
      </c>
      <c r="F590" t="inlineStr">
        <is>
          <t>Jul</t>
        </is>
      </c>
      <c r="G590" s="18">
        <f>IF(D590&lt;C590,D590+1-C590,D590-C590)*24</f>
        <v/>
      </c>
      <c r="H590" s="18">
        <f>MAX(0,G590-8)</f>
        <v/>
      </c>
    </row>
    <row r="591">
      <c r="A591" t="n">
        <v>1204</v>
      </c>
      <c r="B591" s="14" t="n">
        <v>46219</v>
      </c>
      <c r="C591" s="17" t="n">
        <v>0.25</v>
      </c>
      <c r="D591" s="17" t="n">
        <v>0.6666666666666666</v>
      </c>
      <c r="E591" t="inlineStr">
        <is>
          <t>Day</t>
        </is>
      </c>
      <c r="F591" t="inlineStr">
        <is>
          <t>Jul</t>
        </is>
      </c>
      <c r="G591" s="18">
        <f>IF(D591&lt;C591,D591+1-C591,D591-C591)*24</f>
        <v/>
      </c>
      <c r="H591" s="18">
        <f>MAX(0,G591-8)</f>
        <v/>
      </c>
    </row>
    <row r="592">
      <c r="A592" t="n">
        <v>1205</v>
      </c>
      <c r="B592" s="14" t="n">
        <v>46219</v>
      </c>
      <c r="C592" s="17" t="n">
        <v>0.25</v>
      </c>
      <c r="D592" s="17" t="n">
        <v>0.6041666666666666</v>
      </c>
      <c r="E592" t="inlineStr">
        <is>
          <t>Day</t>
        </is>
      </c>
      <c r="F592" t="inlineStr">
        <is>
          <t>Jul</t>
        </is>
      </c>
      <c r="G592" s="18">
        <f>IF(D592&lt;C592,D592+1-C592,D592-C592)*24</f>
        <v/>
      </c>
      <c r="H592" s="18">
        <f>MAX(0,G592-8)</f>
        <v/>
      </c>
    </row>
    <row r="593">
      <c r="A593" t="n">
        <v>1206</v>
      </c>
      <c r="B593" s="14" t="n">
        <v>46219</v>
      </c>
      <c r="C593" s="17" t="n">
        <v>0.2708333333333333</v>
      </c>
      <c r="D593" s="17" t="n">
        <v>0.6041666666666666</v>
      </c>
      <c r="E593" t="inlineStr">
        <is>
          <t>Day</t>
        </is>
      </c>
      <c r="F593" t="inlineStr">
        <is>
          <t>Jul</t>
        </is>
      </c>
      <c r="G593" s="18">
        <f>IF(D593&lt;C593,D593+1-C593,D593-C593)*24</f>
        <v/>
      </c>
      <c r="H593" s="18">
        <f>MAX(0,G593-8)</f>
        <v/>
      </c>
    </row>
    <row r="594">
      <c r="A594" t="n">
        <v>1207</v>
      </c>
      <c r="B594" s="14" t="n">
        <v>46219</v>
      </c>
      <c r="C594" s="17" t="n">
        <v>0.25</v>
      </c>
      <c r="D594" s="17" t="n">
        <v>0.5833333333333334</v>
      </c>
      <c r="E594" t="inlineStr">
        <is>
          <t>Day</t>
        </is>
      </c>
      <c r="F594" t="inlineStr">
        <is>
          <t>Jul</t>
        </is>
      </c>
      <c r="G594" s="18">
        <f>IF(D594&lt;C594,D594+1-C594,D594-C594)*24</f>
        <v/>
      </c>
      <c r="H594" s="18">
        <f>MAX(0,G594-8)</f>
        <v/>
      </c>
    </row>
    <row r="595">
      <c r="A595" t="n">
        <v>1208</v>
      </c>
      <c r="B595" s="14" t="n">
        <v>46219</v>
      </c>
      <c r="C595" s="17" t="n">
        <v>0.25</v>
      </c>
      <c r="D595" s="17" t="n">
        <v>0.6666666666666666</v>
      </c>
      <c r="E595" t="inlineStr">
        <is>
          <t>Day</t>
        </is>
      </c>
      <c r="F595" t="inlineStr">
        <is>
          <t>Jul</t>
        </is>
      </c>
      <c r="G595" s="18">
        <f>IF(D595&lt;C595,D595+1-C595,D595-C595)*24</f>
        <v/>
      </c>
      <c r="H595" s="18">
        <f>MAX(0,G595-8)</f>
        <v/>
      </c>
    </row>
    <row r="596">
      <c r="A596" t="n">
        <v>1209</v>
      </c>
      <c r="B596" s="14" t="n">
        <v>46219</v>
      </c>
      <c r="C596" s="17" t="n">
        <v>0.25</v>
      </c>
      <c r="D596" s="17" t="n">
        <v>0.5833333333333334</v>
      </c>
      <c r="E596" t="inlineStr">
        <is>
          <t>Day</t>
        </is>
      </c>
      <c r="F596" t="inlineStr">
        <is>
          <t>Jul</t>
        </is>
      </c>
      <c r="G596" s="18">
        <f>IF(D596&lt;C596,D596+1-C596,D596-C596)*24</f>
        <v/>
      </c>
      <c r="H596" s="18">
        <f>MAX(0,G596-8)</f>
        <v/>
      </c>
    </row>
    <row r="597">
      <c r="A597" t="n">
        <v>1210</v>
      </c>
      <c r="B597" s="14" t="n">
        <v>46219</v>
      </c>
      <c r="C597" s="17" t="n">
        <v>0.2708333333333333</v>
      </c>
      <c r="D597" s="17" t="n">
        <v>0.6041666666666666</v>
      </c>
      <c r="E597" t="inlineStr">
        <is>
          <t>Day</t>
        </is>
      </c>
      <c r="F597" t="inlineStr">
        <is>
          <t>Jul</t>
        </is>
      </c>
      <c r="G597" s="18">
        <f>IF(D597&lt;C597,D597+1-C597,D597-C597)*24</f>
        <v/>
      </c>
      <c r="H597" s="18">
        <f>MAX(0,G597-8)</f>
        <v/>
      </c>
    </row>
    <row r="598">
      <c r="A598" t="n">
        <v>1211</v>
      </c>
      <c r="B598" s="14" t="n">
        <v>46219</v>
      </c>
      <c r="C598" s="17" t="n">
        <v>0.25</v>
      </c>
      <c r="D598" s="17" t="n">
        <v>0.625</v>
      </c>
      <c r="E598" t="inlineStr">
        <is>
          <t>Day</t>
        </is>
      </c>
      <c r="F598" t="inlineStr">
        <is>
          <t>Jul</t>
        </is>
      </c>
      <c r="G598" s="18">
        <f>IF(D598&lt;C598,D598+1-C598,D598-C598)*24</f>
        <v/>
      </c>
      <c r="H598" s="18">
        <f>MAX(0,G598-8)</f>
        <v/>
      </c>
    </row>
    <row r="599">
      <c r="A599" t="n">
        <v>1212</v>
      </c>
      <c r="B599" s="14" t="n">
        <v>46219</v>
      </c>
      <c r="C599" s="17" t="n">
        <v>0.25</v>
      </c>
      <c r="D599" s="17" t="n">
        <v>0.5833333333333334</v>
      </c>
      <c r="E599" t="inlineStr">
        <is>
          <t>Day</t>
        </is>
      </c>
      <c r="F599" t="inlineStr">
        <is>
          <t>Jul</t>
        </is>
      </c>
      <c r="G599" s="18">
        <f>IF(D599&lt;C599,D599+1-C599,D599-C599)*24</f>
        <v/>
      </c>
      <c r="H599" s="18">
        <f>MAX(0,G599-8)</f>
        <v/>
      </c>
    </row>
    <row r="600">
      <c r="A600" t="n">
        <v>1213</v>
      </c>
      <c r="B600" s="14" t="n">
        <v>46219</v>
      </c>
      <c r="C600" s="17" t="n">
        <v>0.2708333333333333</v>
      </c>
      <c r="D600" s="17" t="n">
        <v>0.6458333333333334</v>
      </c>
      <c r="E600" t="inlineStr">
        <is>
          <t>Day</t>
        </is>
      </c>
      <c r="F600" t="inlineStr">
        <is>
          <t>Jul</t>
        </is>
      </c>
      <c r="G600" s="18">
        <f>IF(D600&lt;C600,D600+1-C600,D600-C600)*24</f>
        <v/>
      </c>
      <c r="H600" s="18">
        <f>MAX(0,G600-8)</f>
        <v/>
      </c>
    </row>
    <row r="601">
      <c r="A601" t="n">
        <v>1214</v>
      </c>
      <c r="B601" s="14" t="n">
        <v>46219</v>
      </c>
      <c r="C601" s="17" t="n">
        <v>0.25</v>
      </c>
      <c r="D601" s="17" t="n">
        <v>0.6666666666666666</v>
      </c>
      <c r="E601" t="inlineStr">
        <is>
          <t>Day</t>
        </is>
      </c>
      <c r="F601" t="inlineStr">
        <is>
          <t>Jul</t>
        </is>
      </c>
      <c r="G601" s="18">
        <f>IF(D601&lt;C601,D601+1-C601,D601-C601)*24</f>
        <v/>
      </c>
      <c r="H601" s="18">
        <f>MAX(0,G601-8)</f>
        <v/>
      </c>
    </row>
    <row r="602">
      <c r="A602" t="n">
        <v>1215</v>
      </c>
      <c r="B602" s="14" t="n">
        <v>46219</v>
      </c>
      <c r="C602" s="17" t="n">
        <v>0.2708333333333333</v>
      </c>
      <c r="D602" s="17" t="n">
        <v>0.625</v>
      </c>
      <c r="E602" t="inlineStr">
        <is>
          <t>Day</t>
        </is>
      </c>
      <c r="F602" t="inlineStr">
        <is>
          <t>Jul</t>
        </is>
      </c>
      <c r="G602" s="18">
        <f>IF(D602&lt;C602,D602+1-C602,D602-C602)*24</f>
        <v/>
      </c>
      <c r="H602" s="18">
        <f>MAX(0,G602-8)</f>
        <v/>
      </c>
    </row>
    <row r="603">
      <c r="A603" t="n">
        <v>1216</v>
      </c>
      <c r="B603" s="14" t="n">
        <v>46219</v>
      </c>
      <c r="C603" s="17" t="n">
        <v>0.25</v>
      </c>
      <c r="D603" s="17" t="n">
        <v>0.625</v>
      </c>
      <c r="E603" t="inlineStr">
        <is>
          <t>Day</t>
        </is>
      </c>
      <c r="F603" t="inlineStr">
        <is>
          <t>Jul</t>
        </is>
      </c>
      <c r="G603" s="18">
        <f>IF(D603&lt;C603,D603+1-C603,D603-C603)*24</f>
        <v/>
      </c>
      <c r="H603" s="18">
        <f>MAX(0,G603-8)</f>
        <v/>
      </c>
    </row>
    <row r="604">
      <c r="A604" t="n">
        <v>1217</v>
      </c>
      <c r="B604" s="14" t="n">
        <v>46219</v>
      </c>
      <c r="C604" s="17" t="n">
        <v>0.25</v>
      </c>
      <c r="D604" s="17" t="n">
        <v>0.625</v>
      </c>
      <c r="E604" t="inlineStr">
        <is>
          <t>Day</t>
        </is>
      </c>
      <c r="F604" t="inlineStr">
        <is>
          <t>Jul</t>
        </is>
      </c>
      <c r="G604" s="18">
        <f>IF(D604&lt;C604,D604+1-C604,D604-C604)*24</f>
        <v/>
      </c>
      <c r="H604" s="18">
        <f>MAX(0,G604-8)</f>
        <v/>
      </c>
    </row>
    <row r="605">
      <c r="A605" t="n">
        <v>1218</v>
      </c>
      <c r="B605" s="14" t="n">
        <v>46219</v>
      </c>
      <c r="C605" s="17" t="n">
        <v>0.25</v>
      </c>
      <c r="D605" s="17" t="n">
        <v>0.5833333333333334</v>
      </c>
      <c r="E605" t="inlineStr">
        <is>
          <t>Day</t>
        </is>
      </c>
      <c r="F605" t="inlineStr">
        <is>
          <t>Jul</t>
        </is>
      </c>
      <c r="G605" s="18">
        <f>IF(D605&lt;C605,D605+1-C605,D605-C605)*24</f>
        <v/>
      </c>
      <c r="H605" s="18">
        <f>MAX(0,G605-8)</f>
        <v/>
      </c>
    </row>
    <row r="606">
      <c r="A606" t="n">
        <v>1219</v>
      </c>
      <c r="B606" s="14" t="n">
        <v>46219</v>
      </c>
      <c r="C606" s="17" t="n">
        <v>0.25</v>
      </c>
      <c r="D606" s="17" t="n">
        <v>0.5833333333333334</v>
      </c>
      <c r="E606" t="inlineStr">
        <is>
          <t>Day</t>
        </is>
      </c>
      <c r="F606" t="inlineStr">
        <is>
          <t>Jul</t>
        </is>
      </c>
      <c r="G606" s="18">
        <f>IF(D606&lt;C606,D606+1-C606,D606-C606)*24</f>
        <v/>
      </c>
      <c r="H606" s="18">
        <f>MAX(0,G606-8)</f>
        <v/>
      </c>
    </row>
    <row r="607">
      <c r="A607" t="n">
        <v>1220</v>
      </c>
      <c r="B607" s="14" t="n">
        <v>46219</v>
      </c>
      <c r="C607" s="17" t="n">
        <v>0.25</v>
      </c>
      <c r="D607" s="17" t="n">
        <v>0.6666666666666666</v>
      </c>
      <c r="E607" t="inlineStr">
        <is>
          <t>Day</t>
        </is>
      </c>
      <c r="F607" t="inlineStr">
        <is>
          <t>Jul</t>
        </is>
      </c>
      <c r="G607" s="18">
        <f>IF(D607&lt;C607,D607+1-C607,D607-C607)*24</f>
        <v/>
      </c>
      <c r="H607" s="18">
        <f>MAX(0,G607-8)</f>
        <v/>
      </c>
    </row>
    <row r="608">
      <c r="A608" t="n">
        <v>1101</v>
      </c>
      <c r="B608" s="14" t="n">
        <v>46220</v>
      </c>
      <c r="C608" s="17" t="n">
        <v>0.9166666666666666</v>
      </c>
      <c r="D608" s="17" t="n">
        <v>0.3333333333333333</v>
      </c>
      <c r="E608" t="inlineStr">
        <is>
          <t>Night</t>
        </is>
      </c>
      <c r="F608" t="inlineStr">
        <is>
          <t>Jul</t>
        </is>
      </c>
      <c r="G608" s="18">
        <f>IF(D608&lt;C608,D608+1-C608,D608-C608)*24</f>
        <v/>
      </c>
      <c r="H608" s="18">
        <f>MAX(0,G608-8)</f>
        <v/>
      </c>
    </row>
    <row r="609">
      <c r="A609" t="n">
        <v>1103</v>
      </c>
      <c r="B609" s="14" t="n">
        <v>46220</v>
      </c>
      <c r="C609" s="17" t="n">
        <v>0.9166666666666666</v>
      </c>
      <c r="D609" s="17" t="n">
        <v>0.2708333333333333</v>
      </c>
      <c r="E609" t="inlineStr">
        <is>
          <t>Night</t>
        </is>
      </c>
      <c r="F609" t="inlineStr">
        <is>
          <t>Jul</t>
        </is>
      </c>
      <c r="G609" s="18">
        <f>IF(D609&lt;C609,D609+1-C609,D609-C609)*24</f>
        <v/>
      </c>
      <c r="H609" s="18">
        <f>MAX(0,G609-8)</f>
        <v/>
      </c>
    </row>
    <row r="610">
      <c r="A610" t="n">
        <v>1104</v>
      </c>
      <c r="B610" s="14" t="n">
        <v>46220</v>
      </c>
      <c r="C610" s="17" t="n">
        <v>0.9166666666666666</v>
      </c>
      <c r="D610" s="17" t="n">
        <v>0.25</v>
      </c>
      <c r="E610" t="inlineStr">
        <is>
          <t>Night</t>
        </is>
      </c>
      <c r="F610" t="inlineStr">
        <is>
          <t>Jul</t>
        </is>
      </c>
      <c r="G610" s="18">
        <f>IF(D610&lt;C610,D610+1-C610,D610-C610)*24</f>
        <v/>
      </c>
      <c r="H610" s="18">
        <f>MAX(0,G610-8)</f>
        <v/>
      </c>
    </row>
    <row r="611">
      <c r="A611" t="n">
        <v>1108</v>
      </c>
      <c r="B611" s="14" t="n">
        <v>46220</v>
      </c>
      <c r="C611" s="17" t="n">
        <v>0.9166666666666666</v>
      </c>
      <c r="D611" s="17" t="n">
        <v>0.3541666666666667</v>
      </c>
      <c r="E611" t="inlineStr">
        <is>
          <t>Night</t>
        </is>
      </c>
      <c r="F611" t="inlineStr">
        <is>
          <t>Jul</t>
        </is>
      </c>
      <c r="G611" s="18">
        <f>IF(D611&lt;C611,D611+1-C611,D611-C611)*24</f>
        <v/>
      </c>
      <c r="H611" s="18">
        <f>MAX(0,G611-8)</f>
        <v/>
      </c>
    </row>
    <row r="612">
      <c r="A612" t="n">
        <v>1109</v>
      </c>
      <c r="B612" s="14" t="n">
        <v>46220</v>
      </c>
      <c r="C612" s="17" t="n">
        <v>0.9375</v>
      </c>
      <c r="D612" s="17" t="n">
        <v>0.4166666666666667</v>
      </c>
      <c r="E612" t="inlineStr">
        <is>
          <t>Night</t>
        </is>
      </c>
      <c r="F612" t="inlineStr">
        <is>
          <t>Jul</t>
        </is>
      </c>
      <c r="G612" s="18">
        <f>IF(D612&lt;C612,D612+1-C612,D612-C612)*24</f>
        <v/>
      </c>
      <c r="H612" s="18">
        <f>MAX(0,G612-8)</f>
        <v/>
      </c>
    </row>
    <row r="613">
      <c r="A613" t="n">
        <v>1110</v>
      </c>
      <c r="B613" s="14" t="n">
        <v>46220</v>
      </c>
      <c r="C613" s="17" t="n">
        <v>0.9270833333333334</v>
      </c>
      <c r="D613" s="17" t="n">
        <v>0.28125</v>
      </c>
      <c r="E613" t="inlineStr">
        <is>
          <t>Night</t>
        </is>
      </c>
      <c r="F613" t="inlineStr">
        <is>
          <t>Jul</t>
        </is>
      </c>
      <c r="G613" s="18">
        <f>IF(D613&lt;C613,D613+1-C613,D613-C613)*24</f>
        <v/>
      </c>
      <c r="H613" s="18">
        <f>MAX(0,G613-8)</f>
        <v/>
      </c>
    </row>
    <row r="614">
      <c r="A614" t="n">
        <v>1111</v>
      </c>
      <c r="B614" s="14" t="n">
        <v>46220</v>
      </c>
      <c r="C614" s="17" t="n">
        <v>0.9270833333333334</v>
      </c>
      <c r="D614" s="17" t="n">
        <v>0.3645833333333333</v>
      </c>
      <c r="E614" t="inlineStr">
        <is>
          <t>Night</t>
        </is>
      </c>
      <c r="F614" t="inlineStr">
        <is>
          <t>Jul</t>
        </is>
      </c>
      <c r="G614" s="18">
        <f>IF(D614&lt;C614,D614+1-C614,D614-C614)*24</f>
        <v/>
      </c>
      <c r="H614" s="18">
        <f>MAX(0,G614-8)</f>
        <v/>
      </c>
    </row>
    <row r="615">
      <c r="A615" t="n">
        <v>1112</v>
      </c>
      <c r="B615" s="14" t="n">
        <v>46220</v>
      </c>
      <c r="C615" s="17" t="n">
        <v>0.9166666666666666</v>
      </c>
      <c r="D615" s="17" t="n">
        <v>0.2708333333333333</v>
      </c>
      <c r="E615" t="inlineStr">
        <is>
          <t>Night</t>
        </is>
      </c>
      <c r="F615" t="inlineStr">
        <is>
          <t>Jul</t>
        </is>
      </c>
      <c r="G615" s="18">
        <f>IF(D615&lt;C615,D615+1-C615,D615-C615)*24</f>
        <v/>
      </c>
      <c r="H615" s="18">
        <f>MAX(0,G615-8)</f>
        <v/>
      </c>
    </row>
    <row r="616">
      <c r="A616" t="n">
        <v>1113</v>
      </c>
      <c r="B616" s="14" t="n">
        <v>46220</v>
      </c>
      <c r="C616" s="17" t="n">
        <v>0.9375</v>
      </c>
      <c r="D616" s="17" t="n">
        <v>0.2708333333333333</v>
      </c>
      <c r="E616" t="inlineStr">
        <is>
          <t>Night</t>
        </is>
      </c>
      <c r="F616" t="inlineStr">
        <is>
          <t>Jul</t>
        </is>
      </c>
      <c r="G616" s="18">
        <f>IF(D616&lt;C616,D616+1-C616,D616-C616)*24</f>
        <v/>
      </c>
      <c r="H616" s="18">
        <f>MAX(0,G616-8)</f>
        <v/>
      </c>
    </row>
    <row r="617">
      <c r="A617" t="n">
        <v>1114</v>
      </c>
      <c r="B617" s="14" t="n">
        <v>46220</v>
      </c>
      <c r="C617" s="17" t="n">
        <v>0.9375</v>
      </c>
      <c r="D617" s="17" t="n">
        <v>0.2916666666666667</v>
      </c>
      <c r="E617" t="inlineStr">
        <is>
          <t>Night</t>
        </is>
      </c>
      <c r="F617" t="inlineStr">
        <is>
          <t>Jul</t>
        </is>
      </c>
      <c r="G617" s="18">
        <f>IF(D617&lt;C617,D617+1-C617,D617-C617)*24</f>
        <v/>
      </c>
      <c r="H617" s="18">
        <f>MAX(0,G617-8)</f>
        <v/>
      </c>
    </row>
    <row r="618">
      <c r="A618" t="n">
        <v>1115</v>
      </c>
      <c r="B618" s="14" t="n">
        <v>46220</v>
      </c>
      <c r="C618" s="17" t="n">
        <v>0.9166666666666666</v>
      </c>
      <c r="D618" s="17" t="n">
        <v>0.375</v>
      </c>
      <c r="E618" t="inlineStr">
        <is>
          <t>Night</t>
        </is>
      </c>
      <c r="F618" t="inlineStr">
        <is>
          <t>Jul</t>
        </is>
      </c>
      <c r="G618" s="18">
        <f>IF(D618&lt;C618,D618+1-C618,D618-C618)*24</f>
        <v/>
      </c>
      <c r="H618" s="18">
        <f>MAX(0,G618-8)</f>
        <v/>
      </c>
    </row>
    <row r="619">
      <c r="A619" t="n">
        <v>1117</v>
      </c>
      <c r="B619" s="14" t="n">
        <v>46220</v>
      </c>
      <c r="C619" s="17" t="n">
        <v>0.9166666666666666</v>
      </c>
      <c r="D619" s="17" t="n">
        <v>0.3958333333333333</v>
      </c>
      <c r="E619" t="inlineStr">
        <is>
          <t>Night</t>
        </is>
      </c>
      <c r="F619" t="inlineStr">
        <is>
          <t>Jul</t>
        </is>
      </c>
      <c r="G619" s="18">
        <f>IF(D619&lt;C619,D619+1-C619,D619-C619)*24</f>
        <v/>
      </c>
      <c r="H619" s="18">
        <f>MAX(0,G619-8)</f>
        <v/>
      </c>
    </row>
    <row r="620">
      <c r="A620" t="n">
        <v>1118</v>
      </c>
      <c r="B620" s="14" t="n">
        <v>46220</v>
      </c>
      <c r="C620" s="17" t="n">
        <v>0.9166666666666666</v>
      </c>
      <c r="D620" s="17" t="n">
        <v>0.3958333333333333</v>
      </c>
      <c r="E620" t="inlineStr">
        <is>
          <t>Night</t>
        </is>
      </c>
      <c r="F620" t="inlineStr">
        <is>
          <t>Jul</t>
        </is>
      </c>
      <c r="G620" s="18">
        <f>IF(D620&lt;C620,D620+1-C620,D620-C620)*24</f>
        <v/>
      </c>
      <c r="H620" s="18">
        <f>MAX(0,G620-8)</f>
        <v/>
      </c>
    </row>
    <row r="621">
      <c r="A621" t="n">
        <v>1119</v>
      </c>
      <c r="B621" s="14" t="n">
        <v>46220</v>
      </c>
      <c r="C621" s="17" t="n">
        <v>0.9270833333333334</v>
      </c>
      <c r="D621" s="17" t="n">
        <v>0.34375</v>
      </c>
      <c r="E621" t="inlineStr">
        <is>
          <t>Night</t>
        </is>
      </c>
      <c r="F621" t="inlineStr">
        <is>
          <t>Jul</t>
        </is>
      </c>
      <c r="G621" s="18">
        <f>IF(D621&lt;C621,D621+1-C621,D621-C621)*24</f>
        <v/>
      </c>
      <c r="H621" s="18">
        <f>MAX(0,G621-8)</f>
        <v/>
      </c>
    </row>
    <row r="622">
      <c r="A622" t="n">
        <v>1120</v>
      </c>
      <c r="B622" s="14" t="n">
        <v>46220</v>
      </c>
      <c r="C622" s="17" t="n">
        <v>0.9166666666666666</v>
      </c>
      <c r="D622" s="17" t="n">
        <v>0.3958333333333333</v>
      </c>
      <c r="E622" t="inlineStr">
        <is>
          <t>Night</t>
        </is>
      </c>
      <c r="F622" t="inlineStr">
        <is>
          <t>Jul</t>
        </is>
      </c>
      <c r="G622" s="18">
        <f>IF(D622&lt;C622,D622+1-C622,D622-C622)*24</f>
        <v/>
      </c>
      <c r="H622" s="18">
        <f>MAX(0,G622-8)</f>
        <v/>
      </c>
    </row>
    <row r="623">
      <c r="A623" t="n">
        <v>1121</v>
      </c>
      <c r="B623" s="14" t="n">
        <v>46220</v>
      </c>
      <c r="C623" s="17" t="n">
        <v>0.9270833333333334</v>
      </c>
      <c r="D623" s="17" t="n">
        <v>0.28125</v>
      </c>
      <c r="E623" t="inlineStr">
        <is>
          <t>Night</t>
        </is>
      </c>
      <c r="F623" t="inlineStr">
        <is>
          <t>Jul</t>
        </is>
      </c>
      <c r="G623" s="18">
        <f>IF(D623&lt;C623,D623+1-C623,D623-C623)*24</f>
        <v/>
      </c>
      <c r="H623" s="18">
        <f>MAX(0,G623-8)</f>
        <v/>
      </c>
    </row>
    <row r="624">
      <c r="A624" t="n">
        <v>1122</v>
      </c>
      <c r="B624" s="14" t="n">
        <v>46220</v>
      </c>
      <c r="C624" s="17" t="n">
        <v>0.9166666666666666</v>
      </c>
      <c r="D624" s="17" t="n">
        <v>0.375</v>
      </c>
      <c r="E624" t="inlineStr">
        <is>
          <t>Night</t>
        </is>
      </c>
      <c r="F624" t="inlineStr">
        <is>
          <t>Jul</t>
        </is>
      </c>
      <c r="G624" s="18">
        <f>IF(D624&lt;C624,D624+1-C624,D624-C624)*24</f>
        <v/>
      </c>
      <c r="H624" s="18">
        <f>MAX(0,G624-8)</f>
        <v/>
      </c>
    </row>
    <row r="625">
      <c r="A625" t="n">
        <v>1123</v>
      </c>
      <c r="B625" s="14" t="n">
        <v>46220</v>
      </c>
      <c r="C625" s="17" t="n">
        <v>0.9166666666666666</v>
      </c>
      <c r="D625" s="17" t="n">
        <v>0.25</v>
      </c>
      <c r="E625" t="inlineStr">
        <is>
          <t>Night</t>
        </is>
      </c>
      <c r="F625" t="inlineStr">
        <is>
          <t>Jul</t>
        </is>
      </c>
      <c r="G625" s="18">
        <f>IF(D625&lt;C625,D625+1-C625,D625-C625)*24</f>
        <v/>
      </c>
      <c r="H625" s="18">
        <f>MAX(0,G625-8)</f>
        <v/>
      </c>
    </row>
    <row r="626">
      <c r="A626" t="n">
        <v>1124</v>
      </c>
      <c r="B626" s="14" t="n">
        <v>46220</v>
      </c>
      <c r="C626" s="17" t="n">
        <v>0.9166666666666666</v>
      </c>
      <c r="D626" s="17" t="n">
        <v>0.2916666666666667</v>
      </c>
      <c r="E626" t="inlineStr">
        <is>
          <t>Night</t>
        </is>
      </c>
      <c r="F626" t="inlineStr">
        <is>
          <t>Jul</t>
        </is>
      </c>
      <c r="G626" s="18">
        <f>IF(D626&lt;C626,D626+1-C626,D626-C626)*24</f>
        <v/>
      </c>
      <c r="H626" s="18">
        <f>MAX(0,G626-8)</f>
        <v/>
      </c>
    </row>
    <row r="627">
      <c r="A627" t="n">
        <v>1125</v>
      </c>
      <c r="B627" s="14" t="n">
        <v>46220</v>
      </c>
      <c r="C627" s="17" t="n">
        <v>0.9166666666666666</v>
      </c>
      <c r="D627" s="17" t="n">
        <v>0.3958333333333333</v>
      </c>
      <c r="E627" t="inlineStr">
        <is>
          <t>Night</t>
        </is>
      </c>
      <c r="F627" t="inlineStr">
        <is>
          <t>Jul</t>
        </is>
      </c>
      <c r="G627" s="18">
        <f>IF(D627&lt;C627,D627+1-C627,D627-C627)*24</f>
        <v/>
      </c>
      <c r="H627" s="18">
        <f>MAX(0,G627-8)</f>
        <v/>
      </c>
    </row>
    <row r="628">
      <c r="A628" t="n">
        <v>1126</v>
      </c>
      <c r="B628" s="14" t="n">
        <v>46220</v>
      </c>
      <c r="C628" s="17" t="n">
        <v>0.9166666666666666</v>
      </c>
      <c r="D628" s="17" t="n">
        <v>0.25</v>
      </c>
      <c r="E628" t="inlineStr">
        <is>
          <t>Night</t>
        </is>
      </c>
      <c r="F628" t="inlineStr">
        <is>
          <t>Jul</t>
        </is>
      </c>
      <c r="G628" s="18">
        <f>IF(D628&lt;C628,D628+1-C628,D628-C628)*24</f>
        <v/>
      </c>
      <c r="H628" s="18">
        <f>MAX(0,G628-8)</f>
        <v/>
      </c>
    </row>
    <row r="629">
      <c r="A629" t="n">
        <v>1128</v>
      </c>
      <c r="B629" s="14" t="n">
        <v>46220</v>
      </c>
      <c r="C629" s="17" t="n">
        <v>0.9166666666666666</v>
      </c>
      <c r="D629" s="17" t="n">
        <v>0.375</v>
      </c>
      <c r="E629" t="inlineStr">
        <is>
          <t>Night</t>
        </is>
      </c>
      <c r="F629" t="inlineStr">
        <is>
          <t>Jul</t>
        </is>
      </c>
      <c r="G629" s="18">
        <f>IF(D629&lt;C629,D629+1-C629,D629-C629)*24</f>
        <v/>
      </c>
      <c r="H629" s="18">
        <f>MAX(0,G629-8)</f>
        <v/>
      </c>
    </row>
    <row r="630">
      <c r="A630" t="n">
        <v>1129</v>
      </c>
      <c r="B630" s="14" t="n">
        <v>46220</v>
      </c>
      <c r="C630" s="17" t="n">
        <v>0.9270833333333334</v>
      </c>
      <c r="D630" s="17" t="n">
        <v>0.3229166666666667</v>
      </c>
      <c r="E630" t="inlineStr">
        <is>
          <t>Night</t>
        </is>
      </c>
      <c r="F630" t="inlineStr">
        <is>
          <t>Jul</t>
        </is>
      </c>
      <c r="G630" s="18">
        <f>IF(D630&lt;C630,D630+1-C630,D630-C630)*24</f>
        <v/>
      </c>
      <c r="H630" s="18">
        <f>MAX(0,G630-8)</f>
        <v/>
      </c>
    </row>
    <row r="631">
      <c r="A631" t="n">
        <v>1130</v>
      </c>
      <c r="B631" s="14" t="n">
        <v>46220</v>
      </c>
      <c r="C631" s="17" t="n">
        <v>0.9375</v>
      </c>
      <c r="D631" s="17" t="n">
        <v>0.4166666666666667</v>
      </c>
      <c r="E631" t="inlineStr">
        <is>
          <t>Night</t>
        </is>
      </c>
      <c r="F631" t="inlineStr">
        <is>
          <t>Jul</t>
        </is>
      </c>
      <c r="G631" s="18">
        <f>IF(D631&lt;C631,D631+1-C631,D631-C631)*24</f>
        <v/>
      </c>
      <c r="H631" s="18">
        <f>MAX(0,G631-8)</f>
        <v/>
      </c>
    </row>
    <row r="632">
      <c r="A632" t="n">
        <v>1131</v>
      </c>
      <c r="B632" s="14" t="n">
        <v>46220</v>
      </c>
      <c r="C632" s="17" t="n">
        <v>0.9270833333333334</v>
      </c>
      <c r="D632" s="17" t="n">
        <v>0.3229166666666667</v>
      </c>
      <c r="E632" t="inlineStr">
        <is>
          <t>Night</t>
        </is>
      </c>
      <c r="F632" t="inlineStr">
        <is>
          <t>Jul</t>
        </is>
      </c>
      <c r="G632" s="18">
        <f>IF(D632&lt;C632,D632+1-C632,D632-C632)*24</f>
        <v/>
      </c>
      <c r="H632" s="18">
        <f>MAX(0,G632-8)</f>
        <v/>
      </c>
    </row>
    <row r="633">
      <c r="A633" t="n">
        <v>1132</v>
      </c>
      <c r="B633" s="14" t="n">
        <v>46220</v>
      </c>
      <c r="C633" s="17" t="n">
        <v>0.9166666666666666</v>
      </c>
      <c r="D633" s="17" t="n">
        <v>0.2708333333333333</v>
      </c>
      <c r="E633" t="inlineStr">
        <is>
          <t>Night</t>
        </is>
      </c>
      <c r="F633" t="inlineStr">
        <is>
          <t>Jul</t>
        </is>
      </c>
      <c r="G633" s="18">
        <f>IF(D633&lt;C633,D633+1-C633,D633-C633)*24</f>
        <v/>
      </c>
      <c r="H633" s="18">
        <f>MAX(0,G633-8)</f>
        <v/>
      </c>
    </row>
    <row r="634">
      <c r="A634" t="n">
        <v>1133</v>
      </c>
      <c r="B634" s="14" t="n">
        <v>46220</v>
      </c>
      <c r="C634" s="17" t="n">
        <v>0.9166666666666666</v>
      </c>
      <c r="D634" s="17" t="n">
        <v>0.375</v>
      </c>
      <c r="E634" t="inlineStr">
        <is>
          <t>Night</t>
        </is>
      </c>
      <c r="F634" t="inlineStr">
        <is>
          <t>Jul</t>
        </is>
      </c>
      <c r="G634" s="18">
        <f>IF(D634&lt;C634,D634+1-C634,D634-C634)*24</f>
        <v/>
      </c>
      <c r="H634" s="18">
        <f>MAX(0,G634-8)</f>
        <v/>
      </c>
    </row>
    <row r="635">
      <c r="A635" t="n">
        <v>1134</v>
      </c>
      <c r="B635" s="14" t="n">
        <v>46220</v>
      </c>
      <c r="C635" s="17" t="n">
        <v>0.9166666666666666</v>
      </c>
      <c r="D635" s="17" t="n">
        <v>0.3958333333333333</v>
      </c>
      <c r="E635" t="inlineStr">
        <is>
          <t>Night</t>
        </is>
      </c>
      <c r="F635" t="inlineStr">
        <is>
          <t>Jul</t>
        </is>
      </c>
      <c r="G635" s="18">
        <f>IF(D635&lt;C635,D635+1-C635,D635-C635)*24</f>
        <v/>
      </c>
      <c r="H635" s="18">
        <f>MAX(0,G635-8)</f>
        <v/>
      </c>
    </row>
    <row r="636">
      <c r="A636" t="n">
        <v>1135</v>
      </c>
      <c r="B636" s="14" t="n">
        <v>46220</v>
      </c>
      <c r="C636" s="17" t="n">
        <v>0.9375</v>
      </c>
      <c r="D636" s="17" t="n">
        <v>0.3125</v>
      </c>
      <c r="E636" t="inlineStr">
        <is>
          <t>Night</t>
        </is>
      </c>
      <c r="F636" t="inlineStr">
        <is>
          <t>Jul</t>
        </is>
      </c>
      <c r="G636" s="18">
        <f>IF(D636&lt;C636,D636+1-C636,D636-C636)*24</f>
        <v/>
      </c>
      <c r="H636" s="18">
        <f>MAX(0,G636-8)</f>
        <v/>
      </c>
    </row>
    <row r="637">
      <c r="A637" t="n">
        <v>1136</v>
      </c>
      <c r="B637" s="14" t="n">
        <v>46220</v>
      </c>
      <c r="C637" s="17" t="n">
        <v>0.9375</v>
      </c>
      <c r="D637" s="17" t="n">
        <v>0.3125</v>
      </c>
      <c r="E637" t="inlineStr">
        <is>
          <t>Night</t>
        </is>
      </c>
      <c r="F637" t="inlineStr">
        <is>
          <t>Jul</t>
        </is>
      </c>
      <c r="G637" s="18">
        <f>IF(D637&lt;C637,D637+1-C637,D637-C637)*24</f>
        <v/>
      </c>
      <c r="H637" s="18">
        <f>MAX(0,G637-8)</f>
        <v/>
      </c>
    </row>
    <row r="638">
      <c r="A638" t="n">
        <v>1137</v>
      </c>
      <c r="B638" s="14" t="n">
        <v>46220</v>
      </c>
      <c r="C638" s="17" t="n">
        <v>0.9166666666666666</v>
      </c>
      <c r="D638" s="17" t="n">
        <v>0.25</v>
      </c>
      <c r="E638" t="inlineStr">
        <is>
          <t>Night</t>
        </is>
      </c>
      <c r="F638" t="inlineStr">
        <is>
          <t>Jul</t>
        </is>
      </c>
      <c r="G638" s="18">
        <f>IF(D638&lt;C638,D638+1-C638,D638-C638)*24</f>
        <v/>
      </c>
      <c r="H638" s="18">
        <f>MAX(0,G638-8)</f>
        <v/>
      </c>
    </row>
    <row r="639">
      <c r="A639" t="n">
        <v>1147</v>
      </c>
      <c r="B639" s="14" t="n">
        <v>46220</v>
      </c>
      <c r="C639" s="17" t="n">
        <v>0.9270833333333334</v>
      </c>
      <c r="D639" s="17" t="n">
        <v>0.3020833333333333</v>
      </c>
      <c r="E639" t="inlineStr">
        <is>
          <t>Night</t>
        </is>
      </c>
      <c r="F639" t="inlineStr">
        <is>
          <t>Jul</t>
        </is>
      </c>
      <c r="G639" s="18">
        <f>IF(D639&lt;C639,D639+1-C639,D639-C639)*24</f>
        <v/>
      </c>
      <c r="H639" s="18">
        <f>MAX(0,G639-8)</f>
        <v/>
      </c>
    </row>
    <row r="640">
      <c r="A640" t="n">
        <v>1102</v>
      </c>
      <c r="B640" s="14" t="n">
        <v>46220</v>
      </c>
      <c r="C640" s="17" t="n">
        <v>0.02083333333333333</v>
      </c>
      <c r="D640" s="17" t="n">
        <v>0.3541666666666667</v>
      </c>
      <c r="E640" t="inlineStr">
        <is>
          <t>Night</t>
        </is>
      </c>
      <c r="F640" t="inlineStr">
        <is>
          <t>Jul</t>
        </is>
      </c>
      <c r="G640" s="18">
        <f>IF(D640&lt;C640,D640+1-C640,D640-C640)*24</f>
        <v/>
      </c>
      <c r="H640" s="18">
        <f>MAX(0,G640-8)</f>
        <v/>
      </c>
    </row>
    <row r="641">
      <c r="A641" t="n">
        <v>1107</v>
      </c>
      <c r="B641" s="14" t="n">
        <v>46220</v>
      </c>
      <c r="C641" s="17" t="n">
        <v>0.01041666666666667</v>
      </c>
      <c r="D641" s="17" t="n">
        <v>0.4895833333333333</v>
      </c>
      <c r="E641" t="inlineStr">
        <is>
          <t>Night</t>
        </is>
      </c>
      <c r="F641" t="inlineStr">
        <is>
          <t>Jul</t>
        </is>
      </c>
      <c r="G641" s="18">
        <f>IF(D641&lt;C641,D641+1-C641,D641-C641)*24</f>
        <v/>
      </c>
      <c r="H641" s="18">
        <f>MAX(0,G641-8)</f>
        <v/>
      </c>
    </row>
    <row r="642">
      <c r="A642" t="n">
        <v>1116</v>
      </c>
      <c r="B642" s="14" t="n">
        <v>46220</v>
      </c>
      <c r="C642" s="17" t="n">
        <v>0.01041666666666667</v>
      </c>
      <c r="D642" s="17" t="n">
        <v>0.3854166666666667</v>
      </c>
      <c r="E642" t="inlineStr">
        <is>
          <t>Night</t>
        </is>
      </c>
      <c r="F642" t="inlineStr">
        <is>
          <t>Jul</t>
        </is>
      </c>
      <c r="G642" s="18">
        <f>IF(D642&lt;C642,D642+1-C642,D642-C642)*24</f>
        <v/>
      </c>
      <c r="H642" s="18">
        <f>MAX(0,G642-8)</f>
        <v/>
      </c>
    </row>
    <row r="643">
      <c r="A643" t="n">
        <v>1201</v>
      </c>
      <c r="B643" s="14" t="n">
        <v>46220</v>
      </c>
      <c r="C643" s="17" t="n">
        <v>0.25</v>
      </c>
      <c r="D643" s="17" t="n">
        <v>0.5833333333333334</v>
      </c>
      <c r="E643" t="inlineStr">
        <is>
          <t>Day</t>
        </is>
      </c>
      <c r="F643" t="inlineStr">
        <is>
          <t>Jul</t>
        </is>
      </c>
      <c r="G643" s="18">
        <f>IF(D643&lt;C643,D643+1-C643,D643-C643)*24</f>
        <v/>
      </c>
      <c r="H643" s="18">
        <f>MAX(0,G643-8)</f>
        <v/>
      </c>
    </row>
    <row r="644">
      <c r="A644" t="n">
        <v>1202</v>
      </c>
      <c r="B644" s="14" t="n">
        <v>46220</v>
      </c>
      <c r="C644" s="17" t="n">
        <v>0.2708333333333333</v>
      </c>
      <c r="D644" s="17" t="n">
        <v>0.625</v>
      </c>
      <c r="E644" t="inlineStr">
        <is>
          <t>Day</t>
        </is>
      </c>
      <c r="F644" t="inlineStr">
        <is>
          <t>Jul</t>
        </is>
      </c>
      <c r="G644" s="18">
        <f>IF(D644&lt;C644,D644+1-C644,D644-C644)*24</f>
        <v/>
      </c>
      <c r="H644" s="18">
        <f>MAX(0,G644-8)</f>
        <v/>
      </c>
    </row>
    <row r="645">
      <c r="A645" t="n">
        <v>1203</v>
      </c>
      <c r="B645" s="14" t="n">
        <v>46220</v>
      </c>
      <c r="C645" s="17" t="n">
        <v>0.25</v>
      </c>
      <c r="D645" s="17" t="n">
        <v>0.6041666666666666</v>
      </c>
      <c r="E645" t="inlineStr">
        <is>
          <t>Day</t>
        </is>
      </c>
      <c r="F645" t="inlineStr">
        <is>
          <t>Jul</t>
        </is>
      </c>
      <c r="G645" s="18">
        <f>IF(D645&lt;C645,D645+1-C645,D645-C645)*24</f>
        <v/>
      </c>
      <c r="H645" s="18">
        <f>MAX(0,G645-8)</f>
        <v/>
      </c>
    </row>
    <row r="646">
      <c r="A646" t="n">
        <v>1204</v>
      </c>
      <c r="B646" s="14" t="n">
        <v>46220</v>
      </c>
      <c r="C646" s="17" t="n">
        <v>0.25</v>
      </c>
      <c r="D646" s="17" t="n">
        <v>0.6666666666666666</v>
      </c>
      <c r="E646" t="inlineStr">
        <is>
          <t>Day</t>
        </is>
      </c>
      <c r="F646" t="inlineStr">
        <is>
          <t>Jul</t>
        </is>
      </c>
      <c r="G646" s="18">
        <f>IF(D646&lt;C646,D646+1-C646,D646-C646)*24</f>
        <v/>
      </c>
      <c r="H646" s="18">
        <f>MAX(0,G646-8)</f>
        <v/>
      </c>
    </row>
    <row r="647">
      <c r="A647" t="n">
        <v>1205</v>
      </c>
      <c r="B647" s="14" t="n">
        <v>46220</v>
      </c>
      <c r="C647" s="17" t="n">
        <v>0.25</v>
      </c>
      <c r="D647" s="17" t="n">
        <v>0.6041666666666666</v>
      </c>
      <c r="E647" t="inlineStr">
        <is>
          <t>Day</t>
        </is>
      </c>
      <c r="F647" t="inlineStr">
        <is>
          <t>Jul</t>
        </is>
      </c>
      <c r="G647" s="18">
        <f>IF(D647&lt;C647,D647+1-C647,D647-C647)*24</f>
        <v/>
      </c>
      <c r="H647" s="18">
        <f>MAX(0,G647-8)</f>
        <v/>
      </c>
    </row>
    <row r="648">
      <c r="A648" t="n">
        <v>1206</v>
      </c>
      <c r="B648" s="14" t="n">
        <v>46220</v>
      </c>
      <c r="C648" s="17" t="n">
        <v>0.25</v>
      </c>
      <c r="D648" s="17" t="n">
        <v>0.5833333333333334</v>
      </c>
      <c r="E648" t="inlineStr">
        <is>
          <t>Day</t>
        </is>
      </c>
      <c r="F648" t="inlineStr">
        <is>
          <t>Jul</t>
        </is>
      </c>
      <c r="G648" s="18">
        <f>IF(D648&lt;C648,D648+1-C648,D648-C648)*24</f>
        <v/>
      </c>
      <c r="H648" s="18">
        <f>MAX(0,G648-8)</f>
        <v/>
      </c>
    </row>
    <row r="649">
      <c r="A649" t="n">
        <v>1207</v>
      </c>
      <c r="B649" s="14" t="n">
        <v>46220</v>
      </c>
      <c r="C649" s="17" t="n">
        <v>0.2708333333333333</v>
      </c>
      <c r="D649" s="17" t="n">
        <v>0.6875</v>
      </c>
      <c r="E649" t="inlineStr">
        <is>
          <t>Day</t>
        </is>
      </c>
      <c r="F649" t="inlineStr">
        <is>
          <t>Jul</t>
        </is>
      </c>
      <c r="G649" s="18">
        <f>IF(D649&lt;C649,D649+1-C649,D649-C649)*24</f>
        <v/>
      </c>
      <c r="H649" s="18">
        <f>MAX(0,G649-8)</f>
        <v/>
      </c>
    </row>
    <row r="650">
      <c r="A650" t="n">
        <v>1208</v>
      </c>
      <c r="B650" s="14" t="n">
        <v>46220</v>
      </c>
      <c r="C650" s="17" t="n">
        <v>0.25</v>
      </c>
      <c r="D650" s="17" t="n">
        <v>0.6041666666666666</v>
      </c>
      <c r="E650" t="inlineStr">
        <is>
          <t>Day</t>
        </is>
      </c>
      <c r="F650" t="inlineStr">
        <is>
          <t>Jul</t>
        </is>
      </c>
      <c r="G650" s="18">
        <f>IF(D650&lt;C650,D650+1-C650,D650-C650)*24</f>
        <v/>
      </c>
      <c r="H650" s="18">
        <f>MAX(0,G650-8)</f>
        <v/>
      </c>
    </row>
    <row r="651">
      <c r="A651" t="n">
        <v>1209</v>
      </c>
      <c r="B651" s="14" t="n">
        <v>46220</v>
      </c>
      <c r="C651" s="17" t="n">
        <v>0.25</v>
      </c>
      <c r="D651" s="17" t="n">
        <v>0.6041666666666666</v>
      </c>
      <c r="E651" t="inlineStr">
        <is>
          <t>Day</t>
        </is>
      </c>
      <c r="F651" t="inlineStr">
        <is>
          <t>Jul</t>
        </is>
      </c>
      <c r="G651" s="18">
        <f>IF(D651&lt;C651,D651+1-C651,D651-C651)*24</f>
        <v/>
      </c>
      <c r="H651" s="18">
        <f>MAX(0,G651-8)</f>
        <v/>
      </c>
    </row>
    <row r="652">
      <c r="A652" t="n">
        <v>1210</v>
      </c>
      <c r="B652" s="14" t="n">
        <v>46220</v>
      </c>
      <c r="C652" s="17" t="n">
        <v>0.2708333333333333</v>
      </c>
      <c r="D652" s="17" t="n">
        <v>0.6875</v>
      </c>
      <c r="E652" t="inlineStr">
        <is>
          <t>Day</t>
        </is>
      </c>
      <c r="F652" t="inlineStr">
        <is>
          <t>Jul</t>
        </is>
      </c>
      <c r="G652" s="18">
        <f>IF(D652&lt;C652,D652+1-C652,D652-C652)*24</f>
        <v/>
      </c>
      <c r="H652" s="18">
        <f>MAX(0,G652-8)</f>
        <v/>
      </c>
    </row>
    <row r="653">
      <c r="A653" t="n">
        <v>1211</v>
      </c>
      <c r="B653" s="14" t="n">
        <v>46220</v>
      </c>
      <c r="C653" s="17" t="n">
        <v>0.25</v>
      </c>
      <c r="D653" s="17" t="n">
        <v>0.6666666666666666</v>
      </c>
      <c r="E653" t="inlineStr">
        <is>
          <t>Day</t>
        </is>
      </c>
      <c r="F653" t="inlineStr">
        <is>
          <t>Jul</t>
        </is>
      </c>
      <c r="G653" s="18">
        <f>IF(D653&lt;C653,D653+1-C653,D653-C653)*24</f>
        <v/>
      </c>
      <c r="H653" s="18">
        <f>MAX(0,G653-8)</f>
        <v/>
      </c>
    </row>
    <row r="654">
      <c r="A654" t="n">
        <v>1212</v>
      </c>
      <c r="B654" s="14" t="n">
        <v>46220</v>
      </c>
      <c r="C654" s="17" t="n">
        <v>0.25</v>
      </c>
      <c r="D654" s="17" t="n">
        <v>0.625</v>
      </c>
      <c r="E654" t="inlineStr">
        <is>
          <t>Day</t>
        </is>
      </c>
      <c r="F654" t="inlineStr">
        <is>
          <t>Jul</t>
        </is>
      </c>
      <c r="G654" s="18">
        <f>IF(D654&lt;C654,D654+1-C654,D654-C654)*24</f>
        <v/>
      </c>
      <c r="H654" s="18">
        <f>MAX(0,G654-8)</f>
        <v/>
      </c>
    </row>
    <row r="655">
      <c r="A655" t="n">
        <v>1213</v>
      </c>
      <c r="B655" s="14" t="n">
        <v>46220</v>
      </c>
      <c r="C655" s="17" t="n">
        <v>0.25</v>
      </c>
      <c r="D655" s="17" t="n">
        <v>0.5833333333333334</v>
      </c>
      <c r="E655" t="inlineStr">
        <is>
          <t>Day</t>
        </is>
      </c>
      <c r="F655" t="inlineStr">
        <is>
          <t>Jul</t>
        </is>
      </c>
      <c r="G655" s="18">
        <f>IF(D655&lt;C655,D655+1-C655,D655-C655)*24</f>
        <v/>
      </c>
      <c r="H655" s="18">
        <f>MAX(0,G655-8)</f>
        <v/>
      </c>
    </row>
    <row r="656">
      <c r="A656" t="n">
        <v>1216</v>
      </c>
      <c r="B656" s="14" t="n">
        <v>46220</v>
      </c>
      <c r="C656" s="17" t="n">
        <v>0.25</v>
      </c>
      <c r="D656" s="17" t="n">
        <v>0.5833333333333334</v>
      </c>
      <c r="E656" t="inlineStr">
        <is>
          <t>Day</t>
        </is>
      </c>
      <c r="F656" t="inlineStr">
        <is>
          <t>Jul</t>
        </is>
      </c>
      <c r="G656" s="18">
        <f>IF(D656&lt;C656,D656+1-C656,D656-C656)*24</f>
        <v/>
      </c>
      <c r="H656" s="18">
        <f>MAX(0,G656-8)</f>
        <v/>
      </c>
    </row>
    <row r="657">
      <c r="A657" t="n">
        <v>1217</v>
      </c>
      <c r="B657" s="14" t="n">
        <v>46220</v>
      </c>
      <c r="C657" s="17" t="n">
        <v>0.25</v>
      </c>
      <c r="D657" s="17" t="n">
        <v>0.6666666666666666</v>
      </c>
      <c r="E657" t="inlineStr">
        <is>
          <t>Day</t>
        </is>
      </c>
      <c r="F657" t="inlineStr">
        <is>
          <t>Jul</t>
        </is>
      </c>
      <c r="G657" s="18">
        <f>IF(D657&lt;C657,D657+1-C657,D657-C657)*24</f>
        <v/>
      </c>
      <c r="H657" s="18">
        <f>MAX(0,G657-8)</f>
        <v/>
      </c>
    </row>
    <row r="658">
      <c r="A658" t="n">
        <v>1218</v>
      </c>
      <c r="B658" s="14" t="n">
        <v>46220</v>
      </c>
      <c r="C658" s="17" t="n">
        <v>0.25</v>
      </c>
      <c r="D658" s="17" t="n">
        <v>0.625</v>
      </c>
      <c r="E658" t="inlineStr">
        <is>
          <t>Day</t>
        </is>
      </c>
      <c r="F658" t="inlineStr">
        <is>
          <t>Jul</t>
        </is>
      </c>
      <c r="G658" s="18">
        <f>IF(D658&lt;C658,D658+1-C658,D658-C658)*24</f>
        <v/>
      </c>
      <c r="H658" s="18">
        <f>MAX(0,G658-8)</f>
        <v/>
      </c>
    </row>
    <row r="659">
      <c r="A659" t="n">
        <v>1220</v>
      </c>
      <c r="B659" s="14" t="n">
        <v>46220</v>
      </c>
      <c r="C659" s="17" t="n">
        <v>0.25</v>
      </c>
      <c r="D659" s="17" t="n">
        <v>0.5833333333333334</v>
      </c>
      <c r="E659" t="inlineStr">
        <is>
          <t>Day</t>
        </is>
      </c>
      <c r="F659" t="inlineStr">
        <is>
          <t>Jul</t>
        </is>
      </c>
      <c r="G659" s="18">
        <f>IF(D659&lt;C659,D659+1-C659,D659-C659)*24</f>
        <v/>
      </c>
      <c r="H659" s="18">
        <f>MAX(0,G659-8)</f>
        <v/>
      </c>
    </row>
    <row r="660">
      <c r="A660" t="n">
        <v>1101</v>
      </c>
      <c r="B660" s="14" t="n">
        <v>46223</v>
      </c>
      <c r="C660" s="17" t="n">
        <v>0.9166666666666666</v>
      </c>
      <c r="D660" s="17" t="n">
        <v>0.25</v>
      </c>
      <c r="E660" t="inlineStr">
        <is>
          <t>Night</t>
        </is>
      </c>
      <c r="F660" t="inlineStr">
        <is>
          <t>Jul</t>
        </is>
      </c>
      <c r="G660" s="18">
        <f>IF(D660&lt;C660,D660+1-C660,D660-C660)*24</f>
        <v/>
      </c>
      <c r="H660" s="18">
        <f>MAX(0,G660-8)</f>
        <v/>
      </c>
    </row>
    <row r="661">
      <c r="A661" t="n">
        <v>1102</v>
      </c>
      <c r="B661" s="14" t="n">
        <v>46223</v>
      </c>
      <c r="C661" s="17" t="n">
        <v>0.9166666666666666</v>
      </c>
      <c r="D661" s="17" t="n">
        <v>0.25</v>
      </c>
      <c r="E661" t="inlineStr">
        <is>
          <t>Night</t>
        </is>
      </c>
      <c r="F661" t="inlineStr">
        <is>
          <t>Jul</t>
        </is>
      </c>
      <c r="G661" s="18">
        <f>IF(D661&lt;C661,D661+1-C661,D661-C661)*24</f>
        <v/>
      </c>
      <c r="H661" s="18">
        <f>MAX(0,G661-8)</f>
        <v/>
      </c>
    </row>
    <row r="662">
      <c r="A662" t="n">
        <v>1103</v>
      </c>
      <c r="B662" s="14" t="n">
        <v>46223</v>
      </c>
      <c r="C662" s="17" t="n">
        <v>0.9166666666666666</v>
      </c>
      <c r="D662" s="17" t="n">
        <v>0.2708333333333333</v>
      </c>
      <c r="E662" t="inlineStr">
        <is>
          <t>Night</t>
        </is>
      </c>
      <c r="F662" t="inlineStr">
        <is>
          <t>Jul</t>
        </is>
      </c>
      <c r="G662" s="18">
        <f>IF(D662&lt;C662,D662+1-C662,D662-C662)*24</f>
        <v/>
      </c>
      <c r="H662" s="18">
        <f>MAX(0,G662-8)</f>
        <v/>
      </c>
    </row>
    <row r="663">
      <c r="A663" t="n">
        <v>1104</v>
      </c>
      <c r="B663" s="14" t="n">
        <v>46223</v>
      </c>
      <c r="C663" s="17" t="n">
        <v>0.9375</v>
      </c>
      <c r="D663" s="17" t="n">
        <v>0.3958333333333333</v>
      </c>
      <c r="E663" t="inlineStr">
        <is>
          <t>Night</t>
        </is>
      </c>
      <c r="F663" t="inlineStr">
        <is>
          <t>Jul</t>
        </is>
      </c>
      <c r="G663" s="18">
        <f>IF(D663&lt;C663,D663+1-C663,D663-C663)*24</f>
        <v/>
      </c>
      <c r="H663" s="18">
        <f>MAX(0,G663-8)</f>
        <v/>
      </c>
    </row>
    <row r="664">
      <c r="A664" t="n">
        <v>1106</v>
      </c>
      <c r="B664" s="14" t="n">
        <v>46223</v>
      </c>
      <c r="C664" s="17" t="n">
        <v>0.9166666666666666</v>
      </c>
      <c r="D664" s="17" t="n">
        <v>0.25</v>
      </c>
      <c r="E664" t="inlineStr">
        <is>
          <t>Night</t>
        </is>
      </c>
      <c r="F664" t="inlineStr">
        <is>
          <t>Jul</t>
        </is>
      </c>
      <c r="G664" s="18">
        <f>IF(D664&lt;C664,D664+1-C664,D664-C664)*24</f>
        <v/>
      </c>
      <c r="H664" s="18">
        <f>MAX(0,G664-8)</f>
        <v/>
      </c>
    </row>
    <row r="665">
      <c r="A665" t="n">
        <v>1107</v>
      </c>
      <c r="B665" s="14" t="n">
        <v>46223</v>
      </c>
      <c r="C665" s="17" t="n">
        <v>0.9270833333333334</v>
      </c>
      <c r="D665" s="17" t="n">
        <v>0.3854166666666667</v>
      </c>
      <c r="E665" t="inlineStr">
        <is>
          <t>Night</t>
        </is>
      </c>
      <c r="F665" t="inlineStr">
        <is>
          <t>Jul</t>
        </is>
      </c>
      <c r="G665" s="18">
        <f>IF(D665&lt;C665,D665+1-C665,D665-C665)*24</f>
        <v/>
      </c>
      <c r="H665" s="18">
        <f>MAX(0,G665-8)</f>
        <v/>
      </c>
    </row>
    <row r="666">
      <c r="A666" t="n">
        <v>1109</v>
      </c>
      <c r="B666" s="14" t="n">
        <v>46223</v>
      </c>
      <c r="C666" s="17" t="n">
        <v>0.9166666666666666</v>
      </c>
      <c r="D666" s="17" t="n">
        <v>0.3958333333333333</v>
      </c>
      <c r="E666" t="inlineStr">
        <is>
          <t>Night</t>
        </is>
      </c>
      <c r="F666" t="inlineStr">
        <is>
          <t>Jul</t>
        </is>
      </c>
      <c r="G666" s="18">
        <f>IF(D666&lt;C666,D666+1-C666,D666-C666)*24</f>
        <v/>
      </c>
      <c r="H666" s="18">
        <f>MAX(0,G666-8)</f>
        <v/>
      </c>
    </row>
    <row r="667">
      <c r="A667" t="n">
        <v>1110</v>
      </c>
      <c r="B667" s="14" t="n">
        <v>46223</v>
      </c>
      <c r="C667" s="17" t="n">
        <v>0.9166666666666666</v>
      </c>
      <c r="D667" s="17" t="n">
        <v>0.25</v>
      </c>
      <c r="E667" t="inlineStr">
        <is>
          <t>Night</t>
        </is>
      </c>
      <c r="F667" t="inlineStr">
        <is>
          <t>Jul</t>
        </is>
      </c>
      <c r="G667" s="18">
        <f>IF(D667&lt;C667,D667+1-C667,D667-C667)*24</f>
        <v/>
      </c>
      <c r="H667" s="18">
        <f>MAX(0,G667-8)</f>
        <v/>
      </c>
    </row>
    <row r="668">
      <c r="A668" t="n">
        <v>1111</v>
      </c>
      <c r="B668" s="14" t="n">
        <v>46223</v>
      </c>
      <c r="C668" s="17" t="n">
        <v>0.9375</v>
      </c>
      <c r="D668" s="17" t="n">
        <v>0.3125</v>
      </c>
      <c r="E668" t="inlineStr">
        <is>
          <t>Night</t>
        </is>
      </c>
      <c r="F668" t="inlineStr">
        <is>
          <t>Jul</t>
        </is>
      </c>
      <c r="G668" s="18">
        <f>IF(D668&lt;C668,D668+1-C668,D668-C668)*24</f>
        <v/>
      </c>
      <c r="H668" s="18">
        <f>MAX(0,G668-8)</f>
        <v/>
      </c>
    </row>
    <row r="669">
      <c r="A669" t="n">
        <v>1112</v>
      </c>
      <c r="B669" s="14" t="n">
        <v>46223</v>
      </c>
      <c r="C669" s="17" t="n">
        <v>0.9375</v>
      </c>
      <c r="D669" s="17" t="n">
        <v>0.375</v>
      </c>
      <c r="E669" t="inlineStr">
        <is>
          <t>Night</t>
        </is>
      </c>
      <c r="F669" t="inlineStr">
        <is>
          <t>Jul</t>
        </is>
      </c>
      <c r="G669" s="18">
        <f>IF(D669&lt;C669,D669+1-C669,D669-C669)*24</f>
        <v/>
      </c>
      <c r="H669" s="18">
        <f>MAX(0,G669-8)</f>
        <v/>
      </c>
    </row>
    <row r="670">
      <c r="A670" t="n">
        <v>1113</v>
      </c>
      <c r="B670" s="14" t="n">
        <v>46223</v>
      </c>
      <c r="C670" s="17" t="n">
        <v>0.9270833333333334</v>
      </c>
      <c r="D670" s="17" t="n">
        <v>0.3854166666666667</v>
      </c>
      <c r="E670" t="inlineStr">
        <is>
          <t>Night</t>
        </is>
      </c>
      <c r="F670" t="inlineStr">
        <is>
          <t>Jul</t>
        </is>
      </c>
      <c r="G670" s="18">
        <f>IF(D670&lt;C670,D670+1-C670,D670-C670)*24</f>
        <v/>
      </c>
      <c r="H670" s="18">
        <f>MAX(0,G670-8)</f>
        <v/>
      </c>
    </row>
    <row r="671">
      <c r="A671" t="n">
        <v>1114</v>
      </c>
      <c r="B671" s="14" t="n">
        <v>46223</v>
      </c>
      <c r="C671" s="17" t="n">
        <v>0.9270833333333334</v>
      </c>
      <c r="D671" s="17" t="n">
        <v>0.28125</v>
      </c>
      <c r="E671" t="inlineStr">
        <is>
          <t>Night</t>
        </is>
      </c>
      <c r="F671" t="inlineStr">
        <is>
          <t>Jul</t>
        </is>
      </c>
      <c r="G671" s="18">
        <f>IF(D671&lt;C671,D671+1-C671,D671-C671)*24</f>
        <v/>
      </c>
      <c r="H671" s="18">
        <f>MAX(0,G671-8)</f>
        <v/>
      </c>
    </row>
    <row r="672">
      <c r="A672" t="n">
        <v>1116</v>
      </c>
      <c r="B672" s="14" t="n">
        <v>46223</v>
      </c>
      <c r="C672" s="17" t="n">
        <v>0.9270833333333334</v>
      </c>
      <c r="D672" s="17" t="n">
        <v>0.3854166666666667</v>
      </c>
      <c r="E672" t="inlineStr">
        <is>
          <t>Night</t>
        </is>
      </c>
      <c r="F672" t="inlineStr">
        <is>
          <t>Jul</t>
        </is>
      </c>
      <c r="G672" s="18">
        <f>IF(D672&lt;C672,D672+1-C672,D672-C672)*24</f>
        <v/>
      </c>
      <c r="H672" s="18">
        <f>MAX(0,G672-8)</f>
        <v/>
      </c>
    </row>
    <row r="673">
      <c r="A673" t="n">
        <v>1117</v>
      </c>
      <c r="B673" s="14" t="n">
        <v>46223</v>
      </c>
      <c r="C673" s="17" t="n">
        <v>0.9166666666666666</v>
      </c>
      <c r="D673" s="17" t="n">
        <v>0.3541666666666667</v>
      </c>
      <c r="E673" t="inlineStr">
        <is>
          <t>Night</t>
        </is>
      </c>
      <c r="F673" t="inlineStr">
        <is>
          <t>Jul</t>
        </is>
      </c>
      <c r="G673" s="18">
        <f>IF(D673&lt;C673,D673+1-C673,D673-C673)*24</f>
        <v/>
      </c>
      <c r="H673" s="18">
        <f>MAX(0,G673-8)</f>
        <v/>
      </c>
    </row>
    <row r="674">
      <c r="A674" t="n">
        <v>1118</v>
      </c>
      <c r="B674" s="14" t="n">
        <v>46223</v>
      </c>
      <c r="C674" s="17" t="n">
        <v>0.9166666666666666</v>
      </c>
      <c r="D674" s="17" t="n">
        <v>0.3541666666666667</v>
      </c>
      <c r="E674" t="inlineStr">
        <is>
          <t>Night</t>
        </is>
      </c>
      <c r="F674" t="inlineStr">
        <is>
          <t>Jul</t>
        </is>
      </c>
      <c r="G674" s="18">
        <f>IF(D674&lt;C674,D674+1-C674,D674-C674)*24</f>
        <v/>
      </c>
      <c r="H674" s="18">
        <f>MAX(0,G674-8)</f>
        <v/>
      </c>
    </row>
    <row r="675">
      <c r="A675" t="n">
        <v>1119</v>
      </c>
      <c r="B675" s="14" t="n">
        <v>46223</v>
      </c>
      <c r="C675" s="17" t="n">
        <v>0.9166666666666666</v>
      </c>
      <c r="D675" s="17" t="n">
        <v>0.3333333333333333</v>
      </c>
      <c r="E675" t="inlineStr">
        <is>
          <t>Night</t>
        </is>
      </c>
      <c r="F675" t="inlineStr">
        <is>
          <t>Jul</t>
        </is>
      </c>
      <c r="G675" s="18">
        <f>IF(D675&lt;C675,D675+1-C675,D675-C675)*24</f>
        <v/>
      </c>
      <c r="H675" s="18">
        <f>MAX(0,G675-8)</f>
        <v/>
      </c>
    </row>
    <row r="676">
      <c r="A676" t="n">
        <v>1120</v>
      </c>
      <c r="B676" s="14" t="n">
        <v>46223</v>
      </c>
      <c r="C676" s="17" t="n">
        <v>0.9166666666666666</v>
      </c>
      <c r="D676" s="17" t="n">
        <v>0.2916666666666667</v>
      </c>
      <c r="E676" t="inlineStr">
        <is>
          <t>Night</t>
        </is>
      </c>
      <c r="F676" t="inlineStr">
        <is>
          <t>Jul</t>
        </is>
      </c>
      <c r="G676" s="18">
        <f>IF(D676&lt;C676,D676+1-C676,D676-C676)*24</f>
        <v/>
      </c>
      <c r="H676" s="18">
        <f>MAX(0,G676-8)</f>
        <v/>
      </c>
    </row>
    <row r="677">
      <c r="A677" t="n">
        <v>1121</v>
      </c>
      <c r="B677" s="14" t="n">
        <v>46223</v>
      </c>
      <c r="C677" s="17" t="n">
        <v>0.9270833333333334</v>
      </c>
      <c r="D677" s="17" t="n">
        <v>0.2604166666666667</v>
      </c>
      <c r="E677" t="inlineStr">
        <is>
          <t>Night</t>
        </is>
      </c>
      <c r="F677" t="inlineStr">
        <is>
          <t>Jul</t>
        </is>
      </c>
      <c r="G677" s="18">
        <f>IF(D677&lt;C677,D677+1-C677,D677-C677)*24</f>
        <v/>
      </c>
      <c r="H677" s="18">
        <f>MAX(0,G677-8)</f>
        <v/>
      </c>
    </row>
    <row r="678">
      <c r="A678" t="n">
        <v>1123</v>
      </c>
      <c r="B678" s="14" t="n">
        <v>46223</v>
      </c>
      <c r="C678" s="17" t="n">
        <v>0.9166666666666666</v>
      </c>
      <c r="D678" s="17" t="n">
        <v>0.375</v>
      </c>
      <c r="E678" t="inlineStr">
        <is>
          <t>Night</t>
        </is>
      </c>
      <c r="F678" t="inlineStr">
        <is>
          <t>Jul</t>
        </is>
      </c>
      <c r="G678" s="18">
        <f>IF(D678&lt;C678,D678+1-C678,D678-C678)*24</f>
        <v/>
      </c>
      <c r="H678" s="18">
        <f>MAX(0,G678-8)</f>
        <v/>
      </c>
    </row>
    <row r="679">
      <c r="A679" t="n">
        <v>1124</v>
      </c>
      <c r="B679" s="14" t="n">
        <v>46223</v>
      </c>
      <c r="C679" s="17" t="n">
        <v>0.9166666666666666</v>
      </c>
      <c r="D679" s="17" t="n">
        <v>0.2916666666666667</v>
      </c>
      <c r="E679" t="inlineStr">
        <is>
          <t>Night</t>
        </is>
      </c>
      <c r="F679" t="inlineStr">
        <is>
          <t>Jul</t>
        </is>
      </c>
      <c r="G679" s="18">
        <f>IF(D679&lt;C679,D679+1-C679,D679-C679)*24</f>
        <v/>
      </c>
      <c r="H679" s="18">
        <f>MAX(0,G679-8)</f>
        <v/>
      </c>
    </row>
    <row r="680">
      <c r="A680" t="n">
        <v>1126</v>
      </c>
      <c r="B680" s="14" t="n">
        <v>46223</v>
      </c>
      <c r="C680" s="17" t="n">
        <v>0.9166666666666666</v>
      </c>
      <c r="D680" s="17" t="n">
        <v>0.2708333333333333</v>
      </c>
      <c r="E680" t="inlineStr">
        <is>
          <t>Night</t>
        </is>
      </c>
      <c r="F680" t="inlineStr">
        <is>
          <t>Jul</t>
        </is>
      </c>
      <c r="G680" s="18">
        <f>IF(D680&lt;C680,D680+1-C680,D680-C680)*24</f>
        <v/>
      </c>
      <c r="H680" s="18">
        <f>MAX(0,G680-8)</f>
        <v/>
      </c>
    </row>
    <row r="681">
      <c r="A681" t="n">
        <v>1128</v>
      </c>
      <c r="B681" s="14" t="n">
        <v>46223</v>
      </c>
      <c r="C681" s="17" t="n">
        <v>0.9375</v>
      </c>
      <c r="D681" s="17" t="n">
        <v>0.3541666666666667</v>
      </c>
      <c r="E681" t="inlineStr">
        <is>
          <t>Night</t>
        </is>
      </c>
      <c r="F681" t="inlineStr">
        <is>
          <t>Jul</t>
        </is>
      </c>
      <c r="G681" s="18">
        <f>IF(D681&lt;C681,D681+1-C681,D681-C681)*24</f>
        <v/>
      </c>
      <c r="H681" s="18">
        <f>MAX(0,G681-8)</f>
        <v/>
      </c>
    </row>
    <row r="682">
      <c r="A682" t="n">
        <v>1129</v>
      </c>
      <c r="B682" s="14" t="n">
        <v>46223</v>
      </c>
      <c r="C682" s="17" t="n">
        <v>0.9166666666666666</v>
      </c>
      <c r="D682" s="17" t="n">
        <v>0.3333333333333333</v>
      </c>
      <c r="E682" t="inlineStr">
        <is>
          <t>Night</t>
        </is>
      </c>
      <c r="F682" t="inlineStr">
        <is>
          <t>Jul</t>
        </is>
      </c>
      <c r="G682" s="18">
        <f>IF(D682&lt;C682,D682+1-C682,D682-C682)*24</f>
        <v/>
      </c>
      <c r="H682" s="18">
        <f>MAX(0,G682-8)</f>
        <v/>
      </c>
    </row>
    <row r="683">
      <c r="A683" t="n">
        <v>1130</v>
      </c>
      <c r="B683" s="14" t="n">
        <v>46223</v>
      </c>
      <c r="C683" s="17" t="n">
        <v>0.9166666666666666</v>
      </c>
      <c r="D683" s="17" t="n">
        <v>0.2708333333333333</v>
      </c>
      <c r="E683" t="inlineStr">
        <is>
          <t>Night</t>
        </is>
      </c>
      <c r="F683" t="inlineStr">
        <is>
          <t>Jul</t>
        </is>
      </c>
      <c r="G683" s="18">
        <f>IF(D683&lt;C683,D683+1-C683,D683-C683)*24</f>
        <v/>
      </c>
      <c r="H683" s="18">
        <f>MAX(0,G683-8)</f>
        <v/>
      </c>
    </row>
    <row r="684">
      <c r="A684" t="n">
        <v>1136</v>
      </c>
      <c r="B684" s="14" t="n">
        <v>46223</v>
      </c>
      <c r="C684" s="17" t="n">
        <v>0.9166666666666666</v>
      </c>
      <c r="D684" s="17" t="n">
        <v>0.3333333333333333</v>
      </c>
      <c r="E684" t="inlineStr">
        <is>
          <t>Night</t>
        </is>
      </c>
      <c r="F684" t="inlineStr">
        <is>
          <t>Jul</t>
        </is>
      </c>
      <c r="G684" s="18">
        <f>IF(D684&lt;C684,D684+1-C684,D684-C684)*24</f>
        <v/>
      </c>
      <c r="H684" s="18">
        <f>MAX(0,G684-8)</f>
        <v/>
      </c>
    </row>
    <row r="685">
      <c r="A685" t="n">
        <v>1137</v>
      </c>
      <c r="B685" s="14" t="n">
        <v>46223</v>
      </c>
      <c r="C685" s="17" t="n">
        <v>0.9166666666666666</v>
      </c>
      <c r="D685" s="17" t="n">
        <v>0.375</v>
      </c>
      <c r="E685" t="inlineStr">
        <is>
          <t>Night</t>
        </is>
      </c>
      <c r="F685" t="inlineStr">
        <is>
          <t>Jul</t>
        </is>
      </c>
      <c r="G685" s="18">
        <f>IF(D685&lt;C685,D685+1-C685,D685-C685)*24</f>
        <v/>
      </c>
      <c r="H685" s="18">
        <f>MAX(0,G685-8)</f>
        <v/>
      </c>
    </row>
    <row r="686">
      <c r="A686" t="n">
        <v>1147</v>
      </c>
      <c r="B686" s="14" t="n">
        <v>46223</v>
      </c>
      <c r="C686" s="17" t="n">
        <v>0.9270833333333334</v>
      </c>
      <c r="D686" s="17" t="n">
        <v>0.2604166666666667</v>
      </c>
      <c r="E686" t="inlineStr">
        <is>
          <t>Night</t>
        </is>
      </c>
      <c r="F686" t="inlineStr">
        <is>
          <t>Jul</t>
        </is>
      </c>
      <c r="G686" s="18">
        <f>IF(D686&lt;C686,D686+1-C686,D686-C686)*24</f>
        <v/>
      </c>
      <c r="H686" s="18">
        <f>MAX(0,G686-8)</f>
        <v/>
      </c>
    </row>
    <row r="687">
      <c r="A687" t="n">
        <v>1108</v>
      </c>
      <c r="B687" s="14" t="n">
        <v>46223</v>
      </c>
      <c r="C687" s="17" t="n">
        <v>0.01041666666666667</v>
      </c>
      <c r="D687" s="17" t="n">
        <v>0.4479166666666667</v>
      </c>
      <c r="E687" t="inlineStr">
        <is>
          <t>Night</t>
        </is>
      </c>
      <c r="F687" t="inlineStr">
        <is>
          <t>Jul</t>
        </is>
      </c>
      <c r="G687" s="18">
        <f>IF(D687&lt;C687,D687+1-C687,D687-C687)*24</f>
        <v/>
      </c>
      <c r="H687" s="18">
        <f>MAX(0,G687-8)</f>
        <v/>
      </c>
    </row>
    <row r="688">
      <c r="A688" t="n">
        <v>1122</v>
      </c>
      <c r="B688" s="14" t="n">
        <v>46223</v>
      </c>
      <c r="C688" s="17" t="n">
        <v>0.01041666666666667</v>
      </c>
      <c r="D688" s="17" t="n">
        <v>0.40625</v>
      </c>
      <c r="E688" t="inlineStr">
        <is>
          <t>Night</t>
        </is>
      </c>
      <c r="F688" t="inlineStr">
        <is>
          <t>Jul</t>
        </is>
      </c>
      <c r="G688" s="18">
        <f>IF(D688&lt;C688,D688+1-C688,D688-C688)*24</f>
        <v/>
      </c>
      <c r="H688" s="18">
        <f>MAX(0,G688-8)</f>
        <v/>
      </c>
    </row>
    <row r="689">
      <c r="A689" t="n">
        <v>1125</v>
      </c>
      <c r="B689" s="14" t="n">
        <v>46223</v>
      </c>
      <c r="C689" s="17" t="n">
        <v>0.02083333333333333</v>
      </c>
      <c r="D689" s="17" t="n">
        <v>0.4166666666666667</v>
      </c>
      <c r="E689" t="inlineStr">
        <is>
          <t>Night</t>
        </is>
      </c>
      <c r="F689" t="inlineStr">
        <is>
          <t>Jul</t>
        </is>
      </c>
      <c r="G689" s="18">
        <f>IF(D689&lt;C689,D689+1-C689,D689-C689)*24</f>
        <v/>
      </c>
      <c r="H689" s="18">
        <f>MAX(0,G689-8)</f>
        <v/>
      </c>
    </row>
    <row r="690">
      <c r="A690" t="n">
        <v>1132</v>
      </c>
      <c r="B690" s="14" t="n">
        <v>46223</v>
      </c>
      <c r="C690" s="17" t="n">
        <v>0.02083333333333333</v>
      </c>
      <c r="D690" s="17" t="n">
        <v>0.4583333333333333</v>
      </c>
      <c r="E690" t="inlineStr">
        <is>
          <t>Night</t>
        </is>
      </c>
      <c r="F690" t="inlineStr">
        <is>
          <t>Jul</t>
        </is>
      </c>
      <c r="G690" s="18">
        <f>IF(D690&lt;C690,D690+1-C690,D690-C690)*24</f>
        <v/>
      </c>
      <c r="H690" s="18">
        <f>MAX(0,G690-8)</f>
        <v/>
      </c>
    </row>
    <row r="691">
      <c r="A691" t="n">
        <v>1133</v>
      </c>
      <c r="B691" s="14" t="n">
        <v>46223</v>
      </c>
      <c r="C691" s="17" t="n">
        <v>0.01041666666666667</v>
      </c>
      <c r="D691" s="17" t="n">
        <v>0.4270833333333333</v>
      </c>
      <c r="E691" t="inlineStr">
        <is>
          <t>Night</t>
        </is>
      </c>
      <c r="F691" t="inlineStr">
        <is>
          <t>Jul</t>
        </is>
      </c>
      <c r="G691" s="18">
        <f>IF(D691&lt;C691,D691+1-C691,D691-C691)*24</f>
        <v/>
      </c>
      <c r="H691" s="18">
        <f>MAX(0,G691-8)</f>
        <v/>
      </c>
    </row>
    <row r="692">
      <c r="A692" t="n">
        <v>1135</v>
      </c>
      <c r="B692" s="14" t="n">
        <v>46223</v>
      </c>
      <c r="C692" s="17" t="n">
        <v>0.02083333333333333</v>
      </c>
      <c r="D692" s="17" t="n">
        <v>0.375</v>
      </c>
      <c r="E692" t="inlineStr">
        <is>
          <t>Night</t>
        </is>
      </c>
      <c r="F692" t="inlineStr">
        <is>
          <t>Jul</t>
        </is>
      </c>
      <c r="G692" s="18">
        <f>IF(D692&lt;C692,D692+1-C692,D692-C692)*24</f>
        <v/>
      </c>
      <c r="H692" s="18">
        <f>MAX(0,G692-8)</f>
        <v/>
      </c>
    </row>
    <row r="693">
      <c r="A693" t="n">
        <v>1201</v>
      </c>
      <c r="B693" s="14" t="n">
        <v>46223</v>
      </c>
      <c r="C693" s="17" t="n">
        <v>0.25</v>
      </c>
      <c r="D693" s="17" t="n">
        <v>0.5833333333333334</v>
      </c>
      <c r="E693" t="inlineStr">
        <is>
          <t>Day</t>
        </is>
      </c>
      <c r="F693" t="inlineStr">
        <is>
          <t>Jul</t>
        </is>
      </c>
      <c r="G693" s="18">
        <f>IF(D693&lt;C693,D693+1-C693,D693-C693)*24</f>
        <v/>
      </c>
      <c r="H693" s="18">
        <f>MAX(0,G693-8)</f>
        <v/>
      </c>
    </row>
    <row r="694">
      <c r="A694" t="n">
        <v>1202</v>
      </c>
      <c r="B694" s="14" t="n">
        <v>46223</v>
      </c>
      <c r="C694" s="17" t="n">
        <v>0.25</v>
      </c>
      <c r="D694" s="17" t="n">
        <v>0.5833333333333334</v>
      </c>
      <c r="E694" t="inlineStr">
        <is>
          <t>Day</t>
        </is>
      </c>
      <c r="F694" t="inlineStr">
        <is>
          <t>Jul</t>
        </is>
      </c>
      <c r="G694" s="18">
        <f>IF(D694&lt;C694,D694+1-C694,D694-C694)*24</f>
        <v/>
      </c>
      <c r="H694" s="18">
        <f>MAX(0,G694-8)</f>
        <v/>
      </c>
    </row>
    <row r="695">
      <c r="A695" t="n">
        <v>1203</v>
      </c>
      <c r="B695" s="14" t="n">
        <v>46223</v>
      </c>
      <c r="C695" s="17" t="n">
        <v>0.25</v>
      </c>
      <c r="D695" s="17" t="n">
        <v>0.625</v>
      </c>
      <c r="E695" t="inlineStr">
        <is>
          <t>Day</t>
        </is>
      </c>
      <c r="F695" t="inlineStr">
        <is>
          <t>Jul</t>
        </is>
      </c>
      <c r="G695" s="18">
        <f>IF(D695&lt;C695,D695+1-C695,D695-C695)*24</f>
        <v/>
      </c>
      <c r="H695" s="18">
        <f>MAX(0,G695-8)</f>
        <v/>
      </c>
    </row>
    <row r="696">
      <c r="A696" t="n">
        <v>1204</v>
      </c>
      <c r="B696" s="14" t="n">
        <v>46223</v>
      </c>
      <c r="C696" s="17" t="n">
        <v>0.2708333333333333</v>
      </c>
      <c r="D696" s="17" t="n">
        <v>0.625</v>
      </c>
      <c r="E696" t="inlineStr">
        <is>
          <t>Day</t>
        </is>
      </c>
      <c r="F696" t="inlineStr">
        <is>
          <t>Jul</t>
        </is>
      </c>
      <c r="G696" s="18">
        <f>IF(D696&lt;C696,D696+1-C696,D696-C696)*24</f>
        <v/>
      </c>
      <c r="H696" s="18">
        <f>MAX(0,G696-8)</f>
        <v/>
      </c>
    </row>
    <row r="697">
      <c r="A697" t="n">
        <v>1205</v>
      </c>
      <c r="B697" s="14" t="n">
        <v>46223</v>
      </c>
      <c r="C697" s="17" t="n">
        <v>0.25</v>
      </c>
      <c r="D697" s="17" t="n">
        <v>0.6041666666666666</v>
      </c>
      <c r="E697" t="inlineStr">
        <is>
          <t>Day</t>
        </is>
      </c>
      <c r="F697" t="inlineStr">
        <is>
          <t>Jul</t>
        </is>
      </c>
      <c r="G697" s="18">
        <f>IF(D697&lt;C697,D697+1-C697,D697-C697)*24</f>
        <v/>
      </c>
      <c r="H697" s="18">
        <f>MAX(0,G697-8)</f>
        <v/>
      </c>
    </row>
    <row r="698">
      <c r="A698" t="n">
        <v>1206</v>
      </c>
      <c r="B698" s="14" t="n">
        <v>46223</v>
      </c>
      <c r="C698" s="17" t="n">
        <v>0.25</v>
      </c>
      <c r="D698" s="17" t="n">
        <v>0.6666666666666666</v>
      </c>
      <c r="E698" t="inlineStr">
        <is>
          <t>Day</t>
        </is>
      </c>
      <c r="F698" t="inlineStr">
        <is>
          <t>Jul</t>
        </is>
      </c>
      <c r="G698" s="18">
        <f>IF(D698&lt;C698,D698+1-C698,D698-C698)*24</f>
        <v/>
      </c>
      <c r="H698" s="18">
        <f>MAX(0,G698-8)</f>
        <v/>
      </c>
    </row>
    <row r="699">
      <c r="A699" t="n">
        <v>1207</v>
      </c>
      <c r="B699" s="14" t="n">
        <v>46223</v>
      </c>
      <c r="C699" s="17" t="n">
        <v>0.25</v>
      </c>
      <c r="D699" s="17" t="n">
        <v>0.625</v>
      </c>
      <c r="E699" t="inlineStr">
        <is>
          <t>Day</t>
        </is>
      </c>
      <c r="F699" t="inlineStr">
        <is>
          <t>Jul</t>
        </is>
      </c>
      <c r="G699" s="18">
        <f>IF(D699&lt;C699,D699+1-C699,D699-C699)*24</f>
        <v/>
      </c>
      <c r="H699" s="18">
        <f>MAX(0,G699-8)</f>
        <v/>
      </c>
    </row>
    <row r="700">
      <c r="A700" t="n">
        <v>1209</v>
      </c>
      <c r="B700" s="14" t="n">
        <v>46223</v>
      </c>
      <c r="C700" s="17" t="n">
        <v>0.25</v>
      </c>
      <c r="D700" s="17" t="n">
        <v>0.5833333333333334</v>
      </c>
      <c r="E700" t="inlineStr">
        <is>
          <t>Day</t>
        </is>
      </c>
      <c r="F700" t="inlineStr">
        <is>
          <t>Jul</t>
        </is>
      </c>
      <c r="G700" s="18">
        <f>IF(D700&lt;C700,D700+1-C700,D700-C700)*24</f>
        <v/>
      </c>
      <c r="H700" s="18">
        <f>MAX(0,G700-8)</f>
        <v/>
      </c>
    </row>
    <row r="701">
      <c r="A701" t="n">
        <v>1210</v>
      </c>
      <c r="B701" s="14" t="n">
        <v>46223</v>
      </c>
      <c r="C701" s="17" t="n">
        <v>0.2708333333333333</v>
      </c>
      <c r="D701" s="17" t="n">
        <v>0.625</v>
      </c>
      <c r="E701" t="inlineStr">
        <is>
          <t>Day</t>
        </is>
      </c>
      <c r="F701" t="inlineStr">
        <is>
          <t>Jul</t>
        </is>
      </c>
      <c r="G701" s="18">
        <f>IF(D701&lt;C701,D701+1-C701,D701-C701)*24</f>
        <v/>
      </c>
      <c r="H701" s="18">
        <f>MAX(0,G701-8)</f>
        <v/>
      </c>
    </row>
    <row r="702">
      <c r="A702" t="n">
        <v>1211</v>
      </c>
      <c r="B702" s="14" t="n">
        <v>46223</v>
      </c>
      <c r="C702" s="17" t="n">
        <v>0.25</v>
      </c>
      <c r="D702" s="17" t="n">
        <v>0.6666666666666666</v>
      </c>
      <c r="E702" t="inlineStr">
        <is>
          <t>Day</t>
        </is>
      </c>
      <c r="F702" t="inlineStr">
        <is>
          <t>Jul</t>
        </is>
      </c>
      <c r="G702" s="18">
        <f>IF(D702&lt;C702,D702+1-C702,D702-C702)*24</f>
        <v/>
      </c>
      <c r="H702" s="18">
        <f>MAX(0,G702-8)</f>
        <v/>
      </c>
    </row>
    <row r="703">
      <c r="A703" t="n">
        <v>1212</v>
      </c>
      <c r="B703" s="14" t="n">
        <v>46223</v>
      </c>
      <c r="C703" s="17" t="n">
        <v>0.25</v>
      </c>
      <c r="D703" s="17" t="n">
        <v>0.6666666666666666</v>
      </c>
      <c r="E703" t="inlineStr">
        <is>
          <t>Day</t>
        </is>
      </c>
      <c r="F703" t="inlineStr">
        <is>
          <t>Jul</t>
        </is>
      </c>
      <c r="G703" s="18">
        <f>IF(D703&lt;C703,D703+1-C703,D703-C703)*24</f>
        <v/>
      </c>
      <c r="H703" s="18">
        <f>MAX(0,G703-8)</f>
        <v/>
      </c>
    </row>
    <row r="704">
      <c r="A704" t="n">
        <v>1213</v>
      </c>
      <c r="B704" s="14" t="n">
        <v>46223</v>
      </c>
      <c r="C704" s="17" t="n">
        <v>0.25</v>
      </c>
      <c r="D704" s="17" t="n">
        <v>0.6041666666666666</v>
      </c>
      <c r="E704" t="inlineStr">
        <is>
          <t>Day</t>
        </is>
      </c>
      <c r="F704" t="inlineStr">
        <is>
          <t>Jul</t>
        </is>
      </c>
      <c r="G704" s="18">
        <f>IF(D704&lt;C704,D704+1-C704,D704-C704)*24</f>
        <v/>
      </c>
      <c r="H704" s="18">
        <f>MAX(0,G704-8)</f>
        <v/>
      </c>
    </row>
    <row r="705">
      <c r="A705" t="n">
        <v>1214</v>
      </c>
      <c r="B705" s="14" t="n">
        <v>46223</v>
      </c>
      <c r="C705" s="17" t="n">
        <v>0.25</v>
      </c>
      <c r="D705" s="17" t="n">
        <v>0.5833333333333334</v>
      </c>
      <c r="E705" t="inlineStr">
        <is>
          <t>Day</t>
        </is>
      </c>
      <c r="F705" t="inlineStr">
        <is>
          <t>Jul</t>
        </is>
      </c>
      <c r="G705" s="18">
        <f>IF(D705&lt;C705,D705+1-C705,D705-C705)*24</f>
        <v/>
      </c>
      <c r="H705" s="18">
        <f>MAX(0,G705-8)</f>
        <v/>
      </c>
    </row>
    <row r="706">
      <c r="A706" t="n">
        <v>1215</v>
      </c>
      <c r="B706" s="14" t="n">
        <v>46223</v>
      </c>
      <c r="C706" s="17" t="n">
        <v>0.25</v>
      </c>
      <c r="D706" s="17" t="n">
        <v>0.6041666666666666</v>
      </c>
      <c r="E706" t="inlineStr">
        <is>
          <t>Day</t>
        </is>
      </c>
      <c r="F706" t="inlineStr">
        <is>
          <t>Jul</t>
        </is>
      </c>
      <c r="G706" s="18">
        <f>IF(D706&lt;C706,D706+1-C706,D706-C706)*24</f>
        <v/>
      </c>
      <c r="H706" s="18">
        <f>MAX(0,G706-8)</f>
        <v/>
      </c>
    </row>
    <row r="707">
      <c r="A707" t="n">
        <v>1217</v>
      </c>
      <c r="B707" s="14" t="n">
        <v>46223</v>
      </c>
      <c r="C707" s="17" t="n">
        <v>0.25</v>
      </c>
      <c r="D707" s="17" t="n">
        <v>0.6666666666666666</v>
      </c>
      <c r="E707" t="inlineStr">
        <is>
          <t>Day</t>
        </is>
      </c>
      <c r="F707" t="inlineStr">
        <is>
          <t>Jul</t>
        </is>
      </c>
      <c r="G707" s="18">
        <f>IF(D707&lt;C707,D707+1-C707,D707-C707)*24</f>
        <v/>
      </c>
      <c r="H707" s="18">
        <f>MAX(0,G707-8)</f>
        <v/>
      </c>
    </row>
    <row r="708">
      <c r="A708" t="n">
        <v>1218</v>
      </c>
      <c r="B708" s="14" t="n">
        <v>46223</v>
      </c>
      <c r="C708" s="17" t="n">
        <v>0.25</v>
      </c>
      <c r="D708" s="17" t="n">
        <v>0.5833333333333334</v>
      </c>
      <c r="E708" t="inlineStr">
        <is>
          <t>Day</t>
        </is>
      </c>
      <c r="F708" t="inlineStr">
        <is>
          <t>Jul</t>
        </is>
      </c>
      <c r="G708" s="18">
        <f>IF(D708&lt;C708,D708+1-C708,D708-C708)*24</f>
        <v/>
      </c>
      <c r="H708" s="18">
        <f>MAX(0,G708-8)</f>
        <v/>
      </c>
    </row>
    <row r="709">
      <c r="A709" t="n">
        <v>1219</v>
      </c>
      <c r="B709" s="14" t="n">
        <v>46223</v>
      </c>
      <c r="C709" s="17" t="n">
        <v>0.25</v>
      </c>
      <c r="D709" s="17" t="n">
        <v>0.5833333333333334</v>
      </c>
      <c r="E709" t="inlineStr">
        <is>
          <t>Day</t>
        </is>
      </c>
      <c r="F709" t="inlineStr">
        <is>
          <t>Jul</t>
        </is>
      </c>
      <c r="G709" s="18">
        <f>IF(D709&lt;C709,D709+1-C709,D709-C709)*24</f>
        <v/>
      </c>
      <c r="H709" s="18">
        <f>MAX(0,G709-8)</f>
        <v/>
      </c>
    </row>
    <row r="710">
      <c r="A710" t="n">
        <v>1220</v>
      </c>
      <c r="B710" s="14" t="n">
        <v>46223</v>
      </c>
      <c r="C710" s="17" t="n">
        <v>0.25</v>
      </c>
      <c r="D710" s="17" t="n">
        <v>0.6666666666666666</v>
      </c>
      <c r="E710" t="inlineStr">
        <is>
          <t>Day</t>
        </is>
      </c>
      <c r="F710" t="inlineStr">
        <is>
          <t>Jul</t>
        </is>
      </c>
      <c r="G710" s="18">
        <f>IF(D710&lt;C710,D710+1-C710,D710-C710)*24</f>
        <v/>
      </c>
      <c r="H710" s="18">
        <f>MAX(0,G710-8)</f>
        <v/>
      </c>
    </row>
    <row r="711">
      <c r="A711" t="n">
        <v>1102</v>
      </c>
      <c r="B711" s="14" t="n">
        <v>46224</v>
      </c>
      <c r="C711" s="17" t="n">
        <v>0.9375</v>
      </c>
      <c r="D711" s="17" t="n">
        <v>0.3125</v>
      </c>
      <c r="E711" t="inlineStr">
        <is>
          <t>Night</t>
        </is>
      </c>
      <c r="F711" t="inlineStr">
        <is>
          <t>Jul</t>
        </is>
      </c>
      <c r="G711" s="18">
        <f>IF(D711&lt;C711,D711+1-C711,D711-C711)*24</f>
        <v/>
      </c>
      <c r="H711" s="18">
        <f>MAX(0,G711-8)</f>
        <v/>
      </c>
    </row>
    <row r="712">
      <c r="A712" t="n">
        <v>1104</v>
      </c>
      <c r="B712" s="14" t="n">
        <v>46224</v>
      </c>
      <c r="C712" s="17" t="n">
        <v>0.9166666666666666</v>
      </c>
      <c r="D712" s="17" t="n">
        <v>0.2708333333333333</v>
      </c>
      <c r="E712" t="inlineStr">
        <is>
          <t>Night</t>
        </is>
      </c>
      <c r="F712" t="inlineStr">
        <is>
          <t>Jul</t>
        </is>
      </c>
      <c r="G712" s="18">
        <f>IF(D712&lt;C712,D712+1-C712,D712-C712)*24</f>
        <v/>
      </c>
      <c r="H712" s="18">
        <f>MAX(0,G712-8)</f>
        <v/>
      </c>
    </row>
    <row r="713">
      <c r="A713" t="n">
        <v>1106</v>
      </c>
      <c r="B713" s="14" t="n">
        <v>46224</v>
      </c>
      <c r="C713" s="17" t="n">
        <v>0.9375</v>
      </c>
      <c r="D713" s="17" t="n">
        <v>0.4166666666666667</v>
      </c>
      <c r="E713" t="inlineStr">
        <is>
          <t>Night</t>
        </is>
      </c>
      <c r="F713" t="inlineStr">
        <is>
          <t>Jul</t>
        </is>
      </c>
      <c r="G713" s="18">
        <f>IF(D713&lt;C713,D713+1-C713,D713-C713)*24</f>
        <v/>
      </c>
      <c r="H713" s="18">
        <f>MAX(0,G713-8)</f>
        <v/>
      </c>
    </row>
    <row r="714">
      <c r="A714" t="n">
        <v>1107</v>
      </c>
      <c r="B714" s="14" t="n">
        <v>46224</v>
      </c>
      <c r="C714" s="17" t="n">
        <v>0.9270833333333334</v>
      </c>
      <c r="D714" s="17" t="n">
        <v>0.3854166666666667</v>
      </c>
      <c r="E714" t="inlineStr">
        <is>
          <t>Night</t>
        </is>
      </c>
      <c r="F714" t="inlineStr">
        <is>
          <t>Jul</t>
        </is>
      </c>
      <c r="G714" s="18">
        <f>IF(D714&lt;C714,D714+1-C714,D714-C714)*24</f>
        <v/>
      </c>
      <c r="H714" s="18">
        <f>MAX(0,G714-8)</f>
        <v/>
      </c>
    </row>
    <row r="715">
      <c r="A715" t="n">
        <v>1108</v>
      </c>
      <c r="B715" s="14" t="n">
        <v>46224</v>
      </c>
      <c r="C715" s="17" t="n">
        <v>0.9375</v>
      </c>
      <c r="D715" s="17" t="n">
        <v>0.4166666666666667</v>
      </c>
      <c r="E715" t="inlineStr">
        <is>
          <t>Night</t>
        </is>
      </c>
      <c r="F715" t="inlineStr">
        <is>
          <t>Jul</t>
        </is>
      </c>
      <c r="G715" s="18">
        <f>IF(D715&lt;C715,D715+1-C715,D715-C715)*24</f>
        <v/>
      </c>
      <c r="H715" s="18">
        <f>MAX(0,G715-8)</f>
        <v/>
      </c>
    </row>
    <row r="716">
      <c r="A716" t="n">
        <v>1109</v>
      </c>
      <c r="B716" s="14" t="n">
        <v>46224</v>
      </c>
      <c r="C716" s="17" t="n">
        <v>0.9270833333333334</v>
      </c>
      <c r="D716" s="17" t="n">
        <v>0.34375</v>
      </c>
      <c r="E716" t="inlineStr">
        <is>
          <t>Night</t>
        </is>
      </c>
      <c r="F716" t="inlineStr">
        <is>
          <t>Jul</t>
        </is>
      </c>
      <c r="G716" s="18">
        <f>IF(D716&lt;C716,D716+1-C716,D716-C716)*24</f>
        <v/>
      </c>
      <c r="H716" s="18">
        <f>MAX(0,G716-8)</f>
        <v/>
      </c>
    </row>
    <row r="717">
      <c r="A717" t="n">
        <v>1112</v>
      </c>
      <c r="B717" s="14" t="n">
        <v>46224</v>
      </c>
      <c r="C717" s="17" t="n">
        <v>0.9375</v>
      </c>
      <c r="D717" s="17" t="n">
        <v>0.2916666666666667</v>
      </c>
      <c r="E717" t="inlineStr">
        <is>
          <t>Night</t>
        </is>
      </c>
      <c r="F717" t="inlineStr">
        <is>
          <t>Jul</t>
        </is>
      </c>
      <c r="G717" s="18">
        <f>IF(D717&lt;C717,D717+1-C717,D717-C717)*24</f>
        <v/>
      </c>
      <c r="H717" s="18">
        <f>MAX(0,G717-8)</f>
        <v/>
      </c>
    </row>
    <row r="718">
      <c r="A718" t="n">
        <v>1113</v>
      </c>
      <c r="B718" s="14" t="n">
        <v>46224</v>
      </c>
      <c r="C718" s="17" t="n">
        <v>0.9375</v>
      </c>
      <c r="D718" s="17" t="n">
        <v>0.2708333333333333</v>
      </c>
      <c r="E718" t="inlineStr">
        <is>
          <t>Night</t>
        </is>
      </c>
      <c r="F718" t="inlineStr">
        <is>
          <t>Jul</t>
        </is>
      </c>
      <c r="G718" s="18">
        <f>IF(D718&lt;C718,D718+1-C718,D718-C718)*24</f>
        <v/>
      </c>
      <c r="H718" s="18">
        <f>MAX(0,G718-8)</f>
        <v/>
      </c>
    </row>
    <row r="719">
      <c r="A719" t="n">
        <v>1114</v>
      </c>
      <c r="B719" s="14" t="n">
        <v>46224</v>
      </c>
      <c r="C719" s="17" t="n">
        <v>0.9166666666666666</v>
      </c>
      <c r="D719" s="17" t="n">
        <v>0.3958333333333333</v>
      </c>
      <c r="E719" t="inlineStr">
        <is>
          <t>Night</t>
        </is>
      </c>
      <c r="F719" t="inlineStr">
        <is>
          <t>Jul</t>
        </is>
      </c>
      <c r="G719" s="18">
        <f>IF(D719&lt;C719,D719+1-C719,D719-C719)*24</f>
        <v/>
      </c>
      <c r="H719" s="18">
        <f>MAX(0,G719-8)</f>
        <v/>
      </c>
    </row>
    <row r="720">
      <c r="A720" t="n">
        <v>1115</v>
      </c>
      <c r="B720" s="14" t="n">
        <v>46224</v>
      </c>
      <c r="C720" s="17" t="n">
        <v>0.9166666666666666</v>
      </c>
      <c r="D720" s="17" t="n">
        <v>0.2916666666666667</v>
      </c>
      <c r="E720" t="inlineStr">
        <is>
          <t>Night</t>
        </is>
      </c>
      <c r="F720" t="inlineStr">
        <is>
          <t>Jul</t>
        </is>
      </c>
      <c r="G720" s="18">
        <f>IF(D720&lt;C720,D720+1-C720,D720-C720)*24</f>
        <v/>
      </c>
      <c r="H720" s="18">
        <f>MAX(0,G720-8)</f>
        <v/>
      </c>
    </row>
    <row r="721">
      <c r="A721" t="n">
        <v>1116</v>
      </c>
      <c r="B721" s="14" t="n">
        <v>46224</v>
      </c>
      <c r="C721" s="17" t="n">
        <v>0.9270833333333334</v>
      </c>
      <c r="D721" s="17" t="n">
        <v>0.28125</v>
      </c>
      <c r="E721" t="inlineStr">
        <is>
          <t>Night</t>
        </is>
      </c>
      <c r="F721" t="inlineStr">
        <is>
          <t>Jul</t>
        </is>
      </c>
      <c r="G721" s="18">
        <f>IF(D721&lt;C721,D721+1-C721,D721-C721)*24</f>
        <v/>
      </c>
      <c r="H721" s="18">
        <f>MAX(0,G721-8)</f>
        <v/>
      </c>
    </row>
    <row r="722">
      <c r="A722" t="n">
        <v>1117</v>
      </c>
      <c r="B722" s="14" t="n">
        <v>46224</v>
      </c>
      <c r="C722" s="17" t="n">
        <v>0.9166666666666666</v>
      </c>
      <c r="D722" s="17" t="n">
        <v>0.2916666666666667</v>
      </c>
      <c r="E722" t="inlineStr">
        <is>
          <t>Night</t>
        </is>
      </c>
      <c r="F722" t="inlineStr">
        <is>
          <t>Jul</t>
        </is>
      </c>
      <c r="G722" s="18">
        <f>IF(D722&lt;C722,D722+1-C722,D722-C722)*24</f>
        <v/>
      </c>
      <c r="H722" s="18">
        <f>MAX(0,G722-8)</f>
        <v/>
      </c>
    </row>
    <row r="723">
      <c r="A723" t="n">
        <v>1118</v>
      </c>
      <c r="B723" s="14" t="n">
        <v>46224</v>
      </c>
      <c r="C723" s="17" t="n">
        <v>0.9166666666666666</v>
      </c>
      <c r="D723" s="17" t="n">
        <v>0.3125</v>
      </c>
      <c r="E723" t="inlineStr">
        <is>
          <t>Night</t>
        </is>
      </c>
      <c r="F723" t="inlineStr">
        <is>
          <t>Jul</t>
        </is>
      </c>
      <c r="G723" s="18">
        <f>IF(D723&lt;C723,D723+1-C723,D723-C723)*24</f>
        <v/>
      </c>
      <c r="H723" s="18">
        <f>MAX(0,G723-8)</f>
        <v/>
      </c>
    </row>
    <row r="724">
      <c r="A724" t="n">
        <v>1119</v>
      </c>
      <c r="B724" s="14" t="n">
        <v>46224</v>
      </c>
      <c r="C724" s="17" t="n">
        <v>0.9270833333333334</v>
      </c>
      <c r="D724" s="17" t="n">
        <v>0.28125</v>
      </c>
      <c r="E724" t="inlineStr">
        <is>
          <t>Night</t>
        </is>
      </c>
      <c r="F724" t="inlineStr">
        <is>
          <t>Jul</t>
        </is>
      </c>
      <c r="G724" s="18">
        <f>IF(D724&lt;C724,D724+1-C724,D724-C724)*24</f>
        <v/>
      </c>
      <c r="H724" s="18">
        <f>MAX(0,G724-8)</f>
        <v/>
      </c>
    </row>
    <row r="725">
      <c r="A725" t="n">
        <v>1120</v>
      </c>
      <c r="B725" s="14" t="n">
        <v>46224</v>
      </c>
      <c r="C725" s="17" t="n">
        <v>0.9166666666666666</v>
      </c>
      <c r="D725" s="17" t="n">
        <v>0.375</v>
      </c>
      <c r="E725" t="inlineStr">
        <is>
          <t>Night</t>
        </is>
      </c>
      <c r="F725" t="inlineStr">
        <is>
          <t>Jul</t>
        </is>
      </c>
      <c r="G725" s="18">
        <f>IF(D725&lt;C725,D725+1-C725,D725-C725)*24</f>
        <v/>
      </c>
      <c r="H725" s="18">
        <f>MAX(0,G725-8)</f>
        <v/>
      </c>
    </row>
    <row r="726">
      <c r="A726" t="n">
        <v>1121</v>
      </c>
      <c r="B726" s="14" t="n">
        <v>46224</v>
      </c>
      <c r="C726" s="17" t="n">
        <v>0.9166666666666666</v>
      </c>
      <c r="D726" s="17" t="n">
        <v>0.375</v>
      </c>
      <c r="E726" t="inlineStr">
        <is>
          <t>Night</t>
        </is>
      </c>
      <c r="F726" t="inlineStr">
        <is>
          <t>Jul</t>
        </is>
      </c>
      <c r="G726" s="18">
        <f>IF(D726&lt;C726,D726+1-C726,D726-C726)*24</f>
        <v/>
      </c>
      <c r="H726" s="18">
        <f>MAX(0,G726-8)</f>
        <v/>
      </c>
    </row>
    <row r="727">
      <c r="A727" t="n">
        <v>1122</v>
      </c>
      <c r="B727" s="14" t="n">
        <v>46224</v>
      </c>
      <c r="C727" s="17" t="n">
        <v>0.9270833333333334</v>
      </c>
      <c r="D727" s="17" t="n">
        <v>0.2604166666666667</v>
      </c>
      <c r="E727" t="inlineStr">
        <is>
          <t>Night</t>
        </is>
      </c>
      <c r="F727" t="inlineStr">
        <is>
          <t>Jul</t>
        </is>
      </c>
      <c r="G727" s="18">
        <f>IF(D727&lt;C727,D727+1-C727,D727-C727)*24</f>
        <v/>
      </c>
      <c r="H727" s="18">
        <f>MAX(0,G727-8)</f>
        <v/>
      </c>
    </row>
    <row r="728">
      <c r="A728" t="n">
        <v>1123</v>
      </c>
      <c r="B728" s="14" t="n">
        <v>46224</v>
      </c>
      <c r="C728" s="17" t="n">
        <v>0.9166666666666666</v>
      </c>
      <c r="D728" s="17" t="n">
        <v>0.3333333333333333</v>
      </c>
      <c r="E728" t="inlineStr">
        <is>
          <t>Night</t>
        </is>
      </c>
      <c r="F728" t="inlineStr">
        <is>
          <t>Jul</t>
        </is>
      </c>
      <c r="G728" s="18">
        <f>IF(D728&lt;C728,D728+1-C728,D728-C728)*24</f>
        <v/>
      </c>
      <c r="H728" s="18">
        <f>MAX(0,G728-8)</f>
        <v/>
      </c>
    </row>
    <row r="729">
      <c r="A729" t="n">
        <v>1124</v>
      </c>
      <c r="B729" s="14" t="n">
        <v>46224</v>
      </c>
      <c r="C729" s="17" t="n">
        <v>0.9166666666666666</v>
      </c>
      <c r="D729" s="17" t="n">
        <v>0.25</v>
      </c>
      <c r="E729" t="inlineStr">
        <is>
          <t>Night</t>
        </is>
      </c>
      <c r="F729" t="inlineStr">
        <is>
          <t>Jul</t>
        </is>
      </c>
      <c r="G729" s="18">
        <f>IF(D729&lt;C729,D729+1-C729,D729-C729)*24</f>
        <v/>
      </c>
      <c r="H729" s="18">
        <f>MAX(0,G729-8)</f>
        <v/>
      </c>
    </row>
    <row r="730">
      <c r="A730" t="n">
        <v>1125</v>
      </c>
      <c r="B730" s="14" t="n">
        <v>46224</v>
      </c>
      <c r="C730" s="17" t="n">
        <v>0.9270833333333334</v>
      </c>
      <c r="D730" s="17" t="n">
        <v>0.2604166666666667</v>
      </c>
      <c r="E730" t="inlineStr">
        <is>
          <t>Night</t>
        </is>
      </c>
      <c r="F730" t="inlineStr">
        <is>
          <t>Jul</t>
        </is>
      </c>
      <c r="G730" s="18">
        <f>IF(D730&lt;C730,D730+1-C730,D730-C730)*24</f>
        <v/>
      </c>
      <c r="H730" s="18">
        <f>MAX(0,G730-8)</f>
        <v/>
      </c>
    </row>
    <row r="731">
      <c r="A731" t="n">
        <v>1126</v>
      </c>
      <c r="B731" s="14" t="n">
        <v>46224</v>
      </c>
      <c r="C731" s="17" t="n">
        <v>0.9375</v>
      </c>
      <c r="D731" s="17" t="n">
        <v>0.2916666666666667</v>
      </c>
      <c r="E731" t="inlineStr">
        <is>
          <t>Night</t>
        </is>
      </c>
      <c r="F731" t="inlineStr">
        <is>
          <t>Jul</t>
        </is>
      </c>
      <c r="G731" s="18">
        <f>IF(D731&lt;C731,D731+1-C731,D731-C731)*24</f>
        <v/>
      </c>
      <c r="H731" s="18">
        <f>MAX(0,G731-8)</f>
        <v/>
      </c>
    </row>
    <row r="732">
      <c r="A732" t="n">
        <v>1128</v>
      </c>
      <c r="B732" s="14" t="n">
        <v>46224</v>
      </c>
      <c r="C732" s="17" t="n">
        <v>0.9166666666666666</v>
      </c>
      <c r="D732" s="17" t="n">
        <v>0.2708333333333333</v>
      </c>
      <c r="E732" t="inlineStr">
        <is>
          <t>Night</t>
        </is>
      </c>
      <c r="F732" t="inlineStr">
        <is>
          <t>Jul</t>
        </is>
      </c>
      <c r="G732" s="18">
        <f>IF(D732&lt;C732,D732+1-C732,D732-C732)*24</f>
        <v/>
      </c>
      <c r="H732" s="18">
        <f>MAX(0,G732-8)</f>
        <v/>
      </c>
    </row>
    <row r="733">
      <c r="A733" t="n">
        <v>1129</v>
      </c>
      <c r="B733" s="14" t="n">
        <v>46224</v>
      </c>
      <c r="C733" s="17" t="n">
        <v>0.9270833333333334</v>
      </c>
      <c r="D733" s="17" t="n">
        <v>0.3229166666666667</v>
      </c>
      <c r="E733" t="inlineStr">
        <is>
          <t>Night</t>
        </is>
      </c>
      <c r="F733" t="inlineStr">
        <is>
          <t>Jul</t>
        </is>
      </c>
      <c r="G733" s="18">
        <f>IF(D733&lt;C733,D733+1-C733,D733-C733)*24</f>
        <v/>
      </c>
      <c r="H733" s="18">
        <f>MAX(0,G733-8)</f>
        <v/>
      </c>
    </row>
    <row r="734">
      <c r="A734" t="n">
        <v>1130</v>
      </c>
      <c r="B734" s="14" t="n">
        <v>46224</v>
      </c>
      <c r="C734" s="17" t="n">
        <v>0.9166666666666666</v>
      </c>
      <c r="D734" s="17" t="n">
        <v>0.3333333333333333</v>
      </c>
      <c r="E734" t="inlineStr">
        <is>
          <t>Night</t>
        </is>
      </c>
      <c r="F734" t="inlineStr">
        <is>
          <t>Jul</t>
        </is>
      </c>
      <c r="G734" s="18">
        <f>IF(D734&lt;C734,D734+1-C734,D734-C734)*24</f>
        <v/>
      </c>
      <c r="H734" s="18">
        <f>MAX(0,G734-8)</f>
        <v/>
      </c>
    </row>
    <row r="735">
      <c r="A735" t="n">
        <v>1131</v>
      </c>
      <c r="B735" s="14" t="n">
        <v>46224</v>
      </c>
      <c r="C735" s="17" t="n">
        <v>0.9166666666666666</v>
      </c>
      <c r="D735" s="17" t="n">
        <v>0.25</v>
      </c>
      <c r="E735" t="inlineStr">
        <is>
          <t>Night</t>
        </is>
      </c>
      <c r="F735" t="inlineStr">
        <is>
          <t>Jul</t>
        </is>
      </c>
      <c r="G735" s="18">
        <f>IF(D735&lt;C735,D735+1-C735,D735-C735)*24</f>
        <v/>
      </c>
      <c r="H735" s="18">
        <f>MAX(0,G735-8)</f>
        <v/>
      </c>
    </row>
    <row r="736">
      <c r="A736" t="n">
        <v>1132</v>
      </c>
      <c r="B736" s="14" t="n">
        <v>46224</v>
      </c>
      <c r="C736" s="17" t="n">
        <v>0.9166666666666666</v>
      </c>
      <c r="D736" s="17" t="n">
        <v>0.25</v>
      </c>
      <c r="E736" t="inlineStr">
        <is>
          <t>Night</t>
        </is>
      </c>
      <c r="F736" t="inlineStr">
        <is>
          <t>Jul</t>
        </is>
      </c>
      <c r="G736" s="18">
        <f>IF(D736&lt;C736,D736+1-C736,D736-C736)*24</f>
        <v/>
      </c>
      <c r="H736" s="18">
        <f>MAX(0,G736-8)</f>
        <v/>
      </c>
    </row>
    <row r="737">
      <c r="A737" t="n">
        <v>1134</v>
      </c>
      <c r="B737" s="14" t="n">
        <v>46224</v>
      </c>
      <c r="C737" s="17" t="n">
        <v>0.9166666666666666</v>
      </c>
      <c r="D737" s="17" t="n">
        <v>0.3541666666666667</v>
      </c>
      <c r="E737" t="inlineStr">
        <is>
          <t>Night</t>
        </is>
      </c>
      <c r="F737" t="inlineStr">
        <is>
          <t>Jul</t>
        </is>
      </c>
      <c r="G737" s="18">
        <f>IF(D737&lt;C737,D737+1-C737,D737-C737)*24</f>
        <v/>
      </c>
      <c r="H737" s="18">
        <f>MAX(0,G737-8)</f>
        <v/>
      </c>
    </row>
    <row r="738">
      <c r="A738" t="n">
        <v>1135</v>
      </c>
      <c r="B738" s="14" t="n">
        <v>46224</v>
      </c>
      <c r="C738" s="17" t="n">
        <v>0.9166666666666666</v>
      </c>
      <c r="D738" s="17" t="n">
        <v>0.375</v>
      </c>
      <c r="E738" t="inlineStr">
        <is>
          <t>Night</t>
        </is>
      </c>
      <c r="F738" t="inlineStr">
        <is>
          <t>Jul</t>
        </is>
      </c>
      <c r="G738" s="18">
        <f>IF(D738&lt;C738,D738+1-C738,D738-C738)*24</f>
        <v/>
      </c>
      <c r="H738" s="18">
        <f>MAX(0,G738-8)</f>
        <v/>
      </c>
    </row>
    <row r="739">
      <c r="A739" t="n">
        <v>1136</v>
      </c>
      <c r="B739" s="14" t="n">
        <v>46224</v>
      </c>
      <c r="C739" s="17" t="n">
        <v>0.9375</v>
      </c>
      <c r="D739" s="17" t="n">
        <v>0.2916666666666667</v>
      </c>
      <c r="E739" t="inlineStr">
        <is>
          <t>Night</t>
        </is>
      </c>
      <c r="F739" t="inlineStr">
        <is>
          <t>Jul</t>
        </is>
      </c>
      <c r="G739" s="18">
        <f>IF(D739&lt;C739,D739+1-C739,D739-C739)*24</f>
        <v/>
      </c>
      <c r="H739" s="18">
        <f>MAX(0,G739-8)</f>
        <v/>
      </c>
    </row>
    <row r="740">
      <c r="A740" t="n">
        <v>1137</v>
      </c>
      <c r="B740" s="14" t="n">
        <v>46224</v>
      </c>
      <c r="C740" s="17" t="n">
        <v>0.9375</v>
      </c>
      <c r="D740" s="17" t="n">
        <v>0.2708333333333333</v>
      </c>
      <c r="E740" t="inlineStr">
        <is>
          <t>Night</t>
        </is>
      </c>
      <c r="F740" t="inlineStr">
        <is>
          <t>Jul</t>
        </is>
      </c>
      <c r="G740" s="18">
        <f>IF(D740&lt;C740,D740+1-C740,D740-C740)*24</f>
        <v/>
      </c>
      <c r="H740" s="18">
        <f>MAX(0,G740-8)</f>
        <v/>
      </c>
    </row>
    <row r="741">
      <c r="A741" t="n">
        <v>1147</v>
      </c>
      <c r="B741" s="14" t="n">
        <v>46224</v>
      </c>
      <c r="C741" s="17" t="n">
        <v>0.9166666666666666</v>
      </c>
      <c r="D741" s="17" t="n">
        <v>0.3333333333333333</v>
      </c>
      <c r="E741" t="inlineStr">
        <is>
          <t>Night</t>
        </is>
      </c>
      <c r="F741" t="inlineStr">
        <is>
          <t>Jul</t>
        </is>
      </c>
      <c r="G741" s="18">
        <f>IF(D741&lt;C741,D741+1-C741,D741-C741)*24</f>
        <v/>
      </c>
      <c r="H741" s="18">
        <f>MAX(0,G741-8)</f>
        <v/>
      </c>
    </row>
    <row r="742">
      <c r="A742" t="n">
        <v>1103</v>
      </c>
      <c r="B742" s="14" t="n">
        <v>46224</v>
      </c>
      <c r="C742" s="17" t="n">
        <v>0.01041666666666667</v>
      </c>
      <c r="D742" s="17" t="n">
        <v>0.40625</v>
      </c>
      <c r="E742" t="inlineStr">
        <is>
          <t>Night</t>
        </is>
      </c>
      <c r="F742" t="inlineStr">
        <is>
          <t>Jul</t>
        </is>
      </c>
      <c r="G742" s="18">
        <f>IF(D742&lt;C742,D742+1-C742,D742-C742)*24</f>
        <v/>
      </c>
      <c r="H742" s="18">
        <f>MAX(0,G742-8)</f>
        <v/>
      </c>
    </row>
    <row r="743">
      <c r="A743" t="n">
        <v>1110</v>
      </c>
      <c r="B743" s="14" t="n">
        <v>46224</v>
      </c>
      <c r="C743" s="17" t="n">
        <v>0.01041666666666667</v>
      </c>
      <c r="D743" s="17" t="n">
        <v>0.34375</v>
      </c>
      <c r="E743" t="inlineStr">
        <is>
          <t>Night</t>
        </is>
      </c>
      <c r="F743" t="inlineStr">
        <is>
          <t>Jul</t>
        </is>
      </c>
      <c r="G743" s="18">
        <f>IF(D743&lt;C743,D743+1-C743,D743-C743)*24</f>
        <v/>
      </c>
      <c r="H743" s="18">
        <f>MAX(0,G743-8)</f>
        <v/>
      </c>
    </row>
    <row r="744">
      <c r="A744" t="n">
        <v>1111</v>
      </c>
      <c r="B744" s="14" t="n">
        <v>46224</v>
      </c>
      <c r="C744" s="17" t="n">
        <v>0.01041666666666667</v>
      </c>
      <c r="D744" s="17" t="n">
        <v>0.3645833333333333</v>
      </c>
      <c r="E744" t="inlineStr">
        <is>
          <t>Night</t>
        </is>
      </c>
      <c r="F744" t="inlineStr">
        <is>
          <t>Jul</t>
        </is>
      </c>
      <c r="G744" s="18">
        <f>IF(D744&lt;C744,D744+1-C744,D744-C744)*24</f>
        <v/>
      </c>
      <c r="H744" s="18">
        <f>MAX(0,G744-8)</f>
        <v/>
      </c>
    </row>
    <row r="745">
      <c r="A745" t="n">
        <v>1133</v>
      </c>
      <c r="B745" s="14" t="n">
        <v>46224</v>
      </c>
      <c r="C745" s="17" t="n">
        <v>0.01041666666666667</v>
      </c>
      <c r="D745" s="17" t="n">
        <v>0.34375</v>
      </c>
      <c r="E745" t="inlineStr">
        <is>
          <t>Night</t>
        </is>
      </c>
      <c r="F745" t="inlineStr">
        <is>
          <t>Jul</t>
        </is>
      </c>
      <c r="G745" s="18">
        <f>IF(D745&lt;C745,D745+1-C745,D745-C745)*24</f>
        <v/>
      </c>
      <c r="H745" s="18">
        <f>MAX(0,G745-8)</f>
        <v/>
      </c>
    </row>
    <row r="746">
      <c r="A746" t="n">
        <v>1201</v>
      </c>
      <c r="B746" s="14" t="n">
        <v>46224</v>
      </c>
      <c r="C746" s="17" t="n">
        <v>0.2708333333333333</v>
      </c>
      <c r="D746" s="17" t="n">
        <v>0.625</v>
      </c>
      <c r="E746" t="inlineStr">
        <is>
          <t>Day</t>
        </is>
      </c>
      <c r="F746" t="inlineStr">
        <is>
          <t>Jul</t>
        </is>
      </c>
      <c r="G746" s="18">
        <f>IF(D746&lt;C746,D746+1-C746,D746-C746)*24</f>
        <v/>
      </c>
      <c r="H746" s="18">
        <f>MAX(0,G746-8)</f>
        <v/>
      </c>
    </row>
    <row r="747">
      <c r="A747" t="n">
        <v>1202</v>
      </c>
      <c r="B747" s="14" t="n">
        <v>46224</v>
      </c>
      <c r="C747" s="17" t="n">
        <v>0.25</v>
      </c>
      <c r="D747" s="17" t="n">
        <v>0.5833333333333334</v>
      </c>
      <c r="E747" t="inlineStr">
        <is>
          <t>Day</t>
        </is>
      </c>
      <c r="F747" t="inlineStr">
        <is>
          <t>Jul</t>
        </is>
      </c>
      <c r="G747" s="18">
        <f>IF(D747&lt;C747,D747+1-C747,D747-C747)*24</f>
        <v/>
      </c>
      <c r="H747" s="18">
        <f>MAX(0,G747-8)</f>
        <v/>
      </c>
    </row>
    <row r="748">
      <c r="A748" t="n">
        <v>1203</v>
      </c>
      <c r="B748" s="14" t="n">
        <v>46224</v>
      </c>
      <c r="C748" s="17" t="n">
        <v>0.25</v>
      </c>
      <c r="D748" s="17" t="n">
        <v>0.625</v>
      </c>
      <c r="E748" t="inlineStr">
        <is>
          <t>Day</t>
        </is>
      </c>
      <c r="F748" t="inlineStr">
        <is>
          <t>Jul</t>
        </is>
      </c>
      <c r="G748" s="18">
        <f>IF(D748&lt;C748,D748+1-C748,D748-C748)*24</f>
        <v/>
      </c>
      <c r="H748" s="18">
        <f>MAX(0,G748-8)</f>
        <v/>
      </c>
    </row>
    <row r="749">
      <c r="A749" t="n">
        <v>1205</v>
      </c>
      <c r="B749" s="14" t="n">
        <v>46224</v>
      </c>
      <c r="C749" s="17" t="n">
        <v>0.25</v>
      </c>
      <c r="D749" s="17" t="n">
        <v>0.6041666666666666</v>
      </c>
      <c r="E749" t="inlineStr">
        <is>
          <t>Day</t>
        </is>
      </c>
      <c r="F749" t="inlineStr">
        <is>
          <t>Jul</t>
        </is>
      </c>
      <c r="G749" s="18">
        <f>IF(D749&lt;C749,D749+1-C749,D749-C749)*24</f>
        <v/>
      </c>
      <c r="H749" s="18">
        <f>MAX(0,G749-8)</f>
        <v/>
      </c>
    </row>
    <row r="750">
      <c r="A750" t="n">
        <v>1206</v>
      </c>
      <c r="B750" s="14" t="n">
        <v>46224</v>
      </c>
      <c r="C750" s="17" t="n">
        <v>0.2708333333333333</v>
      </c>
      <c r="D750" s="17" t="n">
        <v>0.6875</v>
      </c>
      <c r="E750" t="inlineStr">
        <is>
          <t>Day</t>
        </is>
      </c>
      <c r="F750" t="inlineStr">
        <is>
          <t>Jul</t>
        </is>
      </c>
      <c r="G750" s="18">
        <f>IF(D750&lt;C750,D750+1-C750,D750-C750)*24</f>
        <v/>
      </c>
      <c r="H750" s="18">
        <f>MAX(0,G750-8)</f>
        <v/>
      </c>
    </row>
    <row r="751">
      <c r="A751" t="n">
        <v>1207</v>
      </c>
      <c r="B751" s="14" t="n">
        <v>46224</v>
      </c>
      <c r="C751" s="17" t="n">
        <v>0.2708333333333333</v>
      </c>
      <c r="D751" s="17" t="n">
        <v>0.625</v>
      </c>
      <c r="E751" t="inlineStr">
        <is>
          <t>Day</t>
        </is>
      </c>
      <c r="F751" t="inlineStr">
        <is>
          <t>Jul</t>
        </is>
      </c>
      <c r="G751" s="18">
        <f>IF(D751&lt;C751,D751+1-C751,D751-C751)*24</f>
        <v/>
      </c>
      <c r="H751" s="18">
        <f>MAX(0,G751-8)</f>
        <v/>
      </c>
    </row>
    <row r="752">
      <c r="A752" t="n">
        <v>1208</v>
      </c>
      <c r="B752" s="14" t="n">
        <v>46224</v>
      </c>
      <c r="C752" s="17" t="n">
        <v>0.25</v>
      </c>
      <c r="D752" s="17" t="n">
        <v>0.625</v>
      </c>
      <c r="E752" t="inlineStr">
        <is>
          <t>Day</t>
        </is>
      </c>
      <c r="F752" t="inlineStr">
        <is>
          <t>Jul</t>
        </is>
      </c>
      <c r="G752" s="18">
        <f>IF(D752&lt;C752,D752+1-C752,D752-C752)*24</f>
        <v/>
      </c>
      <c r="H752" s="18">
        <f>MAX(0,G752-8)</f>
        <v/>
      </c>
    </row>
    <row r="753">
      <c r="A753" t="n">
        <v>1209</v>
      </c>
      <c r="B753" s="14" t="n">
        <v>46224</v>
      </c>
      <c r="C753" s="17" t="n">
        <v>0.25</v>
      </c>
      <c r="D753" s="17" t="n">
        <v>0.5833333333333334</v>
      </c>
      <c r="E753" t="inlineStr">
        <is>
          <t>Day</t>
        </is>
      </c>
      <c r="F753" t="inlineStr">
        <is>
          <t>Jul</t>
        </is>
      </c>
      <c r="G753" s="18">
        <f>IF(D753&lt;C753,D753+1-C753,D753-C753)*24</f>
        <v/>
      </c>
      <c r="H753" s="18">
        <f>MAX(0,G753-8)</f>
        <v/>
      </c>
    </row>
    <row r="754">
      <c r="A754" t="n">
        <v>1211</v>
      </c>
      <c r="B754" s="14" t="n">
        <v>46224</v>
      </c>
      <c r="C754" s="17" t="n">
        <v>0.25</v>
      </c>
      <c r="D754" s="17" t="n">
        <v>0.6041666666666666</v>
      </c>
      <c r="E754" t="inlineStr">
        <is>
          <t>Day</t>
        </is>
      </c>
      <c r="F754" t="inlineStr">
        <is>
          <t>Jul</t>
        </is>
      </c>
      <c r="G754" s="18">
        <f>IF(D754&lt;C754,D754+1-C754,D754-C754)*24</f>
        <v/>
      </c>
      <c r="H754" s="18">
        <f>MAX(0,G754-8)</f>
        <v/>
      </c>
    </row>
    <row r="755">
      <c r="A755" t="n">
        <v>1212</v>
      </c>
      <c r="B755" s="14" t="n">
        <v>46224</v>
      </c>
      <c r="C755" s="17" t="n">
        <v>0.25</v>
      </c>
      <c r="D755" s="17" t="n">
        <v>0.6041666666666666</v>
      </c>
      <c r="E755" t="inlineStr">
        <is>
          <t>Day</t>
        </is>
      </c>
      <c r="F755" t="inlineStr">
        <is>
          <t>Jul</t>
        </is>
      </c>
      <c r="G755" s="18">
        <f>IF(D755&lt;C755,D755+1-C755,D755-C755)*24</f>
        <v/>
      </c>
      <c r="H755" s="18">
        <f>MAX(0,G755-8)</f>
        <v/>
      </c>
    </row>
    <row r="756">
      <c r="A756" t="n">
        <v>1213</v>
      </c>
      <c r="B756" s="14" t="n">
        <v>46224</v>
      </c>
      <c r="C756" s="17" t="n">
        <v>0.25</v>
      </c>
      <c r="D756" s="17" t="n">
        <v>0.5833333333333334</v>
      </c>
      <c r="E756" t="inlineStr">
        <is>
          <t>Day</t>
        </is>
      </c>
      <c r="F756" t="inlineStr">
        <is>
          <t>Jul</t>
        </is>
      </c>
      <c r="G756" s="18">
        <f>IF(D756&lt;C756,D756+1-C756,D756-C756)*24</f>
        <v/>
      </c>
      <c r="H756" s="18">
        <f>MAX(0,G756-8)</f>
        <v/>
      </c>
    </row>
    <row r="757">
      <c r="A757" t="n">
        <v>1214</v>
      </c>
      <c r="B757" s="14" t="n">
        <v>46224</v>
      </c>
      <c r="C757" s="17" t="n">
        <v>0.25</v>
      </c>
      <c r="D757" s="17" t="n">
        <v>0.6666666666666666</v>
      </c>
      <c r="E757" t="inlineStr">
        <is>
          <t>Day</t>
        </is>
      </c>
      <c r="F757" t="inlineStr">
        <is>
          <t>Jul</t>
        </is>
      </c>
      <c r="G757" s="18">
        <f>IF(D757&lt;C757,D757+1-C757,D757-C757)*24</f>
        <v/>
      </c>
      <c r="H757" s="18">
        <f>MAX(0,G757-8)</f>
        <v/>
      </c>
    </row>
    <row r="758">
      <c r="A758" t="n">
        <v>1215</v>
      </c>
      <c r="B758" s="14" t="n">
        <v>46224</v>
      </c>
      <c r="C758" s="17" t="n">
        <v>0.2708333333333333</v>
      </c>
      <c r="D758" s="17" t="n">
        <v>0.6041666666666666</v>
      </c>
      <c r="E758" t="inlineStr">
        <is>
          <t>Day</t>
        </is>
      </c>
      <c r="F758" t="inlineStr">
        <is>
          <t>Jul</t>
        </is>
      </c>
      <c r="G758" s="18">
        <f>IF(D758&lt;C758,D758+1-C758,D758-C758)*24</f>
        <v/>
      </c>
      <c r="H758" s="18">
        <f>MAX(0,G758-8)</f>
        <v/>
      </c>
    </row>
    <row r="759">
      <c r="A759" t="n">
        <v>1216</v>
      </c>
      <c r="B759" s="14" t="n">
        <v>46224</v>
      </c>
      <c r="C759" s="17" t="n">
        <v>0.25</v>
      </c>
      <c r="D759" s="17" t="n">
        <v>0.5833333333333334</v>
      </c>
      <c r="E759" t="inlineStr">
        <is>
          <t>Day</t>
        </is>
      </c>
      <c r="F759" t="inlineStr">
        <is>
          <t>Jul</t>
        </is>
      </c>
      <c r="G759" s="18">
        <f>IF(D759&lt;C759,D759+1-C759,D759-C759)*24</f>
        <v/>
      </c>
      <c r="H759" s="18">
        <f>MAX(0,G759-8)</f>
        <v/>
      </c>
    </row>
    <row r="760">
      <c r="A760" t="n">
        <v>1217</v>
      </c>
      <c r="B760" s="14" t="n">
        <v>46224</v>
      </c>
      <c r="C760" s="17" t="n">
        <v>0.2708333333333333</v>
      </c>
      <c r="D760" s="17" t="n">
        <v>0.6875</v>
      </c>
      <c r="E760" t="inlineStr">
        <is>
          <t>Day</t>
        </is>
      </c>
      <c r="F760" t="inlineStr">
        <is>
          <t>Jul</t>
        </is>
      </c>
      <c r="G760" s="18">
        <f>IF(D760&lt;C760,D760+1-C760,D760-C760)*24</f>
        <v/>
      </c>
      <c r="H760" s="18">
        <f>MAX(0,G760-8)</f>
        <v/>
      </c>
    </row>
    <row r="761">
      <c r="A761" t="n">
        <v>1218</v>
      </c>
      <c r="B761" s="14" t="n">
        <v>46224</v>
      </c>
      <c r="C761" s="17" t="n">
        <v>0.2708333333333333</v>
      </c>
      <c r="D761" s="17" t="n">
        <v>0.6041666666666666</v>
      </c>
      <c r="E761" t="inlineStr">
        <is>
          <t>Day</t>
        </is>
      </c>
      <c r="F761" t="inlineStr">
        <is>
          <t>Jul</t>
        </is>
      </c>
      <c r="G761" s="18">
        <f>IF(D761&lt;C761,D761+1-C761,D761-C761)*24</f>
        <v/>
      </c>
      <c r="H761" s="18">
        <f>MAX(0,G761-8)</f>
        <v/>
      </c>
    </row>
    <row r="762">
      <c r="A762" t="n">
        <v>1219</v>
      </c>
      <c r="B762" s="14" t="n">
        <v>46224</v>
      </c>
      <c r="C762" s="17" t="n">
        <v>0.25</v>
      </c>
      <c r="D762" s="17" t="n">
        <v>0.5833333333333334</v>
      </c>
      <c r="E762" t="inlineStr">
        <is>
          <t>Day</t>
        </is>
      </c>
      <c r="F762" t="inlineStr">
        <is>
          <t>Jul</t>
        </is>
      </c>
      <c r="G762" s="18">
        <f>IF(D762&lt;C762,D762+1-C762,D762-C762)*24</f>
        <v/>
      </c>
      <c r="H762" s="18">
        <f>MAX(0,G762-8)</f>
        <v/>
      </c>
    </row>
    <row r="763">
      <c r="A763" t="n">
        <v>1220</v>
      </c>
      <c r="B763" s="14" t="n">
        <v>46224</v>
      </c>
      <c r="C763" s="17" t="n">
        <v>0.2708333333333333</v>
      </c>
      <c r="D763" s="17" t="n">
        <v>0.6875</v>
      </c>
      <c r="E763" t="inlineStr">
        <is>
          <t>Day</t>
        </is>
      </c>
      <c r="F763" t="inlineStr">
        <is>
          <t>Jul</t>
        </is>
      </c>
      <c r="G763" s="18">
        <f>IF(D763&lt;C763,D763+1-C763,D763-C763)*24</f>
        <v/>
      </c>
      <c r="H763" s="18">
        <f>MAX(0,G763-8)</f>
        <v/>
      </c>
    </row>
    <row r="764">
      <c r="A764" t="n">
        <v>1101</v>
      </c>
      <c r="B764" s="14" t="n">
        <v>46225</v>
      </c>
      <c r="C764" s="17" t="n">
        <v>0.9270833333333334</v>
      </c>
      <c r="D764" s="17" t="n">
        <v>0.3854166666666667</v>
      </c>
      <c r="E764" t="inlineStr">
        <is>
          <t>Night</t>
        </is>
      </c>
      <c r="F764" t="inlineStr">
        <is>
          <t>Jul</t>
        </is>
      </c>
      <c r="G764" s="18">
        <f>IF(D764&lt;C764,D764+1-C764,D764-C764)*24</f>
        <v/>
      </c>
      <c r="H764" s="18">
        <f>MAX(0,G764-8)</f>
        <v/>
      </c>
    </row>
    <row r="765">
      <c r="A765" t="n">
        <v>1102</v>
      </c>
      <c r="B765" s="14" t="n">
        <v>46225</v>
      </c>
      <c r="C765" s="17" t="n">
        <v>0.9166666666666666</v>
      </c>
      <c r="D765" s="17" t="n">
        <v>0.3333333333333333</v>
      </c>
      <c r="E765" t="inlineStr">
        <is>
          <t>Night</t>
        </is>
      </c>
      <c r="F765" t="inlineStr">
        <is>
          <t>Jul</t>
        </is>
      </c>
      <c r="G765" s="18">
        <f>IF(D765&lt;C765,D765+1-C765,D765-C765)*24</f>
        <v/>
      </c>
      <c r="H765" s="18">
        <f>MAX(0,G765-8)</f>
        <v/>
      </c>
    </row>
    <row r="766">
      <c r="A766" t="n">
        <v>1103</v>
      </c>
      <c r="B766" s="14" t="n">
        <v>46225</v>
      </c>
      <c r="C766" s="17" t="n">
        <v>0.9166666666666666</v>
      </c>
      <c r="D766" s="17" t="n">
        <v>0.25</v>
      </c>
      <c r="E766" t="inlineStr">
        <is>
          <t>Night</t>
        </is>
      </c>
      <c r="F766" t="inlineStr">
        <is>
          <t>Jul</t>
        </is>
      </c>
      <c r="G766" s="18">
        <f>IF(D766&lt;C766,D766+1-C766,D766-C766)*24</f>
        <v/>
      </c>
      <c r="H766" s="18">
        <f>MAX(0,G766-8)</f>
        <v/>
      </c>
    </row>
    <row r="767">
      <c r="A767" t="n">
        <v>1104</v>
      </c>
      <c r="B767" s="14" t="n">
        <v>46225</v>
      </c>
      <c r="C767" s="17" t="n">
        <v>0.9375</v>
      </c>
      <c r="D767" s="17" t="n">
        <v>0.2708333333333333</v>
      </c>
      <c r="E767" t="inlineStr">
        <is>
          <t>Night</t>
        </is>
      </c>
      <c r="F767" t="inlineStr">
        <is>
          <t>Jul</t>
        </is>
      </c>
      <c r="G767" s="18">
        <f>IF(D767&lt;C767,D767+1-C767,D767-C767)*24</f>
        <v/>
      </c>
      <c r="H767" s="18">
        <f>MAX(0,G767-8)</f>
        <v/>
      </c>
    </row>
    <row r="768">
      <c r="A768" t="n">
        <v>1106</v>
      </c>
      <c r="B768" s="14" t="n">
        <v>46225</v>
      </c>
      <c r="C768" s="17" t="n">
        <v>0.9166666666666666</v>
      </c>
      <c r="D768" s="17" t="n">
        <v>0.3333333333333333</v>
      </c>
      <c r="E768" t="inlineStr">
        <is>
          <t>Night</t>
        </is>
      </c>
      <c r="F768" t="inlineStr">
        <is>
          <t>Jul</t>
        </is>
      </c>
      <c r="G768" s="18">
        <f>IF(D768&lt;C768,D768+1-C768,D768-C768)*24</f>
        <v/>
      </c>
      <c r="H768" s="18">
        <f>MAX(0,G768-8)</f>
        <v/>
      </c>
    </row>
    <row r="769">
      <c r="A769" t="n">
        <v>1107</v>
      </c>
      <c r="B769" s="14" t="n">
        <v>46225</v>
      </c>
      <c r="C769" s="17" t="n">
        <v>0.9270833333333334</v>
      </c>
      <c r="D769" s="17" t="n">
        <v>0.40625</v>
      </c>
      <c r="E769" t="inlineStr">
        <is>
          <t>Night</t>
        </is>
      </c>
      <c r="F769" t="inlineStr">
        <is>
          <t>Jul</t>
        </is>
      </c>
      <c r="G769" s="18">
        <f>IF(D769&lt;C769,D769+1-C769,D769-C769)*24</f>
        <v/>
      </c>
      <c r="H769" s="18">
        <f>MAX(0,G769-8)</f>
        <v/>
      </c>
    </row>
    <row r="770">
      <c r="A770" t="n">
        <v>1109</v>
      </c>
      <c r="B770" s="14" t="n">
        <v>46225</v>
      </c>
      <c r="C770" s="17" t="n">
        <v>0.9166666666666666</v>
      </c>
      <c r="D770" s="17" t="n">
        <v>0.3333333333333333</v>
      </c>
      <c r="E770" t="inlineStr">
        <is>
          <t>Night</t>
        </is>
      </c>
      <c r="F770" t="inlineStr">
        <is>
          <t>Jul</t>
        </is>
      </c>
      <c r="G770" s="18">
        <f>IF(D770&lt;C770,D770+1-C770,D770-C770)*24</f>
        <v/>
      </c>
      <c r="H770" s="18">
        <f>MAX(0,G770-8)</f>
        <v/>
      </c>
    </row>
    <row r="771">
      <c r="A771" t="n">
        <v>1110</v>
      </c>
      <c r="B771" s="14" t="n">
        <v>46225</v>
      </c>
      <c r="C771" s="17" t="n">
        <v>0.9270833333333334</v>
      </c>
      <c r="D771" s="17" t="n">
        <v>0.34375</v>
      </c>
      <c r="E771" t="inlineStr">
        <is>
          <t>Night</t>
        </is>
      </c>
      <c r="F771" t="inlineStr">
        <is>
          <t>Jul</t>
        </is>
      </c>
      <c r="G771" s="18">
        <f>IF(D771&lt;C771,D771+1-C771,D771-C771)*24</f>
        <v/>
      </c>
      <c r="H771" s="18">
        <f>MAX(0,G771-8)</f>
        <v/>
      </c>
    </row>
    <row r="772">
      <c r="A772" t="n">
        <v>1111</v>
      </c>
      <c r="B772" s="14" t="n">
        <v>46225</v>
      </c>
      <c r="C772" s="17" t="n">
        <v>0.9270833333333334</v>
      </c>
      <c r="D772" s="17" t="n">
        <v>0.40625</v>
      </c>
      <c r="E772" t="inlineStr">
        <is>
          <t>Night</t>
        </is>
      </c>
      <c r="F772" t="inlineStr">
        <is>
          <t>Jul</t>
        </is>
      </c>
      <c r="G772" s="18">
        <f>IF(D772&lt;C772,D772+1-C772,D772-C772)*24</f>
        <v/>
      </c>
      <c r="H772" s="18">
        <f>MAX(0,G772-8)</f>
        <v/>
      </c>
    </row>
    <row r="773">
      <c r="A773" t="n">
        <v>1112</v>
      </c>
      <c r="B773" s="14" t="n">
        <v>46225</v>
      </c>
      <c r="C773" s="17" t="n">
        <v>0.9270833333333334</v>
      </c>
      <c r="D773" s="17" t="n">
        <v>0.28125</v>
      </c>
      <c r="E773" t="inlineStr">
        <is>
          <t>Night</t>
        </is>
      </c>
      <c r="F773" t="inlineStr">
        <is>
          <t>Jul</t>
        </is>
      </c>
      <c r="G773" s="18">
        <f>IF(D773&lt;C773,D773+1-C773,D773-C773)*24</f>
        <v/>
      </c>
      <c r="H773" s="18">
        <f>MAX(0,G773-8)</f>
        <v/>
      </c>
    </row>
    <row r="774">
      <c r="A774" t="n">
        <v>1113</v>
      </c>
      <c r="B774" s="14" t="n">
        <v>46225</v>
      </c>
      <c r="C774" s="17" t="n">
        <v>0.9375</v>
      </c>
      <c r="D774" s="17" t="n">
        <v>0.4166666666666667</v>
      </c>
      <c r="E774" t="inlineStr">
        <is>
          <t>Night</t>
        </is>
      </c>
      <c r="F774" t="inlineStr">
        <is>
          <t>Jul</t>
        </is>
      </c>
      <c r="G774" s="18">
        <f>IF(D774&lt;C774,D774+1-C774,D774-C774)*24</f>
        <v/>
      </c>
      <c r="H774" s="18">
        <f>MAX(0,G774-8)</f>
        <v/>
      </c>
    </row>
    <row r="775">
      <c r="A775" t="n">
        <v>1114</v>
      </c>
      <c r="B775" s="14" t="n">
        <v>46225</v>
      </c>
      <c r="C775" s="17" t="n">
        <v>0.9166666666666666</v>
      </c>
      <c r="D775" s="17" t="n">
        <v>0.375</v>
      </c>
      <c r="E775" t="inlineStr">
        <is>
          <t>Night</t>
        </is>
      </c>
      <c r="F775" t="inlineStr">
        <is>
          <t>Jul</t>
        </is>
      </c>
      <c r="G775" s="18">
        <f>IF(D775&lt;C775,D775+1-C775,D775-C775)*24</f>
        <v/>
      </c>
      <c r="H775" s="18">
        <f>MAX(0,G775-8)</f>
        <v/>
      </c>
    </row>
    <row r="776">
      <c r="A776" t="n">
        <v>1115</v>
      </c>
      <c r="B776" s="14" t="n">
        <v>46225</v>
      </c>
      <c r="C776" s="17" t="n">
        <v>0.9166666666666666</v>
      </c>
      <c r="D776" s="17" t="n">
        <v>0.3333333333333333</v>
      </c>
      <c r="E776" t="inlineStr">
        <is>
          <t>Night</t>
        </is>
      </c>
      <c r="F776" t="inlineStr">
        <is>
          <t>Jul</t>
        </is>
      </c>
      <c r="G776" s="18">
        <f>IF(D776&lt;C776,D776+1-C776,D776-C776)*24</f>
        <v/>
      </c>
      <c r="H776" s="18">
        <f>MAX(0,G776-8)</f>
        <v/>
      </c>
    </row>
    <row r="777">
      <c r="A777" t="n">
        <v>1117</v>
      </c>
      <c r="B777" s="14" t="n">
        <v>46225</v>
      </c>
      <c r="C777" s="17" t="n">
        <v>0.9375</v>
      </c>
      <c r="D777" s="17" t="n">
        <v>0.3333333333333333</v>
      </c>
      <c r="E777" t="inlineStr">
        <is>
          <t>Night</t>
        </is>
      </c>
      <c r="F777" t="inlineStr">
        <is>
          <t>Jul</t>
        </is>
      </c>
      <c r="G777" s="18">
        <f>IF(D777&lt;C777,D777+1-C777,D777-C777)*24</f>
        <v/>
      </c>
      <c r="H777" s="18">
        <f>MAX(0,G777-8)</f>
        <v/>
      </c>
    </row>
    <row r="778">
      <c r="A778" t="n">
        <v>1118</v>
      </c>
      <c r="B778" s="14" t="n">
        <v>46225</v>
      </c>
      <c r="C778" s="17" t="n">
        <v>0.9166666666666666</v>
      </c>
      <c r="D778" s="17" t="n">
        <v>0.2708333333333333</v>
      </c>
      <c r="E778" t="inlineStr">
        <is>
          <t>Night</t>
        </is>
      </c>
      <c r="F778" t="inlineStr">
        <is>
          <t>Jul</t>
        </is>
      </c>
      <c r="G778" s="18">
        <f>IF(D778&lt;C778,D778+1-C778,D778-C778)*24</f>
        <v/>
      </c>
      <c r="H778" s="18">
        <f>MAX(0,G778-8)</f>
        <v/>
      </c>
    </row>
    <row r="779">
      <c r="A779" t="n">
        <v>1119</v>
      </c>
      <c r="B779" s="14" t="n">
        <v>46225</v>
      </c>
      <c r="C779" s="17" t="n">
        <v>0.9375</v>
      </c>
      <c r="D779" s="17" t="n">
        <v>0.2916666666666667</v>
      </c>
      <c r="E779" t="inlineStr">
        <is>
          <t>Night</t>
        </is>
      </c>
      <c r="F779" t="inlineStr">
        <is>
          <t>Jul</t>
        </is>
      </c>
      <c r="G779" s="18">
        <f>IF(D779&lt;C779,D779+1-C779,D779-C779)*24</f>
        <v/>
      </c>
      <c r="H779" s="18">
        <f>MAX(0,G779-8)</f>
        <v/>
      </c>
    </row>
    <row r="780">
      <c r="A780" t="n">
        <v>1120</v>
      </c>
      <c r="B780" s="14" t="n">
        <v>46225</v>
      </c>
      <c r="C780" s="17" t="n">
        <v>0.9166666666666666</v>
      </c>
      <c r="D780" s="17" t="n">
        <v>0.3958333333333333</v>
      </c>
      <c r="E780" t="inlineStr">
        <is>
          <t>Night</t>
        </is>
      </c>
      <c r="F780" t="inlineStr">
        <is>
          <t>Jul</t>
        </is>
      </c>
      <c r="G780" s="18">
        <f>IF(D780&lt;C780,D780+1-C780,D780-C780)*24</f>
        <v/>
      </c>
      <c r="H780" s="18">
        <f>MAX(0,G780-8)</f>
        <v/>
      </c>
    </row>
    <row r="781">
      <c r="A781" t="n">
        <v>1121</v>
      </c>
      <c r="B781" s="14" t="n">
        <v>46225</v>
      </c>
      <c r="C781" s="17" t="n">
        <v>0.9270833333333334</v>
      </c>
      <c r="D781" s="17" t="n">
        <v>0.28125</v>
      </c>
      <c r="E781" t="inlineStr">
        <is>
          <t>Night</t>
        </is>
      </c>
      <c r="F781" t="inlineStr">
        <is>
          <t>Jul</t>
        </is>
      </c>
      <c r="G781" s="18">
        <f>IF(D781&lt;C781,D781+1-C781,D781-C781)*24</f>
        <v/>
      </c>
      <c r="H781" s="18">
        <f>MAX(0,G781-8)</f>
        <v/>
      </c>
    </row>
    <row r="782">
      <c r="A782" t="n">
        <v>1122</v>
      </c>
      <c r="B782" s="14" t="n">
        <v>46225</v>
      </c>
      <c r="C782" s="17" t="n">
        <v>0.9270833333333334</v>
      </c>
      <c r="D782" s="17" t="n">
        <v>0.34375</v>
      </c>
      <c r="E782" t="inlineStr">
        <is>
          <t>Night</t>
        </is>
      </c>
      <c r="F782" t="inlineStr">
        <is>
          <t>Jul</t>
        </is>
      </c>
      <c r="G782" s="18">
        <f>IF(D782&lt;C782,D782+1-C782,D782-C782)*24</f>
        <v/>
      </c>
      <c r="H782" s="18">
        <f>MAX(0,G782-8)</f>
        <v/>
      </c>
    </row>
    <row r="783">
      <c r="A783" t="n">
        <v>1123</v>
      </c>
      <c r="B783" s="14" t="n">
        <v>46225</v>
      </c>
      <c r="C783" s="17" t="n">
        <v>0.9166666666666666</v>
      </c>
      <c r="D783" s="17" t="n">
        <v>0.3125</v>
      </c>
      <c r="E783" t="inlineStr">
        <is>
          <t>Night</t>
        </is>
      </c>
      <c r="F783" t="inlineStr">
        <is>
          <t>Jul</t>
        </is>
      </c>
      <c r="G783" s="18">
        <f>IF(D783&lt;C783,D783+1-C783,D783-C783)*24</f>
        <v/>
      </c>
      <c r="H783" s="18">
        <f>MAX(0,G783-8)</f>
        <v/>
      </c>
    </row>
    <row r="784">
      <c r="A784" t="n">
        <v>1124</v>
      </c>
      <c r="B784" s="14" t="n">
        <v>46225</v>
      </c>
      <c r="C784" s="17" t="n">
        <v>0.9166666666666666</v>
      </c>
      <c r="D784" s="17" t="n">
        <v>0.375</v>
      </c>
      <c r="E784" t="inlineStr">
        <is>
          <t>Night</t>
        </is>
      </c>
      <c r="F784" t="inlineStr">
        <is>
          <t>Jul</t>
        </is>
      </c>
      <c r="G784" s="18">
        <f>IF(D784&lt;C784,D784+1-C784,D784-C784)*24</f>
        <v/>
      </c>
      <c r="H784" s="18">
        <f>MAX(0,G784-8)</f>
        <v/>
      </c>
    </row>
    <row r="785">
      <c r="A785" t="n">
        <v>1125</v>
      </c>
      <c r="B785" s="14" t="n">
        <v>46225</v>
      </c>
      <c r="C785" s="17" t="n">
        <v>0.9166666666666666</v>
      </c>
      <c r="D785" s="17" t="n">
        <v>0.2708333333333333</v>
      </c>
      <c r="E785" t="inlineStr">
        <is>
          <t>Night</t>
        </is>
      </c>
      <c r="F785" t="inlineStr">
        <is>
          <t>Jul</t>
        </is>
      </c>
      <c r="G785" s="18">
        <f>IF(D785&lt;C785,D785+1-C785,D785-C785)*24</f>
        <v/>
      </c>
      <c r="H785" s="18">
        <f>MAX(0,G785-8)</f>
        <v/>
      </c>
    </row>
    <row r="786">
      <c r="A786" t="n">
        <v>1126</v>
      </c>
      <c r="B786" s="14" t="n">
        <v>46225</v>
      </c>
      <c r="C786" s="17" t="n">
        <v>0.9166666666666666</v>
      </c>
      <c r="D786" s="17" t="n">
        <v>0.25</v>
      </c>
      <c r="E786" t="inlineStr">
        <is>
          <t>Night</t>
        </is>
      </c>
      <c r="F786" t="inlineStr">
        <is>
          <t>Jul</t>
        </is>
      </c>
      <c r="G786" s="18">
        <f>IF(D786&lt;C786,D786+1-C786,D786-C786)*24</f>
        <v/>
      </c>
      <c r="H786" s="18">
        <f>MAX(0,G786-8)</f>
        <v/>
      </c>
    </row>
    <row r="787">
      <c r="A787" t="n">
        <v>1128</v>
      </c>
      <c r="B787" s="14" t="n">
        <v>46225</v>
      </c>
      <c r="C787" s="17" t="n">
        <v>0.9375</v>
      </c>
      <c r="D787" s="17" t="n">
        <v>0.2916666666666667</v>
      </c>
      <c r="E787" t="inlineStr">
        <is>
          <t>Night</t>
        </is>
      </c>
      <c r="F787" t="inlineStr">
        <is>
          <t>Jul</t>
        </is>
      </c>
      <c r="G787" s="18">
        <f>IF(D787&lt;C787,D787+1-C787,D787-C787)*24</f>
        <v/>
      </c>
      <c r="H787" s="18">
        <f>MAX(0,G787-8)</f>
        <v/>
      </c>
    </row>
    <row r="788">
      <c r="A788" t="n">
        <v>1129</v>
      </c>
      <c r="B788" s="14" t="n">
        <v>46225</v>
      </c>
      <c r="C788" s="17" t="n">
        <v>0.9166666666666666</v>
      </c>
      <c r="D788" s="17" t="n">
        <v>0.3125</v>
      </c>
      <c r="E788" t="inlineStr">
        <is>
          <t>Night</t>
        </is>
      </c>
      <c r="F788" t="inlineStr">
        <is>
          <t>Jul</t>
        </is>
      </c>
      <c r="G788" s="18">
        <f>IF(D788&lt;C788,D788+1-C788,D788-C788)*24</f>
        <v/>
      </c>
      <c r="H788" s="18">
        <f>MAX(0,G788-8)</f>
        <v/>
      </c>
    </row>
    <row r="789">
      <c r="A789" t="n">
        <v>1130</v>
      </c>
      <c r="B789" s="14" t="n">
        <v>46225</v>
      </c>
      <c r="C789" s="17" t="n">
        <v>0.9166666666666666</v>
      </c>
      <c r="D789" s="17" t="n">
        <v>0.2708333333333333</v>
      </c>
      <c r="E789" t="inlineStr">
        <is>
          <t>Night</t>
        </is>
      </c>
      <c r="F789" t="inlineStr">
        <is>
          <t>Jul</t>
        </is>
      </c>
      <c r="G789" s="18">
        <f>IF(D789&lt;C789,D789+1-C789,D789-C789)*24</f>
        <v/>
      </c>
      <c r="H789" s="18">
        <f>MAX(0,G789-8)</f>
        <v/>
      </c>
    </row>
    <row r="790">
      <c r="A790" t="n">
        <v>1131</v>
      </c>
      <c r="B790" s="14" t="n">
        <v>46225</v>
      </c>
      <c r="C790" s="17" t="n">
        <v>0.9270833333333334</v>
      </c>
      <c r="D790" s="17" t="n">
        <v>0.3854166666666667</v>
      </c>
      <c r="E790" t="inlineStr">
        <is>
          <t>Night</t>
        </is>
      </c>
      <c r="F790" t="inlineStr">
        <is>
          <t>Jul</t>
        </is>
      </c>
      <c r="G790" s="18">
        <f>IF(D790&lt;C790,D790+1-C790,D790-C790)*24</f>
        <v/>
      </c>
      <c r="H790" s="18">
        <f>MAX(0,G790-8)</f>
        <v/>
      </c>
    </row>
    <row r="791">
      <c r="A791" t="n">
        <v>1132</v>
      </c>
      <c r="B791" s="14" t="n">
        <v>46225</v>
      </c>
      <c r="C791" s="17" t="n">
        <v>0.9270833333333334</v>
      </c>
      <c r="D791" s="17" t="n">
        <v>0.3645833333333333</v>
      </c>
      <c r="E791" t="inlineStr">
        <is>
          <t>Night</t>
        </is>
      </c>
      <c r="F791" t="inlineStr">
        <is>
          <t>Jul</t>
        </is>
      </c>
      <c r="G791" s="18">
        <f>IF(D791&lt;C791,D791+1-C791,D791-C791)*24</f>
        <v/>
      </c>
      <c r="H791" s="18">
        <f>MAX(0,G791-8)</f>
        <v/>
      </c>
    </row>
    <row r="792">
      <c r="A792" t="n">
        <v>1135</v>
      </c>
      <c r="B792" s="14" t="n">
        <v>46225</v>
      </c>
      <c r="C792" s="17" t="n">
        <v>0.9166666666666666</v>
      </c>
      <c r="D792" s="17" t="n">
        <v>0.3125</v>
      </c>
      <c r="E792" t="inlineStr">
        <is>
          <t>Night</t>
        </is>
      </c>
      <c r="F792" t="inlineStr">
        <is>
          <t>Jul</t>
        </is>
      </c>
      <c r="G792" s="18">
        <f>IF(D792&lt;C792,D792+1-C792,D792-C792)*24</f>
        <v/>
      </c>
      <c r="H792" s="18">
        <f>MAX(0,G792-8)</f>
        <v/>
      </c>
    </row>
    <row r="793">
      <c r="A793" t="n">
        <v>1136</v>
      </c>
      <c r="B793" s="14" t="n">
        <v>46225</v>
      </c>
      <c r="C793" s="17" t="n">
        <v>0.9166666666666666</v>
      </c>
      <c r="D793" s="17" t="n">
        <v>0.25</v>
      </c>
      <c r="E793" t="inlineStr">
        <is>
          <t>Night</t>
        </is>
      </c>
      <c r="F793" t="inlineStr">
        <is>
          <t>Jul</t>
        </is>
      </c>
      <c r="G793" s="18">
        <f>IF(D793&lt;C793,D793+1-C793,D793-C793)*24</f>
        <v/>
      </c>
      <c r="H793" s="18">
        <f>MAX(0,G793-8)</f>
        <v/>
      </c>
    </row>
    <row r="794">
      <c r="A794" t="n">
        <v>1137</v>
      </c>
      <c r="B794" s="14" t="n">
        <v>46225</v>
      </c>
      <c r="C794" s="17" t="n">
        <v>0.9270833333333334</v>
      </c>
      <c r="D794" s="17" t="n">
        <v>0.40625</v>
      </c>
      <c r="E794" t="inlineStr">
        <is>
          <t>Night</t>
        </is>
      </c>
      <c r="F794" t="inlineStr">
        <is>
          <t>Jul</t>
        </is>
      </c>
      <c r="G794" s="18">
        <f>IF(D794&lt;C794,D794+1-C794,D794-C794)*24</f>
        <v/>
      </c>
      <c r="H794" s="18">
        <f>MAX(0,G794-8)</f>
        <v/>
      </c>
    </row>
    <row r="795">
      <c r="A795" t="n">
        <v>1147</v>
      </c>
      <c r="B795" s="14" t="n">
        <v>46225</v>
      </c>
      <c r="C795" s="17" t="n">
        <v>0.9375</v>
      </c>
      <c r="D795" s="17" t="n">
        <v>0.3541666666666667</v>
      </c>
      <c r="E795" t="inlineStr">
        <is>
          <t>Night</t>
        </is>
      </c>
      <c r="F795" t="inlineStr">
        <is>
          <t>Jul</t>
        </is>
      </c>
      <c r="G795" s="18">
        <f>IF(D795&lt;C795,D795+1-C795,D795-C795)*24</f>
        <v/>
      </c>
      <c r="H795" s="18">
        <f>MAX(0,G795-8)</f>
        <v/>
      </c>
    </row>
    <row r="796">
      <c r="A796" t="n">
        <v>1108</v>
      </c>
      <c r="B796" s="14" t="n">
        <v>46225</v>
      </c>
      <c r="C796" s="17" t="n">
        <v>0.01041666666666667</v>
      </c>
      <c r="D796" s="17" t="n">
        <v>0.4270833333333333</v>
      </c>
      <c r="E796" t="inlineStr">
        <is>
          <t>Night</t>
        </is>
      </c>
      <c r="F796" t="inlineStr">
        <is>
          <t>Jul</t>
        </is>
      </c>
      <c r="G796" s="18">
        <f>IF(D796&lt;C796,D796+1-C796,D796-C796)*24</f>
        <v/>
      </c>
      <c r="H796" s="18">
        <f>MAX(0,G796-8)</f>
        <v/>
      </c>
    </row>
    <row r="797">
      <c r="A797" t="n">
        <v>1116</v>
      </c>
      <c r="B797" s="14" t="n">
        <v>46225</v>
      </c>
      <c r="C797" s="17" t="n">
        <v>0.01041666666666667</v>
      </c>
      <c r="D797" s="17" t="n">
        <v>0.3645833333333333</v>
      </c>
      <c r="E797" t="inlineStr">
        <is>
          <t>Night</t>
        </is>
      </c>
      <c r="F797" t="inlineStr">
        <is>
          <t>Jul</t>
        </is>
      </c>
      <c r="G797" s="18">
        <f>IF(D797&lt;C797,D797+1-C797,D797-C797)*24</f>
        <v/>
      </c>
      <c r="H797" s="18">
        <f>MAX(0,G797-8)</f>
        <v/>
      </c>
    </row>
    <row r="798">
      <c r="A798" t="n">
        <v>1133</v>
      </c>
      <c r="B798" s="14" t="n">
        <v>46225</v>
      </c>
      <c r="C798" s="17" t="n">
        <v>0.02083333333333333</v>
      </c>
      <c r="D798" s="17" t="n">
        <v>0.375</v>
      </c>
      <c r="E798" t="inlineStr">
        <is>
          <t>Night</t>
        </is>
      </c>
      <c r="F798" t="inlineStr">
        <is>
          <t>Jul</t>
        </is>
      </c>
      <c r="G798" s="18">
        <f>IF(D798&lt;C798,D798+1-C798,D798-C798)*24</f>
        <v/>
      </c>
      <c r="H798" s="18">
        <f>MAX(0,G798-8)</f>
        <v/>
      </c>
    </row>
    <row r="799">
      <c r="A799" t="n">
        <v>1134</v>
      </c>
      <c r="B799" s="14" t="n">
        <v>46225</v>
      </c>
      <c r="C799" s="17" t="n">
        <v>0.01041666666666667</v>
      </c>
      <c r="D799" s="17" t="n">
        <v>0.3645833333333333</v>
      </c>
      <c r="E799" t="inlineStr">
        <is>
          <t>Night</t>
        </is>
      </c>
      <c r="F799" t="inlineStr">
        <is>
          <t>Jul</t>
        </is>
      </c>
      <c r="G799" s="18">
        <f>IF(D799&lt;C799,D799+1-C799,D799-C799)*24</f>
        <v/>
      </c>
      <c r="H799" s="18">
        <f>MAX(0,G799-8)</f>
        <v/>
      </c>
    </row>
    <row r="800">
      <c r="A800" t="n">
        <v>1201</v>
      </c>
      <c r="B800" s="14" t="n">
        <v>46225</v>
      </c>
      <c r="C800" s="17" t="n">
        <v>0.25</v>
      </c>
      <c r="D800" s="17" t="n">
        <v>0.6041666666666666</v>
      </c>
      <c r="E800" t="inlineStr">
        <is>
          <t>Day</t>
        </is>
      </c>
      <c r="F800" t="inlineStr">
        <is>
          <t>Jul</t>
        </is>
      </c>
      <c r="G800" s="18">
        <f>IF(D800&lt;C800,D800+1-C800,D800-C800)*24</f>
        <v/>
      </c>
      <c r="H800" s="18">
        <f>MAX(0,G800-8)</f>
        <v/>
      </c>
    </row>
    <row r="801">
      <c r="A801" t="n">
        <v>1202</v>
      </c>
      <c r="B801" s="14" t="n">
        <v>46225</v>
      </c>
      <c r="C801" s="17" t="n">
        <v>0.25</v>
      </c>
      <c r="D801" s="17" t="n">
        <v>0.5833333333333334</v>
      </c>
      <c r="E801" t="inlineStr">
        <is>
          <t>Day</t>
        </is>
      </c>
      <c r="F801" t="inlineStr">
        <is>
          <t>Jul</t>
        </is>
      </c>
      <c r="G801" s="18">
        <f>IF(D801&lt;C801,D801+1-C801,D801-C801)*24</f>
        <v/>
      </c>
      <c r="H801" s="18">
        <f>MAX(0,G801-8)</f>
        <v/>
      </c>
    </row>
    <row r="802">
      <c r="A802" t="n">
        <v>1203</v>
      </c>
      <c r="B802" s="14" t="n">
        <v>46225</v>
      </c>
      <c r="C802" s="17" t="n">
        <v>0.2708333333333333</v>
      </c>
      <c r="D802" s="17" t="n">
        <v>0.6041666666666666</v>
      </c>
      <c r="E802" t="inlineStr">
        <is>
          <t>Day</t>
        </is>
      </c>
      <c r="F802" t="inlineStr">
        <is>
          <t>Jul</t>
        </is>
      </c>
      <c r="G802" s="18">
        <f>IF(D802&lt;C802,D802+1-C802,D802-C802)*24</f>
        <v/>
      </c>
      <c r="H802" s="18">
        <f>MAX(0,G802-8)</f>
        <v/>
      </c>
    </row>
    <row r="803">
      <c r="A803" t="n">
        <v>1204</v>
      </c>
      <c r="B803" s="14" t="n">
        <v>46225</v>
      </c>
      <c r="C803" s="17" t="n">
        <v>0.25</v>
      </c>
      <c r="D803" s="17" t="n">
        <v>0.6041666666666666</v>
      </c>
      <c r="E803" t="inlineStr">
        <is>
          <t>Day</t>
        </is>
      </c>
      <c r="F803" t="inlineStr">
        <is>
          <t>Jul</t>
        </is>
      </c>
      <c r="G803" s="18">
        <f>IF(D803&lt;C803,D803+1-C803,D803-C803)*24</f>
        <v/>
      </c>
      <c r="H803" s="18">
        <f>MAX(0,G803-8)</f>
        <v/>
      </c>
    </row>
    <row r="804">
      <c r="A804" t="n">
        <v>1205</v>
      </c>
      <c r="B804" s="14" t="n">
        <v>46225</v>
      </c>
      <c r="C804" s="17" t="n">
        <v>0.25</v>
      </c>
      <c r="D804" s="17" t="n">
        <v>0.625</v>
      </c>
      <c r="E804" t="inlineStr">
        <is>
          <t>Day</t>
        </is>
      </c>
      <c r="F804" t="inlineStr">
        <is>
          <t>Jul</t>
        </is>
      </c>
      <c r="G804" s="18">
        <f>IF(D804&lt;C804,D804+1-C804,D804-C804)*24</f>
        <v/>
      </c>
      <c r="H804" s="18">
        <f>MAX(0,G804-8)</f>
        <v/>
      </c>
    </row>
    <row r="805">
      <c r="A805" t="n">
        <v>1206</v>
      </c>
      <c r="B805" s="14" t="n">
        <v>46225</v>
      </c>
      <c r="C805" s="17" t="n">
        <v>0.2708333333333333</v>
      </c>
      <c r="D805" s="17" t="n">
        <v>0.625</v>
      </c>
      <c r="E805" t="inlineStr">
        <is>
          <t>Day</t>
        </is>
      </c>
      <c r="F805" t="inlineStr">
        <is>
          <t>Jul</t>
        </is>
      </c>
      <c r="G805" s="18">
        <f>IF(D805&lt;C805,D805+1-C805,D805-C805)*24</f>
        <v/>
      </c>
      <c r="H805" s="18">
        <f>MAX(0,G805-8)</f>
        <v/>
      </c>
    </row>
    <row r="806">
      <c r="A806" t="n">
        <v>1207</v>
      </c>
      <c r="B806" s="14" t="n">
        <v>46225</v>
      </c>
      <c r="C806" s="17" t="n">
        <v>0.2708333333333333</v>
      </c>
      <c r="D806" s="17" t="n">
        <v>0.6041666666666666</v>
      </c>
      <c r="E806" t="inlineStr">
        <is>
          <t>Day</t>
        </is>
      </c>
      <c r="F806" t="inlineStr">
        <is>
          <t>Jul</t>
        </is>
      </c>
      <c r="G806" s="18">
        <f>IF(D806&lt;C806,D806+1-C806,D806-C806)*24</f>
        <v/>
      </c>
      <c r="H806" s="18">
        <f>MAX(0,G806-8)</f>
        <v/>
      </c>
    </row>
    <row r="807">
      <c r="A807" t="n">
        <v>1208</v>
      </c>
      <c r="B807" s="14" t="n">
        <v>46225</v>
      </c>
      <c r="C807" s="17" t="n">
        <v>0.25</v>
      </c>
      <c r="D807" s="17" t="n">
        <v>0.6041666666666666</v>
      </c>
      <c r="E807" t="inlineStr">
        <is>
          <t>Day</t>
        </is>
      </c>
      <c r="F807" t="inlineStr">
        <is>
          <t>Jul</t>
        </is>
      </c>
      <c r="G807" s="18">
        <f>IF(D807&lt;C807,D807+1-C807,D807-C807)*24</f>
        <v/>
      </c>
      <c r="H807" s="18">
        <f>MAX(0,G807-8)</f>
        <v/>
      </c>
    </row>
    <row r="808">
      <c r="A808" t="n">
        <v>1209</v>
      </c>
      <c r="B808" s="14" t="n">
        <v>46225</v>
      </c>
      <c r="C808" s="17" t="n">
        <v>0.25</v>
      </c>
      <c r="D808" s="17" t="n">
        <v>0.5833333333333334</v>
      </c>
      <c r="E808" t="inlineStr">
        <is>
          <t>Day</t>
        </is>
      </c>
      <c r="F808" t="inlineStr">
        <is>
          <t>Jul</t>
        </is>
      </c>
      <c r="G808" s="18">
        <f>IF(D808&lt;C808,D808+1-C808,D808-C808)*24</f>
        <v/>
      </c>
      <c r="H808" s="18">
        <f>MAX(0,G808-8)</f>
        <v/>
      </c>
    </row>
    <row r="809">
      <c r="A809" t="n">
        <v>1211</v>
      </c>
      <c r="B809" s="14" t="n">
        <v>46225</v>
      </c>
      <c r="C809" s="17" t="n">
        <v>0.25</v>
      </c>
      <c r="D809" s="17" t="n">
        <v>0.5833333333333334</v>
      </c>
      <c r="E809" t="inlineStr">
        <is>
          <t>Day</t>
        </is>
      </c>
      <c r="F809" t="inlineStr">
        <is>
          <t>Jul</t>
        </is>
      </c>
      <c r="G809" s="18">
        <f>IF(D809&lt;C809,D809+1-C809,D809-C809)*24</f>
        <v/>
      </c>
      <c r="H809" s="18">
        <f>MAX(0,G809-8)</f>
        <v/>
      </c>
    </row>
    <row r="810">
      <c r="A810" t="n">
        <v>1212</v>
      </c>
      <c r="B810" s="14" t="n">
        <v>46225</v>
      </c>
      <c r="C810" s="17" t="n">
        <v>0.25</v>
      </c>
      <c r="D810" s="17" t="n">
        <v>0.625</v>
      </c>
      <c r="E810" t="inlineStr">
        <is>
          <t>Day</t>
        </is>
      </c>
      <c r="F810" t="inlineStr">
        <is>
          <t>Jul</t>
        </is>
      </c>
      <c r="G810" s="18">
        <f>IF(D810&lt;C810,D810+1-C810,D810-C810)*24</f>
        <v/>
      </c>
      <c r="H810" s="18">
        <f>MAX(0,G810-8)</f>
        <v/>
      </c>
    </row>
    <row r="811">
      <c r="A811" t="n">
        <v>1213</v>
      </c>
      <c r="B811" s="14" t="n">
        <v>46225</v>
      </c>
      <c r="C811" s="17" t="n">
        <v>0.2708333333333333</v>
      </c>
      <c r="D811" s="17" t="n">
        <v>0.6041666666666666</v>
      </c>
      <c r="E811" t="inlineStr">
        <is>
          <t>Day</t>
        </is>
      </c>
      <c r="F811" t="inlineStr">
        <is>
          <t>Jul</t>
        </is>
      </c>
      <c r="G811" s="18">
        <f>IF(D811&lt;C811,D811+1-C811,D811-C811)*24</f>
        <v/>
      </c>
      <c r="H811" s="18">
        <f>MAX(0,G811-8)</f>
        <v/>
      </c>
    </row>
    <row r="812">
      <c r="A812" t="n">
        <v>1215</v>
      </c>
      <c r="B812" s="14" t="n">
        <v>46225</v>
      </c>
      <c r="C812" s="17" t="n">
        <v>0.25</v>
      </c>
      <c r="D812" s="17" t="n">
        <v>0.5833333333333334</v>
      </c>
      <c r="E812" t="inlineStr">
        <is>
          <t>Day</t>
        </is>
      </c>
      <c r="F812" t="inlineStr">
        <is>
          <t>Jul</t>
        </is>
      </c>
      <c r="G812" s="18">
        <f>IF(D812&lt;C812,D812+1-C812,D812-C812)*24</f>
        <v/>
      </c>
      <c r="H812" s="18">
        <f>MAX(0,G812-8)</f>
        <v/>
      </c>
    </row>
    <row r="813">
      <c r="A813" t="n">
        <v>1216</v>
      </c>
      <c r="B813" s="14" t="n">
        <v>46225</v>
      </c>
      <c r="C813" s="17" t="n">
        <v>0.25</v>
      </c>
      <c r="D813" s="17" t="n">
        <v>0.6041666666666666</v>
      </c>
      <c r="E813" t="inlineStr">
        <is>
          <t>Day</t>
        </is>
      </c>
      <c r="F813" t="inlineStr">
        <is>
          <t>Jul</t>
        </is>
      </c>
      <c r="G813" s="18">
        <f>IF(D813&lt;C813,D813+1-C813,D813-C813)*24</f>
        <v/>
      </c>
      <c r="H813" s="18">
        <f>MAX(0,G813-8)</f>
        <v/>
      </c>
    </row>
    <row r="814">
      <c r="A814" t="n">
        <v>1218</v>
      </c>
      <c r="B814" s="14" t="n">
        <v>46225</v>
      </c>
      <c r="C814" s="17" t="n">
        <v>0.25</v>
      </c>
      <c r="D814" s="17" t="n">
        <v>0.6666666666666666</v>
      </c>
      <c r="E814" t="inlineStr">
        <is>
          <t>Day</t>
        </is>
      </c>
      <c r="F814" t="inlineStr">
        <is>
          <t>Jul</t>
        </is>
      </c>
      <c r="G814" s="18">
        <f>IF(D814&lt;C814,D814+1-C814,D814-C814)*24</f>
        <v/>
      </c>
      <c r="H814" s="18">
        <f>MAX(0,G814-8)</f>
        <v/>
      </c>
    </row>
    <row r="815">
      <c r="A815" t="n">
        <v>1219</v>
      </c>
      <c r="B815" s="14" t="n">
        <v>46225</v>
      </c>
      <c r="C815" s="17" t="n">
        <v>0.25</v>
      </c>
      <c r="D815" s="17" t="n">
        <v>0.6041666666666666</v>
      </c>
      <c r="E815" t="inlineStr">
        <is>
          <t>Day</t>
        </is>
      </c>
      <c r="F815" t="inlineStr">
        <is>
          <t>Jul</t>
        </is>
      </c>
      <c r="G815" s="18">
        <f>IF(D815&lt;C815,D815+1-C815,D815-C815)*24</f>
        <v/>
      </c>
      <c r="H815" s="18">
        <f>MAX(0,G815-8)</f>
        <v/>
      </c>
    </row>
    <row r="816">
      <c r="A816" t="n">
        <v>1220</v>
      </c>
      <c r="B816" s="14" t="n">
        <v>46225</v>
      </c>
      <c r="C816" s="17" t="n">
        <v>0.2708333333333333</v>
      </c>
      <c r="D816" s="17" t="n">
        <v>0.6041666666666666</v>
      </c>
      <c r="E816" t="inlineStr">
        <is>
          <t>Day</t>
        </is>
      </c>
      <c r="F816" t="inlineStr">
        <is>
          <t>Jul</t>
        </is>
      </c>
      <c r="G816" s="18">
        <f>IF(D816&lt;C816,D816+1-C816,D816-C816)*24</f>
        <v/>
      </c>
      <c r="H816" s="18">
        <f>MAX(0,G816-8)</f>
        <v/>
      </c>
    </row>
    <row r="817">
      <c r="A817" t="n">
        <v>1101</v>
      </c>
      <c r="B817" s="14" t="n">
        <v>46226</v>
      </c>
      <c r="C817" s="17" t="n">
        <v>0.9166666666666666</v>
      </c>
      <c r="D817" s="17" t="n">
        <v>0.2708333333333333</v>
      </c>
      <c r="E817" t="inlineStr">
        <is>
          <t>Night</t>
        </is>
      </c>
      <c r="F817" t="inlineStr">
        <is>
          <t>Jul</t>
        </is>
      </c>
      <c r="G817" s="18">
        <f>IF(D817&lt;C817,D817+1-C817,D817-C817)*24</f>
        <v/>
      </c>
      <c r="H817" s="18">
        <f>MAX(0,G817-8)</f>
        <v/>
      </c>
    </row>
    <row r="818">
      <c r="A818" t="n">
        <v>1102</v>
      </c>
      <c r="B818" s="14" t="n">
        <v>46226</v>
      </c>
      <c r="C818" s="17" t="n">
        <v>0.9166666666666666</v>
      </c>
      <c r="D818" s="17" t="n">
        <v>0.3958333333333333</v>
      </c>
      <c r="E818" t="inlineStr">
        <is>
          <t>Night</t>
        </is>
      </c>
      <c r="F818" t="inlineStr">
        <is>
          <t>Jul</t>
        </is>
      </c>
      <c r="G818" s="18">
        <f>IF(D818&lt;C818,D818+1-C818,D818-C818)*24</f>
        <v/>
      </c>
      <c r="H818" s="18">
        <f>MAX(0,G818-8)</f>
        <v/>
      </c>
    </row>
    <row r="819">
      <c r="A819" t="n">
        <v>1104</v>
      </c>
      <c r="B819" s="14" t="n">
        <v>46226</v>
      </c>
      <c r="C819" s="17" t="n">
        <v>0.9375</v>
      </c>
      <c r="D819" s="17" t="n">
        <v>0.3333333333333333</v>
      </c>
      <c r="E819" t="inlineStr">
        <is>
          <t>Night</t>
        </is>
      </c>
      <c r="F819" t="inlineStr">
        <is>
          <t>Jul</t>
        </is>
      </c>
      <c r="G819" s="18">
        <f>IF(D819&lt;C819,D819+1-C819,D819-C819)*24</f>
        <v/>
      </c>
      <c r="H819" s="18">
        <f>MAX(0,G819-8)</f>
        <v/>
      </c>
    </row>
    <row r="820">
      <c r="A820" t="n">
        <v>1106</v>
      </c>
      <c r="B820" s="14" t="n">
        <v>46226</v>
      </c>
      <c r="C820" s="17" t="n">
        <v>0.9166666666666666</v>
      </c>
      <c r="D820" s="17" t="n">
        <v>0.3958333333333333</v>
      </c>
      <c r="E820" t="inlineStr">
        <is>
          <t>Night</t>
        </is>
      </c>
      <c r="F820" t="inlineStr">
        <is>
          <t>Jul</t>
        </is>
      </c>
      <c r="G820" s="18">
        <f>IF(D820&lt;C820,D820+1-C820,D820-C820)*24</f>
        <v/>
      </c>
      <c r="H820" s="18">
        <f>MAX(0,G820-8)</f>
        <v/>
      </c>
    </row>
    <row r="821">
      <c r="A821" t="n">
        <v>1107</v>
      </c>
      <c r="B821" s="14" t="n">
        <v>46226</v>
      </c>
      <c r="C821" s="17" t="n">
        <v>0.9166666666666666</v>
      </c>
      <c r="D821" s="17" t="n">
        <v>0.3958333333333333</v>
      </c>
      <c r="E821" t="inlineStr">
        <is>
          <t>Night</t>
        </is>
      </c>
      <c r="F821" t="inlineStr">
        <is>
          <t>Jul</t>
        </is>
      </c>
      <c r="G821" s="18">
        <f>IF(D821&lt;C821,D821+1-C821,D821-C821)*24</f>
        <v/>
      </c>
      <c r="H821" s="18">
        <f>MAX(0,G821-8)</f>
        <v/>
      </c>
    </row>
    <row r="822">
      <c r="A822" t="n">
        <v>1108</v>
      </c>
      <c r="B822" s="14" t="n">
        <v>46226</v>
      </c>
      <c r="C822" s="17" t="n">
        <v>0.9166666666666666</v>
      </c>
      <c r="D822" s="17" t="n">
        <v>0.2916666666666667</v>
      </c>
      <c r="E822" t="inlineStr">
        <is>
          <t>Night</t>
        </is>
      </c>
      <c r="F822" t="inlineStr">
        <is>
          <t>Jul</t>
        </is>
      </c>
      <c r="G822" s="18">
        <f>IF(D822&lt;C822,D822+1-C822,D822-C822)*24</f>
        <v/>
      </c>
      <c r="H822" s="18">
        <f>MAX(0,G822-8)</f>
        <v/>
      </c>
    </row>
    <row r="823">
      <c r="A823" t="n">
        <v>1109</v>
      </c>
      <c r="B823" s="14" t="n">
        <v>46226</v>
      </c>
      <c r="C823" s="17" t="n">
        <v>0.9270833333333334</v>
      </c>
      <c r="D823" s="17" t="n">
        <v>0.3020833333333333</v>
      </c>
      <c r="E823" t="inlineStr">
        <is>
          <t>Night</t>
        </is>
      </c>
      <c r="F823" t="inlineStr">
        <is>
          <t>Jul</t>
        </is>
      </c>
      <c r="G823" s="18">
        <f>IF(D823&lt;C823,D823+1-C823,D823-C823)*24</f>
        <v/>
      </c>
      <c r="H823" s="18">
        <f>MAX(0,G823-8)</f>
        <v/>
      </c>
    </row>
    <row r="824">
      <c r="A824" t="n">
        <v>1111</v>
      </c>
      <c r="B824" s="14" t="n">
        <v>46226</v>
      </c>
      <c r="C824" s="17" t="n">
        <v>0.9375</v>
      </c>
      <c r="D824" s="17" t="n">
        <v>0.3333333333333333</v>
      </c>
      <c r="E824" t="inlineStr">
        <is>
          <t>Night</t>
        </is>
      </c>
      <c r="F824" t="inlineStr">
        <is>
          <t>Jul</t>
        </is>
      </c>
      <c r="G824" s="18">
        <f>IF(D824&lt;C824,D824+1-C824,D824-C824)*24</f>
        <v/>
      </c>
      <c r="H824" s="18">
        <f>MAX(0,G824-8)</f>
        <v/>
      </c>
    </row>
    <row r="825">
      <c r="A825" t="n">
        <v>1112</v>
      </c>
      <c r="B825" s="14" t="n">
        <v>46226</v>
      </c>
      <c r="C825" s="17" t="n">
        <v>0.9375</v>
      </c>
      <c r="D825" s="17" t="n">
        <v>0.2708333333333333</v>
      </c>
      <c r="E825" t="inlineStr">
        <is>
          <t>Night</t>
        </is>
      </c>
      <c r="F825" t="inlineStr">
        <is>
          <t>Jul</t>
        </is>
      </c>
      <c r="G825" s="18">
        <f>IF(D825&lt;C825,D825+1-C825,D825-C825)*24</f>
        <v/>
      </c>
      <c r="H825" s="18">
        <f>MAX(0,G825-8)</f>
        <v/>
      </c>
    </row>
    <row r="826">
      <c r="A826" t="n">
        <v>1113</v>
      </c>
      <c r="B826" s="14" t="n">
        <v>46226</v>
      </c>
      <c r="C826" s="17" t="n">
        <v>0.9166666666666666</v>
      </c>
      <c r="D826" s="17" t="n">
        <v>0.2708333333333333</v>
      </c>
      <c r="E826" t="inlineStr">
        <is>
          <t>Night</t>
        </is>
      </c>
      <c r="F826" t="inlineStr">
        <is>
          <t>Jul</t>
        </is>
      </c>
      <c r="G826" s="18">
        <f>IF(D826&lt;C826,D826+1-C826,D826-C826)*24</f>
        <v/>
      </c>
      <c r="H826" s="18">
        <f>MAX(0,G826-8)</f>
        <v/>
      </c>
    </row>
    <row r="827">
      <c r="A827" t="n">
        <v>1114</v>
      </c>
      <c r="B827" s="14" t="n">
        <v>46226</v>
      </c>
      <c r="C827" s="17" t="n">
        <v>0.9166666666666666</v>
      </c>
      <c r="D827" s="17" t="n">
        <v>0.25</v>
      </c>
      <c r="E827" t="inlineStr">
        <is>
          <t>Night</t>
        </is>
      </c>
      <c r="F827" t="inlineStr">
        <is>
          <t>Jul</t>
        </is>
      </c>
      <c r="G827" s="18">
        <f>IF(D827&lt;C827,D827+1-C827,D827-C827)*24</f>
        <v/>
      </c>
      <c r="H827" s="18">
        <f>MAX(0,G827-8)</f>
        <v/>
      </c>
    </row>
    <row r="828">
      <c r="A828" t="n">
        <v>1115</v>
      </c>
      <c r="B828" s="14" t="n">
        <v>46226</v>
      </c>
      <c r="C828" s="17" t="n">
        <v>0.9270833333333334</v>
      </c>
      <c r="D828" s="17" t="n">
        <v>0.3645833333333333</v>
      </c>
      <c r="E828" t="inlineStr">
        <is>
          <t>Night</t>
        </is>
      </c>
      <c r="F828" t="inlineStr">
        <is>
          <t>Jul</t>
        </is>
      </c>
      <c r="G828" s="18">
        <f>IF(D828&lt;C828,D828+1-C828,D828-C828)*24</f>
        <v/>
      </c>
      <c r="H828" s="18">
        <f>MAX(0,G828-8)</f>
        <v/>
      </c>
    </row>
    <row r="829">
      <c r="A829" t="n">
        <v>1116</v>
      </c>
      <c r="B829" s="14" t="n">
        <v>46226</v>
      </c>
      <c r="C829" s="17" t="n">
        <v>0.9166666666666666</v>
      </c>
      <c r="D829" s="17" t="n">
        <v>0.375</v>
      </c>
      <c r="E829" t="inlineStr">
        <is>
          <t>Night</t>
        </is>
      </c>
      <c r="F829" t="inlineStr">
        <is>
          <t>Jul</t>
        </is>
      </c>
      <c r="G829" s="18">
        <f>IF(D829&lt;C829,D829+1-C829,D829-C829)*24</f>
        <v/>
      </c>
      <c r="H829" s="18">
        <f>MAX(0,G829-8)</f>
        <v/>
      </c>
    </row>
    <row r="830">
      <c r="A830" t="n">
        <v>1117</v>
      </c>
      <c r="B830" s="14" t="n">
        <v>46226</v>
      </c>
      <c r="C830" s="17" t="n">
        <v>0.9166666666666666</v>
      </c>
      <c r="D830" s="17" t="n">
        <v>0.3125</v>
      </c>
      <c r="E830" t="inlineStr">
        <is>
          <t>Night</t>
        </is>
      </c>
      <c r="F830" t="inlineStr">
        <is>
          <t>Jul</t>
        </is>
      </c>
      <c r="G830" s="18">
        <f>IF(D830&lt;C830,D830+1-C830,D830-C830)*24</f>
        <v/>
      </c>
      <c r="H830" s="18">
        <f>MAX(0,G830-8)</f>
        <v/>
      </c>
    </row>
    <row r="831">
      <c r="A831" t="n">
        <v>1118</v>
      </c>
      <c r="B831" s="14" t="n">
        <v>46226</v>
      </c>
      <c r="C831" s="17" t="n">
        <v>0.9375</v>
      </c>
      <c r="D831" s="17" t="n">
        <v>0.3541666666666667</v>
      </c>
      <c r="E831" t="inlineStr">
        <is>
          <t>Night</t>
        </is>
      </c>
      <c r="F831" t="inlineStr">
        <is>
          <t>Jul</t>
        </is>
      </c>
      <c r="G831" s="18">
        <f>IF(D831&lt;C831,D831+1-C831,D831-C831)*24</f>
        <v/>
      </c>
      <c r="H831" s="18">
        <f>MAX(0,G831-8)</f>
        <v/>
      </c>
    </row>
    <row r="832">
      <c r="A832" t="n">
        <v>1119</v>
      </c>
      <c r="B832" s="14" t="n">
        <v>46226</v>
      </c>
      <c r="C832" s="17" t="n">
        <v>0.9166666666666666</v>
      </c>
      <c r="D832" s="17" t="n">
        <v>0.2708333333333333</v>
      </c>
      <c r="E832" t="inlineStr">
        <is>
          <t>Night</t>
        </is>
      </c>
      <c r="F832" t="inlineStr">
        <is>
          <t>Jul</t>
        </is>
      </c>
      <c r="G832" s="18">
        <f>IF(D832&lt;C832,D832+1-C832,D832-C832)*24</f>
        <v/>
      </c>
      <c r="H832" s="18">
        <f>MAX(0,G832-8)</f>
        <v/>
      </c>
    </row>
    <row r="833">
      <c r="A833" t="n">
        <v>1120</v>
      </c>
      <c r="B833" s="14" t="n">
        <v>46226</v>
      </c>
      <c r="C833" s="17" t="n">
        <v>0.9166666666666666</v>
      </c>
      <c r="D833" s="17" t="n">
        <v>0.3541666666666667</v>
      </c>
      <c r="E833" t="inlineStr">
        <is>
          <t>Night</t>
        </is>
      </c>
      <c r="F833" t="inlineStr">
        <is>
          <t>Jul</t>
        </is>
      </c>
      <c r="G833" s="18">
        <f>IF(D833&lt;C833,D833+1-C833,D833-C833)*24</f>
        <v/>
      </c>
      <c r="H833" s="18">
        <f>MAX(0,G833-8)</f>
        <v/>
      </c>
    </row>
    <row r="834">
      <c r="A834" t="n">
        <v>1121</v>
      </c>
      <c r="B834" s="14" t="n">
        <v>46226</v>
      </c>
      <c r="C834" s="17" t="n">
        <v>0.9166666666666666</v>
      </c>
      <c r="D834" s="17" t="n">
        <v>0.2916666666666667</v>
      </c>
      <c r="E834" t="inlineStr">
        <is>
          <t>Night</t>
        </is>
      </c>
      <c r="F834" t="inlineStr">
        <is>
          <t>Jul</t>
        </is>
      </c>
      <c r="G834" s="18">
        <f>IF(D834&lt;C834,D834+1-C834,D834-C834)*24</f>
        <v/>
      </c>
      <c r="H834" s="18">
        <f>MAX(0,G834-8)</f>
        <v/>
      </c>
    </row>
    <row r="835">
      <c r="A835" t="n">
        <v>1122</v>
      </c>
      <c r="B835" s="14" t="n">
        <v>46226</v>
      </c>
      <c r="C835" s="17" t="n">
        <v>0.9166666666666666</v>
      </c>
      <c r="D835" s="17" t="n">
        <v>0.25</v>
      </c>
      <c r="E835" t="inlineStr">
        <is>
          <t>Night</t>
        </is>
      </c>
      <c r="F835" t="inlineStr">
        <is>
          <t>Jul</t>
        </is>
      </c>
      <c r="G835" s="18">
        <f>IF(D835&lt;C835,D835+1-C835,D835-C835)*24</f>
        <v/>
      </c>
      <c r="H835" s="18">
        <f>MAX(0,G835-8)</f>
        <v/>
      </c>
    </row>
    <row r="836">
      <c r="A836" t="n">
        <v>1123</v>
      </c>
      <c r="B836" s="14" t="n">
        <v>46226</v>
      </c>
      <c r="C836" s="17" t="n">
        <v>0.9166666666666666</v>
      </c>
      <c r="D836" s="17" t="n">
        <v>0.3125</v>
      </c>
      <c r="E836" t="inlineStr">
        <is>
          <t>Night</t>
        </is>
      </c>
      <c r="F836" t="inlineStr">
        <is>
          <t>Jul</t>
        </is>
      </c>
      <c r="G836" s="18">
        <f>IF(D836&lt;C836,D836+1-C836,D836-C836)*24</f>
        <v/>
      </c>
      <c r="H836" s="18">
        <f>MAX(0,G836-8)</f>
        <v/>
      </c>
    </row>
    <row r="837">
      <c r="A837" t="n">
        <v>1124</v>
      </c>
      <c r="B837" s="14" t="n">
        <v>46226</v>
      </c>
      <c r="C837" s="17" t="n">
        <v>0.9166666666666666</v>
      </c>
      <c r="D837" s="17" t="n">
        <v>0.3333333333333333</v>
      </c>
      <c r="E837" t="inlineStr">
        <is>
          <t>Night</t>
        </is>
      </c>
      <c r="F837" t="inlineStr">
        <is>
          <t>Jul</t>
        </is>
      </c>
      <c r="G837" s="18">
        <f>IF(D837&lt;C837,D837+1-C837,D837-C837)*24</f>
        <v/>
      </c>
      <c r="H837" s="18">
        <f>MAX(0,G837-8)</f>
        <v/>
      </c>
    </row>
    <row r="838">
      <c r="A838" t="n">
        <v>1125</v>
      </c>
      <c r="B838" s="14" t="n">
        <v>46226</v>
      </c>
      <c r="C838" s="17" t="n">
        <v>0.9166666666666666</v>
      </c>
      <c r="D838" s="17" t="n">
        <v>0.3541666666666667</v>
      </c>
      <c r="E838" t="inlineStr">
        <is>
          <t>Night</t>
        </is>
      </c>
      <c r="F838" t="inlineStr">
        <is>
          <t>Jul</t>
        </is>
      </c>
      <c r="G838" s="18">
        <f>IF(D838&lt;C838,D838+1-C838,D838-C838)*24</f>
        <v/>
      </c>
      <c r="H838" s="18">
        <f>MAX(0,G838-8)</f>
        <v/>
      </c>
    </row>
    <row r="839">
      <c r="A839" t="n">
        <v>1126</v>
      </c>
      <c r="B839" s="14" t="n">
        <v>46226</v>
      </c>
      <c r="C839" s="17" t="n">
        <v>0.9166666666666666</v>
      </c>
      <c r="D839" s="17" t="n">
        <v>0.25</v>
      </c>
      <c r="E839" t="inlineStr">
        <is>
          <t>Night</t>
        </is>
      </c>
      <c r="F839" t="inlineStr">
        <is>
          <t>Jul</t>
        </is>
      </c>
      <c r="G839" s="18">
        <f>IF(D839&lt;C839,D839+1-C839,D839-C839)*24</f>
        <v/>
      </c>
      <c r="H839" s="18">
        <f>MAX(0,G839-8)</f>
        <v/>
      </c>
    </row>
    <row r="840">
      <c r="A840" t="n">
        <v>1128</v>
      </c>
      <c r="B840" s="14" t="n">
        <v>46226</v>
      </c>
      <c r="C840" s="17" t="n">
        <v>0.9166666666666666</v>
      </c>
      <c r="D840" s="17" t="n">
        <v>0.375</v>
      </c>
      <c r="E840" t="inlineStr">
        <is>
          <t>Night</t>
        </is>
      </c>
      <c r="F840" t="inlineStr">
        <is>
          <t>Jul</t>
        </is>
      </c>
      <c r="G840" s="18">
        <f>IF(D840&lt;C840,D840+1-C840,D840-C840)*24</f>
        <v/>
      </c>
      <c r="H840" s="18">
        <f>MAX(0,G840-8)</f>
        <v/>
      </c>
    </row>
    <row r="841">
      <c r="A841" t="n">
        <v>1129</v>
      </c>
      <c r="B841" s="14" t="n">
        <v>46226</v>
      </c>
      <c r="C841" s="17" t="n">
        <v>0.9166666666666666</v>
      </c>
      <c r="D841" s="17" t="n">
        <v>0.3125</v>
      </c>
      <c r="E841" t="inlineStr">
        <is>
          <t>Night</t>
        </is>
      </c>
      <c r="F841" t="inlineStr">
        <is>
          <t>Jul</t>
        </is>
      </c>
      <c r="G841" s="18">
        <f>IF(D841&lt;C841,D841+1-C841,D841-C841)*24</f>
        <v/>
      </c>
      <c r="H841" s="18">
        <f>MAX(0,G841-8)</f>
        <v/>
      </c>
    </row>
    <row r="842">
      <c r="A842" t="n">
        <v>1130</v>
      </c>
      <c r="B842" s="14" t="n">
        <v>46226</v>
      </c>
      <c r="C842" s="17" t="n">
        <v>0.9166666666666666</v>
      </c>
      <c r="D842" s="17" t="n">
        <v>0.375</v>
      </c>
      <c r="E842" t="inlineStr">
        <is>
          <t>Night</t>
        </is>
      </c>
      <c r="F842" t="inlineStr">
        <is>
          <t>Jul</t>
        </is>
      </c>
      <c r="G842" s="18">
        <f>IF(D842&lt;C842,D842+1-C842,D842-C842)*24</f>
        <v/>
      </c>
      <c r="H842" s="18">
        <f>MAX(0,G842-8)</f>
        <v/>
      </c>
    </row>
    <row r="843">
      <c r="A843" t="n">
        <v>1131</v>
      </c>
      <c r="B843" s="14" t="n">
        <v>46226</v>
      </c>
      <c r="C843" s="17" t="n">
        <v>0.9166666666666666</v>
      </c>
      <c r="D843" s="17" t="n">
        <v>0.2708333333333333</v>
      </c>
      <c r="E843" t="inlineStr">
        <is>
          <t>Night</t>
        </is>
      </c>
      <c r="F843" t="inlineStr">
        <is>
          <t>Jul</t>
        </is>
      </c>
      <c r="G843" s="18">
        <f>IF(D843&lt;C843,D843+1-C843,D843-C843)*24</f>
        <v/>
      </c>
      <c r="H843" s="18">
        <f>MAX(0,G843-8)</f>
        <v/>
      </c>
    </row>
    <row r="844">
      <c r="A844" t="n">
        <v>1132</v>
      </c>
      <c r="B844" s="14" t="n">
        <v>46226</v>
      </c>
      <c r="C844" s="17" t="n">
        <v>0.9166666666666666</v>
      </c>
      <c r="D844" s="17" t="n">
        <v>0.2708333333333333</v>
      </c>
      <c r="E844" t="inlineStr">
        <is>
          <t>Night</t>
        </is>
      </c>
      <c r="F844" t="inlineStr">
        <is>
          <t>Jul</t>
        </is>
      </c>
      <c r="G844" s="18">
        <f>IF(D844&lt;C844,D844+1-C844,D844-C844)*24</f>
        <v/>
      </c>
      <c r="H844" s="18">
        <f>MAX(0,G844-8)</f>
        <v/>
      </c>
    </row>
    <row r="845">
      <c r="A845" t="n">
        <v>1133</v>
      </c>
      <c r="B845" s="14" t="n">
        <v>46226</v>
      </c>
      <c r="C845" s="17" t="n">
        <v>0.9166666666666666</v>
      </c>
      <c r="D845" s="17" t="n">
        <v>0.3125</v>
      </c>
      <c r="E845" t="inlineStr">
        <is>
          <t>Night</t>
        </is>
      </c>
      <c r="F845" t="inlineStr">
        <is>
          <t>Jul</t>
        </is>
      </c>
      <c r="G845" s="18">
        <f>IF(D845&lt;C845,D845+1-C845,D845-C845)*24</f>
        <v/>
      </c>
      <c r="H845" s="18">
        <f>MAX(0,G845-8)</f>
        <v/>
      </c>
    </row>
    <row r="846">
      <c r="A846" t="n">
        <v>1134</v>
      </c>
      <c r="B846" s="14" t="n">
        <v>46226</v>
      </c>
      <c r="C846" s="17" t="n">
        <v>0.9166666666666666</v>
      </c>
      <c r="D846" s="17" t="n">
        <v>0.375</v>
      </c>
      <c r="E846" t="inlineStr">
        <is>
          <t>Night</t>
        </is>
      </c>
      <c r="F846" t="inlineStr">
        <is>
          <t>Jul</t>
        </is>
      </c>
      <c r="G846" s="18">
        <f>IF(D846&lt;C846,D846+1-C846,D846-C846)*24</f>
        <v/>
      </c>
      <c r="H846" s="18">
        <f>MAX(0,G846-8)</f>
        <v/>
      </c>
    </row>
    <row r="847">
      <c r="A847" t="n">
        <v>1135</v>
      </c>
      <c r="B847" s="14" t="n">
        <v>46226</v>
      </c>
      <c r="C847" s="17" t="n">
        <v>0.9166666666666666</v>
      </c>
      <c r="D847" s="17" t="n">
        <v>0.375</v>
      </c>
      <c r="E847" t="inlineStr">
        <is>
          <t>Night</t>
        </is>
      </c>
      <c r="F847" t="inlineStr">
        <is>
          <t>Jul</t>
        </is>
      </c>
      <c r="G847" s="18">
        <f>IF(D847&lt;C847,D847+1-C847,D847-C847)*24</f>
        <v/>
      </c>
      <c r="H847" s="18">
        <f>MAX(0,G847-8)</f>
        <v/>
      </c>
    </row>
    <row r="848">
      <c r="A848" t="n">
        <v>1136</v>
      </c>
      <c r="B848" s="14" t="n">
        <v>46226</v>
      </c>
      <c r="C848" s="17" t="n">
        <v>0.9166666666666666</v>
      </c>
      <c r="D848" s="17" t="n">
        <v>0.2708333333333333</v>
      </c>
      <c r="E848" t="inlineStr">
        <is>
          <t>Night</t>
        </is>
      </c>
      <c r="F848" t="inlineStr">
        <is>
          <t>Jul</t>
        </is>
      </c>
      <c r="G848" s="18">
        <f>IF(D848&lt;C848,D848+1-C848,D848-C848)*24</f>
        <v/>
      </c>
      <c r="H848" s="18">
        <f>MAX(0,G848-8)</f>
        <v/>
      </c>
    </row>
    <row r="849">
      <c r="A849" t="n">
        <v>1137</v>
      </c>
      <c r="B849" s="14" t="n">
        <v>46226</v>
      </c>
      <c r="C849" s="17" t="n">
        <v>0.9166666666666666</v>
      </c>
      <c r="D849" s="17" t="n">
        <v>0.2708333333333333</v>
      </c>
      <c r="E849" t="inlineStr">
        <is>
          <t>Night</t>
        </is>
      </c>
      <c r="F849" t="inlineStr">
        <is>
          <t>Jul</t>
        </is>
      </c>
      <c r="G849" s="18">
        <f>IF(D849&lt;C849,D849+1-C849,D849-C849)*24</f>
        <v/>
      </c>
      <c r="H849" s="18">
        <f>MAX(0,G849-8)</f>
        <v/>
      </c>
    </row>
    <row r="850">
      <c r="A850" t="n">
        <v>1147</v>
      </c>
      <c r="B850" s="14" t="n">
        <v>46226</v>
      </c>
      <c r="C850" s="17" t="n">
        <v>0.9166666666666666</v>
      </c>
      <c r="D850" s="17" t="n">
        <v>0.2708333333333333</v>
      </c>
      <c r="E850" t="inlineStr">
        <is>
          <t>Night</t>
        </is>
      </c>
      <c r="F850" t="inlineStr">
        <is>
          <t>Jul</t>
        </is>
      </c>
      <c r="G850" s="18">
        <f>IF(D850&lt;C850,D850+1-C850,D850-C850)*24</f>
        <v/>
      </c>
      <c r="H850" s="18">
        <f>MAX(0,G850-8)</f>
        <v/>
      </c>
    </row>
    <row r="851">
      <c r="A851" t="n">
        <v>1103</v>
      </c>
      <c r="B851" s="14" t="n">
        <v>46226</v>
      </c>
      <c r="C851" s="17" t="n">
        <v>0.02083333333333333</v>
      </c>
      <c r="D851" s="17" t="n">
        <v>0.4375</v>
      </c>
      <c r="E851" t="inlineStr">
        <is>
          <t>Night</t>
        </is>
      </c>
      <c r="F851" t="inlineStr">
        <is>
          <t>Jul</t>
        </is>
      </c>
      <c r="G851" s="18">
        <f>IF(D851&lt;C851,D851+1-C851,D851-C851)*24</f>
        <v/>
      </c>
      <c r="H851" s="18">
        <f>MAX(0,G851-8)</f>
        <v/>
      </c>
    </row>
    <row r="852">
      <c r="A852" t="n">
        <v>1110</v>
      </c>
      <c r="B852" s="14" t="n">
        <v>46226</v>
      </c>
      <c r="C852" s="17" t="n">
        <v>0.01041666666666667</v>
      </c>
      <c r="D852" s="17" t="n">
        <v>0.3645833333333333</v>
      </c>
      <c r="E852" t="inlineStr">
        <is>
          <t>Night</t>
        </is>
      </c>
      <c r="F852" t="inlineStr">
        <is>
          <t>Jul</t>
        </is>
      </c>
      <c r="G852" s="18">
        <f>IF(D852&lt;C852,D852+1-C852,D852-C852)*24</f>
        <v/>
      </c>
      <c r="H852" s="18">
        <f>MAX(0,G852-8)</f>
        <v/>
      </c>
    </row>
    <row r="853">
      <c r="A853" t="n">
        <v>1201</v>
      </c>
      <c r="B853" s="14" t="n">
        <v>46226</v>
      </c>
      <c r="C853" s="17" t="n">
        <v>0.25</v>
      </c>
      <c r="D853" s="17" t="n">
        <v>0.5833333333333334</v>
      </c>
      <c r="E853" t="inlineStr">
        <is>
          <t>Day</t>
        </is>
      </c>
      <c r="F853" t="inlineStr">
        <is>
          <t>Jul</t>
        </is>
      </c>
      <c r="G853" s="18">
        <f>IF(D853&lt;C853,D853+1-C853,D853-C853)*24</f>
        <v/>
      </c>
      <c r="H853" s="18">
        <f>MAX(0,G853-8)</f>
        <v/>
      </c>
    </row>
    <row r="854">
      <c r="A854" t="n">
        <v>1202</v>
      </c>
      <c r="B854" s="14" t="n">
        <v>46226</v>
      </c>
      <c r="C854" s="17" t="n">
        <v>0.2708333333333333</v>
      </c>
      <c r="D854" s="17" t="n">
        <v>0.6041666666666666</v>
      </c>
      <c r="E854" t="inlineStr">
        <is>
          <t>Day</t>
        </is>
      </c>
      <c r="F854" t="inlineStr">
        <is>
          <t>Jul</t>
        </is>
      </c>
      <c r="G854" s="18">
        <f>IF(D854&lt;C854,D854+1-C854,D854-C854)*24</f>
        <v/>
      </c>
      <c r="H854" s="18">
        <f>MAX(0,G854-8)</f>
        <v/>
      </c>
    </row>
    <row r="855">
      <c r="A855" t="n">
        <v>1203</v>
      </c>
      <c r="B855" s="14" t="n">
        <v>46226</v>
      </c>
      <c r="C855" s="17" t="n">
        <v>0.2708333333333333</v>
      </c>
      <c r="D855" s="17" t="n">
        <v>0.6458333333333334</v>
      </c>
      <c r="E855" t="inlineStr">
        <is>
          <t>Day</t>
        </is>
      </c>
      <c r="F855" t="inlineStr">
        <is>
          <t>Jul</t>
        </is>
      </c>
      <c r="G855" s="18">
        <f>IF(D855&lt;C855,D855+1-C855,D855-C855)*24</f>
        <v/>
      </c>
      <c r="H855" s="18">
        <f>MAX(0,G855-8)</f>
        <v/>
      </c>
    </row>
    <row r="856">
      <c r="A856" t="n">
        <v>1204</v>
      </c>
      <c r="B856" s="14" t="n">
        <v>46226</v>
      </c>
      <c r="C856" s="17" t="n">
        <v>0.25</v>
      </c>
      <c r="D856" s="17" t="n">
        <v>0.6666666666666666</v>
      </c>
      <c r="E856" t="inlineStr">
        <is>
          <t>Day</t>
        </is>
      </c>
      <c r="F856" t="inlineStr">
        <is>
          <t>Jul</t>
        </is>
      </c>
      <c r="G856" s="18">
        <f>IF(D856&lt;C856,D856+1-C856,D856-C856)*24</f>
        <v/>
      </c>
      <c r="H856" s="18">
        <f>MAX(0,G856-8)</f>
        <v/>
      </c>
    </row>
    <row r="857">
      <c r="A857" t="n">
        <v>1205</v>
      </c>
      <c r="B857" s="14" t="n">
        <v>46226</v>
      </c>
      <c r="C857" s="17" t="n">
        <v>0.25</v>
      </c>
      <c r="D857" s="17" t="n">
        <v>0.5833333333333334</v>
      </c>
      <c r="E857" t="inlineStr">
        <is>
          <t>Day</t>
        </is>
      </c>
      <c r="F857" t="inlineStr">
        <is>
          <t>Jul</t>
        </is>
      </c>
      <c r="G857" s="18">
        <f>IF(D857&lt;C857,D857+1-C857,D857-C857)*24</f>
        <v/>
      </c>
      <c r="H857" s="18">
        <f>MAX(0,G857-8)</f>
        <v/>
      </c>
    </row>
    <row r="858">
      <c r="A858" t="n">
        <v>1206</v>
      </c>
      <c r="B858" s="14" t="n">
        <v>46226</v>
      </c>
      <c r="C858" s="17" t="n">
        <v>0.2708333333333333</v>
      </c>
      <c r="D858" s="17" t="n">
        <v>0.6041666666666666</v>
      </c>
      <c r="E858" t="inlineStr">
        <is>
          <t>Day</t>
        </is>
      </c>
      <c r="F858" t="inlineStr">
        <is>
          <t>Jul</t>
        </is>
      </c>
      <c r="G858" s="18">
        <f>IF(D858&lt;C858,D858+1-C858,D858-C858)*24</f>
        <v/>
      </c>
      <c r="H858" s="18">
        <f>MAX(0,G858-8)</f>
        <v/>
      </c>
    </row>
    <row r="859">
      <c r="A859" t="n">
        <v>1207</v>
      </c>
      <c r="B859" s="14" t="n">
        <v>46226</v>
      </c>
      <c r="C859" s="17" t="n">
        <v>0.2708333333333333</v>
      </c>
      <c r="D859" s="17" t="n">
        <v>0.6458333333333334</v>
      </c>
      <c r="E859" t="inlineStr">
        <is>
          <t>Day</t>
        </is>
      </c>
      <c r="F859" t="inlineStr">
        <is>
          <t>Jul</t>
        </is>
      </c>
      <c r="G859" s="18">
        <f>IF(D859&lt;C859,D859+1-C859,D859-C859)*24</f>
        <v/>
      </c>
      <c r="H859" s="18">
        <f>MAX(0,G859-8)</f>
        <v/>
      </c>
    </row>
    <row r="860">
      <c r="A860" t="n">
        <v>1208</v>
      </c>
      <c r="B860" s="14" t="n">
        <v>46226</v>
      </c>
      <c r="C860" s="17" t="n">
        <v>0.2708333333333333</v>
      </c>
      <c r="D860" s="17" t="n">
        <v>0.6458333333333334</v>
      </c>
      <c r="E860" t="inlineStr">
        <is>
          <t>Day</t>
        </is>
      </c>
      <c r="F860" t="inlineStr">
        <is>
          <t>Jul</t>
        </is>
      </c>
      <c r="G860" s="18">
        <f>IF(D860&lt;C860,D860+1-C860,D860-C860)*24</f>
        <v/>
      </c>
      <c r="H860" s="18">
        <f>MAX(0,G860-8)</f>
        <v/>
      </c>
    </row>
    <row r="861">
      <c r="A861" t="n">
        <v>1209</v>
      </c>
      <c r="B861" s="14" t="n">
        <v>46226</v>
      </c>
      <c r="C861" s="17" t="n">
        <v>0.25</v>
      </c>
      <c r="D861" s="17" t="n">
        <v>0.5833333333333334</v>
      </c>
      <c r="E861" t="inlineStr">
        <is>
          <t>Day</t>
        </is>
      </c>
      <c r="F861" t="inlineStr">
        <is>
          <t>Jul</t>
        </is>
      </c>
      <c r="G861" s="18">
        <f>IF(D861&lt;C861,D861+1-C861,D861-C861)*24</f>
        <v/>
      </c>
      <c r="H861" s="18">
        <f>MAX(0,G861-8)</f>
        <v/>
      </c>
    </row>
    <row r="862">
      <c r="A862" t="n">
        <v>1210</v>
      </c>
      <c r="B862" s="14" t="n">
        <v>46226</v>
      </c>
      <c r="C862" s="17" t="n">
        <v>0.25</v>
      </c>
      <c r="D862" s="17" t="n">
        <v>0.6666666666666666</v>
      </c>
      <c r="E862" t="inlineStr">
        <is>
          <t>Day</t>
        </is>
      </c>
      <c r="F862" t="inlineStr">
        <is>
          <t>Jul</t>
        </is>
      </c>
      <c r="G862" s="18">
        <f>IF(D862&lt;C862,D862+1-C862,D862-C862)*24</f>
        <v/>
      </c>
      <c r="H862" s="18">
        <f>MAX(0,G862-8)</f>
        <v/>
      </c>
    </row>
    <row r="863">
      <c r="A863" t="n">
        <v>1211</v>
      </c>
      <c r="B863" s="14" t="n">
        <v>46226</v>
      </c>
      <c r="C863" s="17" t="n">
        <v>0.25</v>
      </c>
      <c r="D863" s="17" t="n">
        <v>0.5833333333333334</v>
      </c>
      <c r="E863" t="inlineStr">
        <is>
          <t>Day</t>
        </is>
      </c>
      <c r="F863" t="inlineStr">
        <is>
          <t>Jul</t>
        </is>
      </c>
      <c r="G863" s="18">
        <f>IF(D863&lt;C863,D863+1-C863,D863-C863)*24</f>
        <v/>
      </c>
      <c r="H863" s="18">
        <f>MAX(0,G863-8)</f>
        <v/>
      </c>
    </row>
    <row r="864">
      <c r="A864" t="n">
        <v>1212</v>
      </c>
      <c r="B864" s="14" t="n">
        <v>46226</v>
      </c>
      <c r="C864" s="17" t="n">
        <v>0.2708333333333333</v>
      </c>
      <c r="D864" s="17" t="n">
        <v>0.6041666666666666</v>
      </c>
      <c r="E864" t="inlineStr">
        <is>
          <t>Day</t>
        </is>
      </c>
      <c r="F864" t="inlineStr">
        <is>
          <t>Jul</t>
        </is>
      </c>
      <c r="G864" s="18">
        <f>IF(D864&lt;C864,D864+1-C864,D864-C864)*24</f>
        <v/>
      </c>
      <c r="H864" s="18">
        <f>MAX(0,G864-8)</f>
        <v/>
      </c>
    </row>
    <row r="865">
      <c r="A865" t="n">
        <v>1213</v>
      </c>
      <c r="B865" s="14" t="n">
        <v>46226</v>
      </c>
      <c r="C865" s="17" t="n">
        <v>0.25</v>
      </c>
      <c r="D865" s="17" t="n">
        <v>0.6666666666666666</v>
      </c>
      <c r="E865" t="inlineStr">
        <is>
          <t>Day</t>
        </is>
      </c>
      <c r="F865" t="inlineStr">
        <is>
          <t>Jul</t>
        </is>
      </c>
      <c r="G865" s="18">
        <f>IF(D865&lt;C865,D865+1-C865,D865-C865)*24</f>
        <v/>
      </c>
      <c r="H865" s="18">
        <f>MAX(0,G865-8)</f>
        <v/>
      </c>
    </row>
    <row r="866">
      <c r="A866" t="n">
        <v>1214</v>
      </c>
      <c r="B866" s="14" t="n">
        <v>46226</v>
      </c>
      <c r="C866" s="17" t="n">
        <v>0.2708333333333333</v>
      </c>
      <c r="D866" s="17" t="n">
        <v>0.6875</v>
      </c>
      <c r="E866" t="inlineStr">
        <is>
          <t>Day</t>
        </is>
      </c>
      <c r="F866" t="inlineStr">
        <is>
          <t>Jul</t>
        </is>
      </c>
      <c r="G866" s="18">
        <f>IF(D866&lt;C866,D866+1-C866,D866-C866)*24</f>
        <v/>
      </c>
      <c r="H866" s="18">
        <f>MAX(0,G866-8)</f>
        <v/>
      </c>
    </row>
    <row r="867">
      <c r="A867" t="n">
        <v>1215</v>
      </c>
      <c r="B867" s="14" t="n">
        <v>46226</v>
      </c>
      <c r="C867" s="17" t="n">
        <v>0.25</v>
      </c>
      <c r="D867" s="17" t="n">
        <v>0.5833333333333334</v>
      </c>
      <c r="E867" t="inlineStr">
        <is>
          <t>Day</t>
        </is>
      </c>
      <c r="F867" t="inlineStr">
        <is>
          <t>Jul</t>
        </is>
      </c>
      <c r="G867" s="18">
        <f>IF(D867&lt;C867,D867+1-C867,D867-C867)*24</f>
        <v/>
      </c>
      <c r="H867" s="18">
        <f>MAX(0,G867-8)</f>
        <v/>
      </c>
    </row>
    <row r="868">
      <c r="A868" t="n">
        <v>1216</v>
      </c>
      <c r="B868" s="14" t="n">
        <v>46226</v>
      </c>
      <c r="C868" s="17" t="n">
        <v>0.25</v>
      </c>
      <c r="D868" s="17" t="n">
        <v>0.6041666666666666</v>
      </c>
      <c r="E868" t="inlineStr">
        <is>
          <t>Day</t>
        </is>
      </c>
      <c r="F868" t="inlineStr">
        <is>
          <t>Jul</t>
        </is>
      </c>
      <c r="G868" s="18">
        <f>IF(D868&lt;C868,D868+1-C868,D868-C868)*24</f>
        <v/>
      </c>
      <c r="H868" s="18">
        <f>MAX(0,G868-8)</f>
        <v/>
      </c>
    </row>
    <row r="869">
      <c r="A869" t="n">
        <v>1218</v>
      </c>
      <c r="B869" s="14" t="n">
        <v>46226</v>
      </c>
      <c r="C869" s="17" t="n">
        <v>0.25</v>
      </c>
      <c r="D869" s="17" t="n">
        <v>0.6666666666666666</v>
      </c>
      <c r="E869" t="inlineStr">
        <is>
          <t>Day</t>
        </is>
      </c>
      <c r="F869" t="inlineStr">
        <is>
          <t>Jul</t>
        </is>
      </c>
      <c r="G869" s="18">
        <f>IF(D869&lt;C869,D869+1-C869,D869-C869)*24</f>
        <v/>
      </c>
      <c r="H869" s="18">
        <f>MAX(0,G869-8)</f>
        <v/>
      </c>
    </row>
    <row r="870">
      <c r="A870" t="n">
        <v>1220</v>
      </c>
      <c r="B870" s="14" t="n">
        <v>46226</v>
      </c>
      <c r="C870" s="17" t="n">
        <v>0.25</v>
      </c>
      <c r="D870" s="17" t="n">
        <v>0.6041666666666666</v>
      </c>
      <c r="E870" t="inlineStr">
        <is>
          <t>Day</t>
        </is>
      </c>
      <c r="F870" t="inlineStr">
        <is>
          <t>Jul</t>
        </is>
      </c>
      <c r="G870" s="18">
        <f>IF(D870&lt;C870,D870+1-C870,D870-C870)*24</f>
        <v/>
      </c>
      <c r="H870" s="18">
        <f>MAX(0,G870-8)</f>
        <v/>
      </c>
    </row>
    <row r="871">
      <c r="A871" t="n">
        <v>1101</v>
      </c>
      <c r="B871" s="14" t="n">
        <v>46227</v>
      </c>
      <c r="C871" s="17" t="n">
        <v>0.9375</v>
      </c>
      <c r="D871" s="17" t="n">
        <v>0.2708333333333333</v>
      </c>
      <c r="E871" t="inlineStr">
        <is>
          <t>Night</t>
        </is>
      </c>
      <c r="F871" t="inlineStr">
        <is>
          <t>Jul</t>
        </is>
      </c>
      <c r="G871" s="18">
        <f>IF(D871&lt;C871,D871+1-C871,D871-C871)*24</f>
        <v/>
      </c>
      <c r="H871" s="18">
        <f>MAX(0,G871-8)</f>
        <v/>
      </c>
    </row>
    <row r="872">
      <c r="A872" t="n">
        <v>1102</v>
      </c>
      <c r="B872" s="14" t="n">
        <v>46227</v>
      </c>
      <c r="C872" s="17" t="n">
        <v>0.9166666666666666</v>
      </c>
      <c r="D872" s="17" t="n">
        <v>0.25</v>
      </c>
      <c r="E872" t="inlineStr">
        <is>
          <t>Night</t>
        </is>
      </c>
      <c r="F872" t="inlineStr">
        <is>
          <t>Jul</t>
        </is>
      </c>
      <c r="G872" s="18">
        <f>IF(D872&lt;C872,D872+1-C872,D872-C872)*24</f>
        <v/>
      </c>
      <c r="H872" s="18">
        <f>MAX(0,G872-8)</f>
        <v/>
      </c>
    </row>
    <row r="873">
      <c r="A873" t="n">
        <v>1103</v>
      </c>
      <c r="B873" s="14" t="n">
        <v>46227</v>
      </c>
      <c r="C873" s="17" t="n">
        <v>0.9166666666666666</v>
      </c>
      <c r="D873" s="17" t="n">
        <v>0.25</v>
      </c>
      <c r="E873" t="inlineStr">
        <is>
          <t>Night</t>
        </is>
      </c>
      <c r="F873" t="inlineStr">
        <is>
          <t>Jul</t>
        </is>
      </c>
      <c r="G873" s="18">
        <f>IF(D873&lt;C873,D873+1-C873,D873-C873)*24</f>
        <v/>
      </c>
      <c r="H873" s="18">
        <f>MAX(0,G873-8)</f>
        <v/>
      </c>
    </row>
    <row r="874">
      <c r="A874" t="n">
        <v>1104</v>
      </c>
      <c r="B874" s="14" t="n">
        <v>46227</v>
      </c>
      <c r="C874" s="17" t="n">
        <v>0.9270833333333334</v>
      </c>
      <c r="D874" s="17" t="n">
        <v>0.28125</v>
      </c>
      <c r="E874" t="inlineStr">
        <is>
          <t>Night</t>
        </is>
      </c>
      <c r="F874" t="inlineStr">
        <is>
          <t>Jul</t>
        </is>
      </c>
      <c r="G874" s="18">
        <f>IF(D874&lt;C874,D874+1-C874,D874-C874)*24</f>
        <v/>
      </c>
      <c r="H874" s="18">
        <f>MAX(0,G874-8)</f>
        <v/>
      </c>
    </row>
    <row r="875">
      <c r="A875" t="n">
        <v>1106</v>
      </c>
      <c r="B875" s="14" t="n">
        <v>46227</v>
      </c>
      <c r="C875" s="17" t="n">
        <v>0.9166666666666666</v>
      </c>
      <c r="D875" s="17" t="n">
        <v>0.3333333333333333</v>
      </c>
      <c r="E875" t="inlineStr">
        <is>
          <t>Night</t>
        </is>
      </c>
      <c r="F875" t="inlineStr">
        <is>
          <t>Jul</t>
        </is>
      </c>
      <c r="G875" s="18">
        <f>IF(D875&lt;C875,D875+1-C875,D875-C875)*24</f>
        <v/>
      </c>
      <c r="H875" s="18">
        <f>MAX(0,G875-8)</f>
        <v/>
      </c>
    </row>
    <row r="876">
      <c r="A876" t="n">
        <v>1107</v>
      </c>
      <c r="B876" s="14" t="n">
        <v>46227</v>
      </c>
      <c r="C876" s="17" t="n">
        <v>0.9375</v>
      </c>
      <c r="D876" s="17" t="n">
        <v>0.3333333333333333</v>
      </c>
      <c r="E876" t="inlineStr">
        <is>
          <t>Night</t>
        </is>
      </c>
      <c r="F876" t="inlineStr">
        <is>
          <t>Jul</t>
        </is>
      </c>
      <c r="G876" s="18">
        <f>IF(D876&lt;C876,D876+1-C876,D876-C876)*24</f>
        <v/>
      </c>
      <c r="H876" s="18">
        <f>MAX(0,G876-8)</f>
        <v/>
      </c>
    </row>
    <row r="877">
      <c r="A877" t="n">
        <v>1108</v>
      </c>
      <c r="B877" s="14" t="n">
        <v>46227</v>
      </c>
      <c r="C877" s="17" t="n">
        <v>0.9166666666666666</v>
      </c>
      <c r="D877" s="17" t="n">
        <v>0.25</v>
      </c>
      <c r="E877" t="inlineStr">
        <is>
          <t>Night</t>
        </is>
      </c>
      <c r="F877" t="inlineStr">
        <is>
          <t>Jul</t>
        </is>
      </c>
      <c r="G877" s="18">
        <f>IF(D877&lt;C877,D877+1-C877,D877-C877)*24</f>
        <v/>
      </c>
      <c r="H877" s="18">
        <f>MAX(0,G877-8)</f>
        <v/>
      </c>
    </row>
    <row r="878">
      <c r="A878" t="n">
        <v>1110</v>
      </c>
      <c r="B878" s="14" t="n">
        <v>46227</v>
      </c>
      <c r="C878" s="17" t="n">
        <v>0.9166666666666666</v>
      </c>
      <c r="D878" s="17" t="n">
        <v>0.2916666666666667</v>
      </c>
      <c r="E878" t="inlineStr">
        <is>
          <t>Night</t>
        </is>
      </c>
      <c r="F878" t="inlineStr">
        <is>
          <t>Jul</t>
        </is>
      </c>
      <c r="G878" s="18">
        <f>IF(D878&lt;C878,D878+1-C878,D878-C878)*24</f>
        <v/>
      </c>
      <c r="H878" s="18">
        <f>MAX(0,G878-8)</f>
        <v/>
      </c>
    </row>
    <row r="879">
      <c r="A879" t="n">
        <v>1111</v>
      </c>
      <c r="B879" s="14" t="n">
        <v>46227</v>
      </c>
      <c r="C879" s="17" t="n">
        <v>0.9166666666666666</v>
      </c>
      <c r="D879" s="17" t="n">
        <v>0.3333333333333333</v>
      </c>
      <c r="E879" t="inlineStr">
        <is>
          <t>Night</t>
        </is>
      </c>
      <c r="F879" t="inlineStr">
        <is>
          <t>Jul</t>
        </is>
      </c>
      <c r="G879" s="18">
        <f>IF(D879&lt;C879,D879+1-C879,D879-C879)*24</f>
        <v/>
      </c>
      <c r="H879" s="18">
        <f>MAX(0,G879-8)</f>
        <v/>
      </c>
    </row>
    <row r="880">
      <c r="A880" t="n">
        <v>1114</v>
      </c>
      <c r="B880" s="14" t="n">
        <v>46227</v>
      </c>
      <c r="C880" s="17" t="n">
        <v>0.9166666666666666</v>
      </c>
      <c r="D880" s="17" t="n">
        <v>0.3333333333333333</v>
      </c>
      <c r="E880" t="inlineStr">
        <is>
          <t>Night</t>
        </is>
      </c>
      <c r="F880" t="inlineStr">
        <is>
          <t>Jul</t>
        </is>
      </c>
      <c r="G880" s="18">
        <f>IF(D880&lt;C880,D880+1-C880,D880-C880)*24</f>
        <v/>
      </c>
      <c r="H880" s="18">
        <f>MAX(0,G880-8)</f>
        <v/>
      </c>
    </row>
    <row r="881">
      <c r="A881" t="n">
        <v>1115</v>
      </c>
      <c r="B881" s="14" t="n">
        <v>46227</v>
      </c>
      <c r="C881" s="17" t="n">
        <v>0.9375</v>
      </c>
      <c r="D881" s="17" t="n">
        <v>0.3541666666666667</v>
      </c>
      <c r="E881" t="inlineStr">
        <is>
          <t>Night</t>
        </is>
      </c>
      <c r="F881" t="inlineStr">
        <is>
          <t>Jul</t>
        </is>
      </c>
      <c r="G881" s="18">
        <f>IF(D881&lt;C881,D881+1-C881,D881-C881)*24</f>
        <v/>
      </c>
      <c r="H881" s="18">
        <f>MAX(0,G881-8)</f>
        <v/>
      </c>
    </row>
    <row r="882">
      <c r="A882" t="n">
        <v>1116</v>
      </c>
      <c r="B882" s="14" t="n">
        <v>46227</v>
      </c>
      <c r="C882" s="17" t="n">
        <v>0.9270833333333334</v>
      </c>
      <c r="D882" s="17" t="n">
        <v>0.3229166666666667</v>
      </c>
      <c r="E882" t="inlineStr">
        <is>
          <t>Night</t>
        </is>
      </c>
      <c r="F882" t="inlineStr">
        <is>
          <t>Jul</t>
        </is>
      </c>
      <c r="G882" s="18">
        <f>IF(D882&lt;C882,D882+1-C882,D882-C882)*24</f>
        <v/>
      </c>
      <c r="H882" s="18">
        <f>MAX(0,G882-8)</f>
        <v/>
      </c>
    </row>
    <row r="883">
      <c r="A883" t="n">
        <v>1117</v>
      </c>
      <c r="B883" s="14" t="n">
        <v>46227</v>
      </c>
      <c r="C883" s="17" t="n">
        <v>0.9270833333333334</v>
      </c>
      <c r="D883" s="17" t="n">
        <v>0.3229166666666667</v>
      </c>
      <c r="E883" t="inlineStr">
        <is>
          <t>Night</t>
        </is>
      </c>
      <c r="F883" t="inlineStr">
        <is>
          <t>Jul</t>
        </is>
      </c>
      <c r="G883" s="18">
        <f>IF(D883&lt;C883,D883+1-C883,D883-C883)*24</f>
        <v/>
      </c>
      <c r="H883" s="18">
        <f>MAX(0,G883-8)</f>
        <v/>
      </c>
    </row>
    <row r="884">
      <c r="A884" t="n">
        <v>1119</v>
      </c>
      <c r="B884" s="14" t="n">
        <v>46227</v>
      </c>
      <c r="C884" s="17" t="n">
        <v>0.9166666666666666</v>
      </c>
      <c r="D884" s="17" t="n">
        <v>0.2708333333333333</v>
      </c>
      <c r="E884" t="inlineStr">
        <is>
          <t>Night</t>
        </is>
      </c>
      <c r="F884" t="inlineStr">
        <is>
          <t>Jul</t>
        </is>
      </c>
      <c r="G884" s="18">
        <f>IF(D884&lt;C884,D884+1-C884,D884-C884)*24</f>
        <v/>
      </c>
      <c r="H884" s="18">
        <f>MAX(0,G884-8)</f>
        <v/>
      </c>
    </row>
    <row r="885">
      <c r="A885" t="n">
        <v>1120</v>
      </c>
      <c r="B885" s="14" t="n">
        <v>46227</v>
      </c>
      <c r="C885" s="17" t="n">
        <v>0.9270833333333334</v>
      </c>
      <c r="D885" s="17" t="n">
        <v>0.2604166666666667</v>
      </c>
      <c r="E885" t="inlineStr">
        <is>
          <t>Night</t>
        </is>
      </c>
      <c r="F885" t="inlineStr">
        <is>
          <t>Jul</t>
        </is>
      </c>
      <c r="G885" s="18">
        <f>IF(D885&lt;C885,D885+1-C885,D885-C885)*24</f>
        <v/>
      </c>
      <c r="H885" s="18">
        <f>MAX(0,G885-8)</f>
        <v/>
      </c>
    </row>
    <row r="886">
      <c r="A886" t="n">
        <v>1121</v>
      </c>
      <c r="B886" s="14" t="n">
        <v>46227</v>
      </c>
      <c r="C886" s="17" t="n">
        <v>0.9166666666666666</v>
      </c>
      <c r="D886" s="17" t="n">
        <v>0.2916666666666667</v>
      </c>
      <c r="E886" t="inlineStr">
        <is>
          <t>Night</t>
        </is>
      </c>
      <c r="F886" t="inlineStr">
        <is>
          <t>Jul</t>
        </is>
      </c>
      <c r="G886" s="18">
        <f>IF(D886&lt;C886,D886+1-C886,D886-C886)*24</f>
        <v/>
      </c>
      <c r="H886" s="18">
        <f>MAX(0,G886-8)</f>
        <v/>
      </c>
    </row>
    <row r="887">
      <c r="A887" t="n">
        <v>1124</v>
      </c>
      <c r="B887" s="14" t="n">
        <v>46227</v>
      </c>
      <c r="C887" s="17" t="n">
        <v>0.9166666666666666</v>
      </c>
      <c r="D887" s="17" t="n">
        <v>0.3958333333333333</v>
      </c>
      <c r="E887" t="inlineStr">
        <is>
          <t>Night</t>
        </is>
      </c>
      <c r="F887" t="inlineStr">
        <is>
          <t>Jul</t>
        </is>
      </c>
      <c r="G887" s="18">
        <f>IF(D887&lt;C887,D887+1-C887,D887-C887)*24</f>
        <v/>
      </c>
      <c r="H887" s="18">
        <f>MAX(0,G887-8)</f>
        <v/>
      </c>
    </row>
    <row r="888">
      <c r="A888" t="n">
        <v>1125</v>
      </c>
      <c r="B888" s="14" t="n">
        <v>46227</v>
      </c>
      <c r="C888" s="17" t="n">
        <v>0.9270833333333334</v>
      </c>
      <c r="D888" s="17" t="n">
        <v>0.28125</v>
      </c>
      <c r="E888" t="inlineStr">
        <is>
          <t>Night</t>
        </is>
      </c>
      <c r="F888" t="inlineStr">
        <is>
          <t>Jul</t>
        </is>
      </c>
      <c r="G888" s="18">
        <f>IF(D888&lt;C888,D888+1-C888,D888-C888)*24</f>
        <v/>
      </c>
      <c r="H888" s="18">
        <f>MAX(0,G888-8)</f>
        <v/>
      </c>
    </row>
    <row r="889">
      <c r="A889" t="n">
        <v>1126</v>
      </c>
      <c r="B889" s="14" t="n">
        <v>46227</v>
      </c>
      <c r="C889" s="17" t="n">
        <v>0.9166666666666666</v>
      </c>
      <c r="D889" s="17" t="n">
        <v>0.3958333333333333</v>
      </c>
      <c r="E889" t="inlineStr">
        <is>
          <t>Night</t>
        </is>
      </c>
      <c r="F889" t="inlineStr">
        <is>
          <t>Jul</t>
        </is>
      </c>
      <c r="G889" s="18">
        <f>IF(D889&lt;C889,D889+1-C889,D889-C889)*24</f>
        <v/>
      </c>
      <c r="H889" s="18">
        <f>MAX(0,G889-8)</f>
        <v/>
      </c>
    </row>
    <row r="890">
      <c r="A890" t="n">
        <v>1128</v>
      </c>
      <c r="B890" s="14" t="n">
        <v>46227</v>
      </c>
      <c r="C890" s="17" t="n">
        <v>0.9375</v>
      </c>
      <c r="D890" s="17" t="n">
        <v>0.3125</v>
      </c>
      <c r="E890" t="inlineStr">
        <is>
          <t>Night</t>
        </is>
      </c>
      <c r="F890" t="inlineStr">
        <is>
          <t>Jul</t>
        </is>
      </c>
      <c r="G890" s="18">
        <f>IF(D890&lt;C890,D890+1-C890,D890-C890)*24</f>
        <v/>
      </c>
      <c r="H890" s="18">
        <f>MAX(0,G890-8)</f>
        <v/>
      </c>
    </row>
    <row r="891">
      <c r="A891" t="n">
        <v>1129</v>
      </c>
      <c r="B891" s="14" t="n">
        <v>46227</v>
      </c>
      <c r="C891" s="17" t="n">
        <v>0.9166666666666666</v>
      </c>
      <c r="D891" s="17" t="n">
        <v>0.3333333333333333</v>
      </c>
      <c r="E891" t="inlineStr">
        <is>
          <t>Night</t>
        </is>
      </c>
      <c r="F891" t="inlineStr">
        <is>
          <t>Jul</t>
        </is>
      </c>
      <c r="G891" s="18">
        <f>IF(D891&lt;C891,D891+1-C891,D891-C891)*24</f>
        <v/>
      </c>
      <c r="H891" s="18">
        <f>MAX(0,G891-8)</f>
        <v/>
      </c>
    </row>
    <row r="892">
      <c r="A892" t="n">
        <v>1130</v>
      </c>
      <c r="B892" s="14" t="n">
        <v>46227</v>
      </c>
      <c r="C892" s="17" t="n">
        <v>0.9270833333333334</v>
      </c>
      <c r="D892" s="17" t="n">
        <v>0.3854166666666667</v>
      </c>
      <c r="E892" t="inlineStr">
        <is>
          <t>Night</t>
        </is>
      </c>
      <c r="F892" t="inlineStr">
        <is>
          <t>Jul</t>
        </is>
      </c>
      <c r="G892" s="18">
        <f>IF(D892&lt;C892,D892+1-C892,D892-C892)*24</f>
        <v/>
      </c>
      <c r="H892" s="18">
        <f>MAX(0,G892-8)</f>
        <v/>
      </c>
    </row>
    <row r="893">
      <c r="A893" t="n">
        <v>1131</v>
      </c>
      <c r="B893" s="14" t="n">
        <v>46227</v>
      </c>
      <c r="C893" s="17" t="n">
        <v>0.9270833333333334</v>
      </c>
      <c r="D893" s="17" t="n">
        <v>0.28125</v>
      </c>
      <c r="E893" t="inlineStr">
        <is>
          <t>Night</t>
        </is>
      </c>
      <c r="F893" t="inlineStr">
        <is>
          <t>Jul</t>
        </is>
      </c>
      <c r="G893" s="18">
        <f>IF(D893&lt;C893,D893+1-C893,D893-C893)*24</f>
        <v/>
      </c>
      <c r="H893" s="18">
        <f>MAX(0,G893-8)</f>
        <v/>
      </c>
    </row>
    <row r="894">
      <c r="A894" t="n">
        <v>1132</v>
      </c>
      <c r="B894" s="14" t="n">
        <v>46227</v>
      </c>
      <c r="C894" s="17" t="n">
        <v>0.9270833333333334</v>
      </c>
      <c r="D894" s="17" t="n">
        <v>0.3229166666666667</v>
      </c>
      <c r="E894" t="inlineStr">
        <is>
          <t>Night</t>
        </is>
      </c>
      <c r="F894" t="inlineStr">
        <is>
          <t>Jul</t>
        </is>
      </c>
      <c r="G894" s="18">
        <f>IF(D894&lt;C894,D894+1-C894,D894-C894)*24</f>
        <v/>
      </c>
      <c r="H894" s="18">
        <f>MAX(0,G894-8)</f>
        <v/>
      </c>
    </row>
    <row r="895">
      <c r="A895" t="n">
        <v>1133</v>
      </c>
      <c r="B895" s="14" t="n">
        <v>46227</v>
      </c>
      <c r="C895" s="17" t="n">
        <v>0.9375</v>
      </c>
      <c r="D895" s="17" t="n">
        <v>0.3541666666666667</v>
      </c>
      <c r="E895" t="inlineStr">
        <is>
          <t>Night</t>
        </is>
      </c>
      <c r="F895" t="inlineStr">
        <is>
          <t>Jul</t>
        </is>
      </c>
      <c r="G895" s="18">
        <f>IF(D895&lt;C895,D895+1-C895,D895-C895)*24</f>
        <v/>
      </c>
      <c r="H895" s="18">
        <f>MAX(0,G895-8)</f>
        <v/>
      </c>
    </row>
    <row r="896">
      <c r="A896" t="n">
        <v>1134</v>
      </c>
      <c r="B896" s="14" t="n">
        <v>46227</v>
      </c>
      <c r="C896" s="17" t="n">
        <v>0.9166666666666666</v>
      </c>
      <c r="D896" s="17" t="n">
        <v>0.25</v>
      </c>
      <c r="E896" t="inlineStr">
        <is>
          <t>Night</t>
        </is>
      </c>
      <c r="F896" t="inlineStr">
        <is>
          <t>Jul</t>
        </is>
      </c>
      <c r="G896" s="18">
        <f>IF(D896&lt;C896,D896+1-C896,D896-C896)*24</f>
        <v/>
      </c>
      <c r="H896" s="18">
        <f>MAX(0,G896-8)</f>
        <v/>
      </c>
    </row>
    <row r="897">
      <c r="A897" t="n">
        <v>1135</v>
      </c>
      <c r="B897" s="14" t="n">
        <v>46227</v>
      </c>
      <c r="C897" s="17" t="n">
        <v>0.9270833333333334</v>
      </c>
      <c r="D897" s="17" t="n">
        <v>0.3645833333333333</v>
      </c>
      <c r="E897" t="inlineStr">
        <is>
          <t>Night</t>
        </is>
      </c>
      <c r="F897" t="inlineStr">
        <is>
          <t>Jul</t>
        </is>
      </c>
      <c r="G897" s="18">
        <f>IF(D897&lt;C897,D897+1-C897,D897-C897)*24</f>
        <v/>
      </c>
      <c r="H897" s="18">
        <f>MAX(0,G897-8)</f>
        <v/>
      </c>
    </row>
    <row r="898">
      <c r="A898" t="n">
        <v>1136</v>
      </c>
      <c r="B898" s="14" t="n">
        <v>46227</v>
      </c>
      <c r="C898" s="17" t="n">
        <v>0.9166666666666666</v>
      </c>
      <c r="D898" s="17" t="n">
        <v>0.3333333333333333</v>
      </c>
      <c r="E898" t="inlineStr">
        <is>
          <t>Night</t>
        </is>
      </c>
      <c r="F898" t="inlineStr">
        <is>
          <t>Jul</t>
        </is>
      </c>
      <c r="G898" s="18">
        <f>IF(D898&lt;C898,D898+1-C898,D898-C898)*24</f>
        <v/>
      </c>
      <c r="H898" s="18">
        <f>MAX(0,G898-8)</f>
        <v/>
      </c>
    </row>
    <row r="899">
      <c r="A899" t="n">
        <v>1137</v>
      </c>
      <c r="B899" s="14" t="n">
        <v>46227</v>
      </c>
      <c r="C899" s="17" t="n">
        <v>0.9270833333333334</v>
      </c>
      <c r="D899" s="17" t="n">
        <v>0.34375</v>
      </c>
      <c r="E899" t="inlineStr">
        <is>
          <t>Night</t>
        </is>
      </c>
      <c r="F899" t="inlineStr">
        <is>
          <t>Jul</t>
        </is>
      </c>
      <c r="G899" s="18">
        <f>IF(D899&lt;C899,D899+1-C899,D899-C899)*24</f>
        <v/>
      </c>
      <c r="H899" s="18">
        <f>MAX(0,G899-8)</f>
        <v/>
      </c>
    </row>
    <row r="900">
      <c r="A900" t="n">
        <v>1147</v>
      </c>
      <c r="B900" s="14" t="n">
        <v>46227</v>
      </c>
      <c r="C900" s="17" t="n">
        <v>0.9375</v>
      </c>
      <c r="D900" s="17" t="n">
        <v>0.375</v>
      </c>
      <c r="E900" t="inlineStr">
        <is>
          <t>Night</t>
        </is>
      </c>
      <c r="F900" t="inlineStr">
        <is>
          <t>Jul</t>
        </is>
      </c>
      <c r="G900" s="18">
        <f>IF(D900&lt;C900,D900+1-C900,D900-C900)*24</f>
        <v/>
      </c>
      <c r="H900" s="18">
        <f>MAX(0,G900-8)</f>
        <v/>
      </c>
    </row>
    <row r="901">
      <c r="A901" t="n">
        <v>1112</v>
      </c>
      <c r="B901" s="14" t="n">
        <v>46227</v>
      </c>
      <c r="C901" s="17" t="n">
        <v>0.02083333333333333</v>
      </c>
      <c r="D901" s="17" t="n">
        <v>0.4791666666666667</v>
      </c>
      <c r="E901" t="inlineStr">
        <is>
          <t>Night</t>
        </is>
      </c>
      <c r="F901" t="inlineStr">
        <is>
          <t>Jul</t>
        </is>
      </c>
      <c r="G901" s="18">
        <f>IF(D901&lt;C901,D901+1-C901,D901-C901)*24</f>
        <v/>
      </c>
      <c r="H901" s="18">
        <f>MAX(0,G901-8)</f>
        <v/>
      </c>
    </row>
    <row r="902">
      <c r="A902" t="n">
        <v>1118</v>
      </c>
      <c r="B902" s="14" t="n">
        <v>46227</v>
      </c>
      <c r="C902" s="17" t="n">
        <v>0.01041666666666667</v>
      </c>
      <c r="D902" s="17" t="n">
        <v>0.4270833333333333</v>
      </c>
      <c r="E902" t="inlineStr">
        <is>
          <t>Night</t>
        </is>
      </c>
      <c r="F902" t="inlineStr">
        <is>
          <t>Jul</t>
        </is>
      </c>
      <c r="G902" s="18">
        <f>IF(D902&lt;C902,D902+1-C902,D902-C902)*24</f>
        <v/>
      </c>
      <c r="H902" s="18">
        <f>MAX(0,G902-8)</f>
        <v/>
      </c>
    </row>
    <row r="903">
      <c r="A903" t="n">
        <v>1122</v>
      </c>
      <c r="B903" s="14" t="n">
        <v>46227</v>
      </c>
      <c r="C903" s="17" t="n">
        <v>0.02083333333333333</v>
      </c>
      <c r="D903" s="17" t="n">
        <v>0.375</v>
      </c>
      <c r="E903" t="inlineStr">
        <is>
          <t>Night</t>
        </is>
      </c>
      <c r="F903" t="inlineStr">
        <is>
          <t>Jul</t>
        </is>
      </c>
      <c r="G903" s="18">
        <f>IF(D903&lt;C903,D903+1-C903,D903-C903)*24</f>
        <v/>
      </c>
      <c r="H903" s="18">
        <f>MAX(0,G903-8)</f>
        <v/>
      </c>
    </row>
    <row r="904">
      <c r="A904" t="n">
        <v>1201</v>
      </c>
      <c r="B904" s="14" t="n">
        <v>46227</v>
      </c>
      <c r="C904" s="17" t="n">
        <v>0.2708333333333333</v>
      </c>
      <c r="D904" s="17" t="n">
        <v>0.625</v>
      </c>
      <c r="E904" t="inlineStr">
        <is>
          <t>Day</t>
        </is>
      </c>
      <c r="F904" t="inlineStr">
        <is>
          <t>Jul</t>
        </is>
      </c>
      <c r="G904" s="18">
        <f>IF(D904&lt;C904,D904+1-C904,D904-C904)*24</f>
        <v/>
      </c>
      <c r="H904" s="18">
        <f>MAX(0,G904-8)</f>
        <v/>
      </c>
    </row>
    <row r="905">
      <c r="A905" t="n">
        <v>1202</v>
      </c>
      <c r="B905" s="14" t="n">
        <v>46227</v>
      </c>
      <c r="C905" s="17" t="n">
        <v>0.25</v>
      </c>
      <c r="D905" s="17" t="n">
        <v>0.625</v>
      </c>
      <c r="E905" t="inlineStr">
        <is>
          <t>Day</t>
        </is>
      </c>
      <c r="F905" t="inlineStr">
        <is>
          <t>Jul</t>
        </is>
      </c>
      <c r="G905" s="18">
        <f>IF(D905&lt;C905,D905+1-C905,D905-C905)*24</f>
        <v/>
      </c>
      <c r="H905" s="18">
        <f>MAX(0,G905-8)</f>
        <v/>
      </c>
    </row>
    <row r="906">
      <c r="A906" t="n">
        <v>1203</v>
      </c>
      <c r="B906" s="14" t="n">
        <v>46227</v>
      </c>
      <c r="C906" s="17" t="n">
        <v>0.25</v>
      </c>
      <c r="D906" s="17" t="n">
        <v>0.5833333333333334</v>
      </c>
      <c r="E906" t="inlineStr">
        <is>
          <t>Day</t>
        </is>
      </c>
      <c r="F906" t="inlineStr">
        <is>
          <t>Jul</t>
        </is>
      </c>
      <c r="G906" s="18">
        <f>IF(D906&lt;C906,D906+1-C906,D906-C906)*24</f>
        <v/>
      </c>
      <c r="H906" s="18">
        <f>MAX(0,G906-8)</f>
        <v/>
      </c>
    </row>
    <row r="907">
      <c r="A907" t="n">
        <v>1204</v>
      </c>
      <c r="B907" s="14" t="n">
        <v>46227</v>
      </c>
      <c r="C907" s="17" t="n">
        <v>0.25</v>
      </c>
      <c r="D907" s="17" t="n">
        <v>0.625</v>
      </c>
      <c r="E907" t="inlineStr">
        <is>
          <t>Day</t>
        </is>
      </c>
      <c r="F907" t="inlineStr">
        <is>
          <t>Jul</t>
        </is>
      </c>
      <c r="G907" s="18">
        <f>IF(D907&lt;C907,D907+1-C907,D907-C907)*24</f>
        <v/>
      </c>
      <c r="H907" s="18">
        <f>MAX(0,G907-8)</f>
        <v/>
      </c>
    </row>
    <row r="908">
      <c r="A908" t="n">
        <v>1205</v>
      </c>
      <c r="B908" s="14" t="n">
        <v>46227</v>
      </c>
      <c r="C908" s="17" t="n">
        <v>0.25</v>
      </c>
      <c r="D908" s="17" t="n">
        <v>0.6666666666666666</v>
      </c>
      <c r="E908" t="inlineStr">
        <is>
          <t>Day</t>
        </is>
      </c>
      <c r="F908" t="inlineStr">
        <is>
          <t>Jul</t>
        </is>
      </c>
      <c r="G908" s="18">
        <f>IF(D908&lt;C908,D908+1-C908,D908-C908)*24</f>
        <v/>
      </c>
      <c r="H908" s="18">
        <f>MAX(0,G908-8)</f>
        <v/>
      </c>
    </row>
    <row r="909">
      <c r="A909" t="n">
        <v>1206</v>
      </c>
      <c r="B909" s="14" t="n">
        <v>46227</v>
      </c>
      <c r="C909" s="17" t="n">
        <v>0.25</v>
      </c>
      <c r="D909" s="17" t="n">
        <v>0.5833333333333334</v>
      </c>
      <c r="E909" t="inlineStr">
        <is>
          <t>Day</t>
        </is>
      </c>
      <c r="F909" t="inlineStr">
        <is>
          <t>Jul</t>
        </is>
      </c>
      <c r="G909" s="18">
        <f>IF(D909&lt;C909,D909+1-C909,D909-C909)*24</f>
        <v/>
      </c>
      <c r="H909" s="18">
        <f>MAX(0,G909-8)</f>
        <v/>
      </c>
    </row>
    <row r="910">
      <c r="A910" t="n">
        <v>1207</v>
      </c>
      <c r="B910" s="14" t="n">
        <v>46227</v>
      </c>
      <c r="C910" s="17" t="n">
        <v>0.25</v>
      </c>
      <c r="D910" s="17" t="n">
        <v>0.5833333333333334</v>
      </c>
      <c r="E910" t="inlineStr">
        <is>
          <t>Day</t>
        </is>
      </c>
      <c r="F910" t="inlineStr">
        <is>
          <t>Jul</t>
        </is>
      </c>
      <c r="G910" s="18">
        <f>IF(D910&lt;C910,D910+1-C910,D910-C910)*24</f>
        <v/>
      </c>
      <c r="H910" s="18">
        <f>MAX(0,G910-8)</f>
        <v/>
      </c>
    </row>
    <row r="911">
      <c r="A911" t="n">
        <v>1208</v>
      </c>
      <c r="B911" s="14" t="n">
        <v>46227</v>
      </c>
      <c r="C911" s="17" t="n">
        <v>0.25</v>
      </c>
      <c r="D911" s="17" t="n">
        <v>0.625</v>
      </c>
      <c r="E911" t="inlineStr">
        <is>
          <t>Day</t>
        </is>
      </c>
      <c r="F911" t="inlineStr">
        <is>
          <t>Jul</t>
        </is>
      </c>
      <c r="G911" s="18">
        <f>IF(D911&lt;C911,D911+1-C911,D911-C911)*24</f>
        <v/>
      </c>
      <c r="H911" s="18">
        <f>MAX(0,G911-8)</f>
        <v/>
      </c>
    </row>
    <row r="912">
      <c r="A912" t="n">
        <v>1209</v>
      </c>
      <c r="B912" s="14" t="n">
        <v>46227</v>
      </c>
      <c r="C912" s="17" t="n">
        <v>0.2708333333333333</v>
      </c>
      <c r="D912" s="17" t="n">
        <v>0.6458333333333334</v>
      </c>
      <c r="E912" t="inlineStr">
        <is>
          <t>Day</t>
        </is>
      </c>
      <c r="F912" t="inlineStr">
        <is>
          <t>Jul</t>
        </is>
      </c>
      <c r="G912" s="18">
        <f>IF(D912&lt;C912,D912+1-C912,D912-C912)*24</f>
        <v/>
      </c>
      <c r="H912" s="18">
        <f>MAX(0,G912-8)</f>
        <v/>
      </c>
    </row>
    <row r="913">
      <c r="A913" t="n">
        <v>1210</v>
      </c>
      <c r="B913" s="14" t="n">
        <v>46227</v>
      </c>
      <c r="C913" s="17" t="n">
        <v>0.25</v>
      </c>
      <c r="D913" s="17" t="n">
        <v>0.625</v>
      </c>
      <c r="E913" t="inlineStr">
        <is>
          <t>Day</t>
        </is>
      </c>
      <c r="F913" t="inlineStr">
        <is>
          <t>Jul</t>
        </is>
      </c>
      <c r="G913" s="18">
        <f>IF(D913&lt;C913,D913+1-C913,D913-C913)*24</f>
        <v/>
      </c>
      <c r="H913" s="18">
        <f>MAX(0,G913-8)</f>
        <v/>
      </c>
    </row>
    <row r="914">
      <c r="A914" t="n">
        <v>1211</v>
      </c>
      <c r="B914" s="14" t="n">
        <v>46227</v>
      </c>
      <c r="C914" s="17" t="n">
        <v>0.25</v>
      </c>
      <c r="D914" s="17" t="n">
        <v>0.6666666666666666</v>
      </c>
      <c r="E914" t="inlineStr">
        <is>
          <t>Day</t>
        </is>
      </c>
      <c r="F914" t="inlineStr">
        <is>
          <t>Jul</t>
        </is>
      </c>
      <c r="G914" s="18">
        <f>IF(D914&lt;C914,D914+1-C914,D914-C914)*24</f>
        <v/>
      </c>
      <c r="H914" s="18">
        <f>MAX(0,G914-8)</f>
        <v/>
      </c>
    </row>
    <row r="915">
      <c r="A915" t="n">
        <v>1212</v>
      </c>
      <c r="B915" s="14" t="n">
        <v>46227</v>
      </c>
      <c r="C915" s="17" t="n">
        <v>0.25</v>
      </c>
      <c r="D915" s="17" t="n">
        <v>0.625</v>
      </c>
      <c r="E915" t="inlineStr">
        <is>
          <t>Day</t>
        </is>
      </c>
      <c r="F915" t="inlineStr">
        <is>
          <t>Jul</t>
        </is>
      </c>
      <c r="G915" s="18">
        <f>IF(D915&lt;C915,D915+1-C915,D915-C915)*24</f>
        <v/>
      </c>
      <c r="H915" s="18">
        <f>MAX(0,G915-8)</f>
        <v/>
      </c>
    </row>
    <row r="916">
      <c r="A916" t="n">
        <v>1213</v>
      </c>
      <c r="B916" s="14" t="n">
        <v>46227</v>
      </c>
      <c r="C916" s="17" t="n">
        <v>0.25</v>
      </c>
      <c r="D916" s="17" t="n">
        <v>0.625</v>
      </c>
      <c r="E916" t="inlineStr">
        <is>
          <t>Day</t>
        </is>
      </c>
      <c r="F916" t="inlineStr">
        <is>
          <t>Jul</t>
        </is>
      </c>
      <c r="G916" s="18">
        <f>IF(D916&lt;C916,D916+1-C916,D916-C916)*24</f>
        <v/>
      </c>
      <c r="H916" s="18">
        <f>MAX(0,G916-8)</f>
        <v/>
      </c>
    </row>
    <row r="917">
      <c r="A917" t="n">
        <v>1216</v>
      </c>
      <c r="B917" s="14" t="n">
        <v>46227</v>
      </c>
      <c r="C917" s="17" t="n">
        <v>0.25</v>
      </c>
      <c r="D917" s="17" t="n">
        <v>0.625</v>
      </c>
      <c r="E917" t="inlineStr">
        <is>
          <t>Day</t>
        </is>
      </c>
      <c r="F917" t="inlineStr">
        <is>
          <t>Jul</t>
        </is>
      </c>
      <c r="G917" s="18">
        <f>IF(D917&lt;C917,D917+1-C917,D917-C917)*24</f>
        <v/>
      </c>
      <c r="H917" s="18">
        <f>MAX(0,G917-8)</f>
        <v/>
      </c>
    </row>
    <row r="918">
      <c r="A918" t="n">
        <v>1217</v>
      </c>
      <c r="B918" s="14" t="n">
        <v>46227</v>
      </c>
      <c r="C918" s="17" t="n">
        <v>0.2708333333333333</v>
      </c>
      <c r="D918" s="17" t="n">
        <v>0.625</v>
      </c>
      <c r="E918" t="inlineStr">
        <is>
          <t>Day</t>
        </is>
      </c>
      <c r="F918" t="inlineStr">
        <is>
          <t>Jul</t>
        </is>
      </c>
      <c r="G918" s="18">
        <f>IF(D918&lt;C918,D918+1-C918,D918-C918)*24</f>
        <v/>
      </c>
      <c r="H918" s="18">
        <f>MAX(0,G918-8)</f>
        <v/>
      </c>
    </row>
    <row r="919">
      <c r="A919" t="n">
        <v>1218</v>
      </c>
      <c r="B919" s="14" t="n">
        <v>46227</v>
      </c>
      <c r="C919" s="17" t="n">
        <v>0.2708333333333333</v>
      </c>
      <c r="D919" s="17" t="n">
        <v>0.6875</v>
      </c>
      <c r="E919" t="inlineStr">
        <is>
          <t>Day</t>
        </is>
      </c>
      <c r="F919" t="inlineStr">
        <is>
          <t>Jul</t>
        </is>
      </c>
      <c r="G919" s="18">
        <f>IF(D919&lt;C919,D919+1-C919,D919-C919)*24</f>
        <v/>
      </c>
      <c r="H919" s="18">
        <f>MAX(0,G919-8)</f>
        <v/>
      </c>
    </row>
    <row r="920">
      <c r="A920" t="n">
        <v>1219</v>
      </c>
      <c r="B920" s="14" t="n">
        <v>46227</v>
      </c>
      <c r="C920" s="17" t="n">
        <v>0.25</v>
      </c>
      <c r="D920" s="17" t="n">
        <v>0.5833333333333334</v>
      </c>
      <c r="E920" t="inlineStr">
        <is>
          <t>Day</t>
        </is>
      </c>
      <c r="F920" t="inlineStr">
        <is>
          <t>Jul</t>
        </is>
      </c>
      <c r="G920" s="18">
        <f>IF(D920&lt;C920,D920+1-C920,D920-C920)*24</f>
        <v/>
      </c>
      <c r="H920" s="18">
        <f>MAX(0,G920-8)</f>
        <v/>
      </c>
    </row>
    <row r="921">
      <c r="A921" t="n">
        <v>1220</v>
      </c>
      <c r="B921" s="14" t="n">
        <v>46227</v>
      </c>
      <c r="C921" s="17" t="n">
        <v>0.2708333333333333</v>
      </c>
      <c r="D921" s="17" t="n">
        <v>0.625</v>
      </c>
      <c r="E921" t="inlineStr">
        <is>
          <t>Day</t>
        </is>
      </c>
      <c r="F921" t="inlineStr">
        <is>
          <t>Jul</t>
        </is>
      </c>
      <c r="G921" s="18">
        <f>IF(D921&lt;C921,D921+1-C921,D921-C921)*24</f>
        <v/>
      </c>
      <c r="H921" s="18">
        <f>MAX(0,G921-8)</f>
        <v/>
      </c>
    </row>
    <row r="922">
      <c r="A922" t="n">
        <v>1101</v>
      </c>
      <c r="B922" s="14" t="n">
        <v>46230</v>
      </c>
      <c r="C922" s="17" t="n">
        <v>0.9166666666666666</v>
      </c>
      <c r="D922" s="17" t="n">
        <v>0.2708333333333333</v>
      </c>
      <c r="E922" t="inlineStr">
        <is>
          <t>Night</t>
        </is>
      </c>
      <c r="F922" t="inlineStr">
        <is>
          <t>Jul</t>
        </is>
      </c>
      <c r="G922" s="18">
        <f>IF(D922&lt;C922,D922+1-C922,D922-C922)*24</f>
        <v/>
      </c>
      <c r="H922" s="18">
        <f>MAX(0,G922-8)</f>
        <v/>
      </c>
    </row>
    <row r="923">
      <c r="A923" t="n">
        <v>1102</v>
      </c>
      <c r="B923" s="14" t="n">
        <v>46230</v>
      </c>
      <c r="C923" s="17" t="n">
        <v>0.9166666666666666</v>
      </c>
      <c r="D923" s="17" t="n">
        <v>0.375</v>
      </c>
      <c r="E923" t="inlineStr">
        <is>
          <t>Night</t>
        </is>
      </c>
      <c r="F923" t="inlineStr">
        <is>
          <t>Jul</t>
        </is>
      </c>
      <c r="G923" s="18">
        <f>IF(D923&lt;C923,D923+1-C923,D923-C923)*24</f>
        <v/>
      </c>
      <c r="H923" s="18">
        <f>MAX(0,G923-8)</f>
        <v/>
      </c>
    </row>
    <row r="924">
      <c r="A924" t="n">
        <v>1104</v>
      </c>
      <c r="B924" s="14" t="n">
        <v>46230</v>
      </c>
      <c r="C924" s="17" t="n">
        <v>0.9166666666666666</v>
      </c>
      <c r="D924" s="17" t="n">
        <v>0.25</v>
      </c>
      <c r="E924" t="inlineStr">
        <is>
          <t>Night</t>
        </is>
      </c>
      <c r="F924" t="inlineStr">
        <is>
          <t>Jul</t>
        </is>
      </c>
      <c r="G924" s="18">
        <f>IF(D924&lt;C924,D924+1-C924,D924-C924)*24</f>
        <v/>
      </c>
      <c r="H924" s="18">
        <f>MAX(0,G924-8)</f>
        <v/>
      </c>
    </row>
    <row r="925">
      <c r="A925" t="n">
        <v>1106</v>
      </c>
      <c r="B925" s="14" t="n">
        <v>46230</v>
      </c>
      <c r="C925" s="17" t="n">
        <v>0.9375</v>
      </c>
      <c r="D925" s="17" t="n">
        <v>0.3541666666666667</v>
      </c>
      <c r="E925" t="inlineStr">
        <is>
          <t>Night</t>
        </is>
      </c>
      <c r="F925" t="inlineStr">
        <is>
          <t>Jul</t>
        </is>
      </c>
      <c r="G925" s="18">
        <f>IF(D925&lt;C925,D925+1-C925,D925-C925)*24</f>
        <v/>
      </c>
      <c r="H925" s="18">
        <f>MAX(0,G925-8)</f>
        <v/>
      </c>
    </row>
    <row r="926">
      <c r="A926" t="n">
        <v>1108</v>
      </c>
      <c r="B926" s="14" t="n">
        <v>46230</v>
      </c>
      <c r="C926" s="17" t="n">
        <v>0.9166666666666666</v>
      </c>
      <c r="D926" s="17" t="n">
        <v>0.3541666666666667</v>
      </c>
      <c r="E926" t="inlineStr">
        <is>
          <t>Night</t>
        </is>
      </c>
      <c r="F926" t="inlineStr">
        <is>
          <t>Jul</t>
        </is>
      </c>
      <c r="G926" s="18">
        <f>IF(D926&lt;C926,D926+1-C926,D926-C926)*24</f>
        <v/>
      </c>
      <c r="H926" s="18">
        <f>MAX(0,G926-8)</f>
        <v/>
      </c>
    </row>
    <row r="927">
      <c r="A927" t="n">
        <v>1109</v>
      </c>
      <c r="B927" s="14" t="n">
        <v>46230</v>
      </c>
      <c r="C927" s="17" t="n">
        <v>0.9166666666666666</v>
      </c>
      <c r="D927" s="17" t="n">
        <v>0.3958333333333333</v>
      </c>
      <c r="E927" t="inlineStr">
        <is>
          <t>Night</t>
        </is>
      </c>
      <c r="F927" t="inlineStr">
        <is>
          <t>Jul</t>
        </is>
      </c>
      <c r="G927" s="18">
        <f>IF(D927&lt;C927,D927+1-C927,D927-C927)*24</f>
        <v/>
      </c>
      <c r="H927" s="18">
        <f>MAX(0,G927-8)</f>
        <v/>
      </c>
    </row>
    <row r="928">
      <c r="A928" t="n">
        <v>1110</v>
      </c>
      <c r="B928" s="14" t="n">
        <v>46230</v>
      </c>
      <c r="C928" s="17" t="n">
        <v>0.9375</v>
      </c>
      <c r="D928" s="17" t="n">
        <v>0.3125</v>
      </c>
      <c r="E928" t="inlineStr">
        <is>
          <t>Night</t>
        </is>
      </c>
      <c r="F928" t="inlineStr">
        <is>
          <t>Jul</t>
        </is>
      </c>
      <c r="G928" s="18">
        <f>IF(D928&lt;C928,D928+1-C928,D928-C928)*24</f>
        <v/>
      </c>
      <c r="H928" s="18">
        <f>MAX(0,G928-8)</f>
        <v/>
      </c>
    </row>
    <row r="929">
      <c r="A929" t="n">
        <v>1112</v>
      </c>
      <c r="B929" s="14" t="n">
        <v>46230</v>
      </c>
      <c r="C929" s="17" t="n">
        <v>0.9270833333333334</v>
      </c>
      <c r="D929" s="17" t="n">
        <v>0.3645833333333333</v>
      </c>
      <c r="E929" t="inlineStr">
        <is>
          <t>Night</t>
        </is>
      </c>
      <c r="F929" t="inlineStr">
        <is>
          <t>Jul</t>
        </is>
      </c>
      <c r="G929" s="18">
        <f>IF(D929&lt;C929,D929+1-C929,D929-C929)*24</f>
        <v/>
      </c>
      <c r="H929" s="18">
        <f>MAX(0,G929-8)</f>
        <v/>
      </c>
    </row>
    <row r="930">
      <c r="A930" t="n">
        <v>1113</v>
      </c>
      <c r="B930" s="14" t="n">
        <v>46230</v>
      </c>
      <c r="C930" s="17" t="n">
        <v>0.9270833333333334</v>
      </c>
      <c r="D930" s="17" t="n">
        <v>0.40625</v>
      </c>
      <c r="E930" t="inlineStr">
        <is>
          <t>Night</t>
        </is>
      </c>
      <c r="F930" t="inlineStr">
        <is>
          <t>Jul</t>
        </is>
      </c>
      <c r="G930" s="18">
        <f>IF(D930&lt;C930,D930+1-C930,D930-C930)*24</f>
        <v/>
      </c>
      <c r="H930" s="18">
        <f>MAX(0,G930-8)</f>
        <v/>
      </c>
    </row>
    <row r="931">
      <c r="A931" t="n">
        <v>1114</v>
      </c>
      <c r="B931" s="14" t="n">
        <v>46230</v>
      </c>
      <c r="C931" s="17" t="n">
        <v>0.9375</v>
      </c>
      <c r="D931" s="17" t="n">
        <v>0.2708333333333333</v>
      </c>
      <c r="E931" t="inlineStr">
        <is>
          <t>Night</t>
        </is>
      </c>
      <c r="F931" t="inlineStr">
        <is>
          <t>Jul</t>
        </is>
      </c>
      <c r="G931" s="18">
        <f>IF(D931&lt;C931,D931+1-C931,D931-C931)*24</f>
        <v/>
      </c>
      <c r="H931" s="18">
        <f>MAX(0,G931-8)</f>
        <v/>
      </c>
    </row>
    <row r="932">
      <c r="A932" t="n">
        <v>1115</v>
      </c>
      <c r="B932" s="14" t="n">
        <v>46230</v>
      </c>
      <c r="C932" s="17" t="n">
        <v>0.9375</v>
      </c>
      <c r="D932" s="17" t="n">
        <v>0.2708333333333333</v>
      </c>
      <c r="E932" t="inlineStr">
        <is>
          <t>Night</t>
        </is>
      </c>
      <c r="F932" t="inlineStr">
        <is>
          <t>Jul</t>
        </is>
      </c>
      <c r="G932" s="18">
        <f>IF(D932&lt;C932,D932+1-C932,D932-C932)*24</f>
        <v/>
      </c>
      <c r="H932" s="18">
        <f>MAX(0,G932-8)</f>
        <v/>
      </c>
    </row>
    <row r="933">
      <c r="A933" t="n">
        <v>1117</v>
      </c>
      <c r="B933" s="14" t="n">
        <v>46230</v>
      </c>
      <c r="C933" s="17" t="n">
        <v>0.9375</v>
      </c>
      <c r="D933" s="17" t="n">
        <v>0.3125</v>
      </c>
      <c r="E933" t="inlineStr">
        <is>
          <t>Night</t>
        </is>
      </c>
      <c r="F933" t="inlineStr">
        <is>
          <t>Jul</t>
        </is>
      </c>
      <c r="G933" s="18">
        <f>IF(D933&lt;C933,D933+1-C933,D933-C933)*24</f>
        <v/>
      </c>
      <c r="H933" s="18">
        <f>MAX(0,G933-8)</f>
        <v/>
      </c>
    </row>
    <row r="934">
      <c r="A934" t="n">
        <v>1119</v>
      </c>
      <c r="B934" s="14" t="n">
        <v>46230</v>
      </c>
      <c r="C934" s="17" t="n">
        <v>0.9270833333333334</v>
      </c>
      <c r="D934" s="17" t="n">
        <v>0.28125</v>
      </c>
      <c r="E934" t="inlineStr">
        <is>
          <t>Night</t>
        </is>
      </c>
      <c r="F934" t="inlineStr">
        <is>
          <t>Jul</t>
        </is>
      </c>
      <c r="G934" s="18">
        <f>IF(D934&lt;C934,D934+1-C934,D934-C934)*24</f>
        <v/>
      </c>
      <c r="H934" s="18">
        <f>MAX(0,G934-8)</f>
        <v/>
      </c>
    </row>
    <row r="935">
      <c r="A935" t="n">
        <v>1121</v>
      </c>
      <c r="B935" s="14" t="n">
        <v>46230</v>
      </c>
      <c r="C935" s="17" t="n">
        <v>0.9375</v>
      </c>
      <c r="D935" s="17" t="n">
        <v>0.2916666666666667</v>
      </c>
      <c r="E935" t="inlineStr">
        <is>
          <t>Night</t>
        </is>
      </c>
      <c r="F935" t="inlineStr">
        <is>
          <t>Jul</t>
        </is>
      </c>
      <c r="G935" s="18">
        <f>IF(D935&lt;C935,D935+1-C935,D935-C935)*24</f>
        <v/>
      </c>
      <c r="H935" s="18">
        <f>MAX(0,G935-8)</f>
        <v/>
      </c>
    </row>
    <row r="936">
      <c r="A936" t="n">
        <v>1122</v>
      </c>
      <c r="B936" s="14" t="n">
        <v>46230</v>
      </c>
      <c r="C936" s="17" t="n">
        <v>0.9166666666666666</v>
      </c>
      <c r="D936" s="17" t="n">
        <v>0.2708333333333333</v>
      </c>
      <c r="E936" t="inlineStr">
        <is>
          <t>Night</t>
        </is>
      </c>
      <c r="F936" t="inlineStr">
        <is>
          <t>Jul</t>
        </is>
      </c>
      <c r="G936" s="18">
        <f>IF(D936&lt;C936,D936+1-C936,D936-C936)*24</f>
        <v/>
      </c>
      <c r="H936" s="18">
        <f>MAX(0,G936-8)</f>
        <v/>
      </c>
    </row>
    <row r="937">
      <c r="A937" t="n">
        <v>1123</v>
      </c>
      <c r="B937" s="14" t="n">
        <v>46230</v>
      </c>
      <c r="C937" s="17" t="n">
        <v>0.9270833333333334</v>
      </c>
      <c r="D937" s="17" t="n">
        <v>0.28125</v>
      </c>
      <c r="E937" t="inlineStr">
        <is>
          <t>Night</t>
        </is>
      </c>
      <c r="F937" t="inlineStr">
        <is>
          <t>Jul</t>
        </is>
      </c>
      <c r="G937" s="18">
        <f>IF(D937&lt;C937,D937+1-C937,D937-C937)*24</f>
        <v/>
      </c>
      <c r="H937" s="18">
        <f>MAX(0,G937-8)</f>
        <v/>
      </c>
    </row>
    <row r="938">
      <c r="A938" t="n">
        <v>1125</v>
      </c>
      <c r="B938" s="14" t="n">
        <v>46230</v>
      </c>
      <c r="C938" s="17" t="n">
        <v>0.9270833333333334</v>
      </c>
      <c r="D938" s="17" t="n">
        <v>0.3229166666666667</v>
      </c>
      <c r="E938" t="inlineStr">
        <is>
          <t>Night</t>
        </is>
      </c>
      <c r="F938" t="inlineStr">
        <is>
          <t>Jul</t>
        </is>
      </c>
      <c r="G938" s="18">
        <f>IF(D938&lt;C938,D938+1-C938,D938-C938)*24</f>
        <v/>
      </c>
      <c r="H938" s="18">
        <f>MAX(0,G938-8)</f>
        <v/>
      </c>
    </row>
    <row r="939">
      <c r="A939" t="n">
        <v>1126</v>
      </c>
      <c r="B939" s="14" t="n">
        <v>46230</v>
      </c>
      <c r="C939" s="17" t="n">
        <v>0.9375</v>
      </c>
      <c r="D939" s="17" t="n">
        <v>0.2916666666666667</v>
      </c>
      <c r="E939" t="inlineStr">
        <is>
          <t>Night</t>
        </is>
      </c>
      <c r="F939" t="inlineStr">
        <is>
          <t>Jul</t>
        </is>
      </c>
      <c r="G939" s="18">
        <f>IF(D939&lt;C939,D939+1-C939,D939-C939)*24</f>
        <v/>
      </c>
      <c r="H939" s="18">
        <f>MAX(0,G939-8)</f>
        <v/>
      </c>
    </row>
    <row r="940">
      <c r="A940" t="n">
        <v>1128</v>
      </c>
      <c r="B940" s="14" t="n">
        <v>46230</v>
      </c>
      <c r="C940" s="17" t="n">
        <v>0.9375</v>
      </c>
      <c r="D940" s="17" t="n">
        <v>0.2708333333333333</v>
      </c>
      <c r="E940" t="inlineStr">
        <is>
          <t>Night</t>
        </is>
      </c>
      <c r="F940" t="inlineStr">
        <is>
          <t>Jul</t>
        </is>
      </c>
      <c r="G940" s="18">
        <f>IF(D940&lt;C940,D940+1-C940,D940-C940)*24</f>
        <v/>
      </c>
      <c r="H940" s="18">
        <f>MAX(0,G940-8)</f>
        <v/>
      </c>
    </row>
    <row r="941">
      <c r="A941" t="n">
        <v>1129</v>
      </c>
      <c r="B941" s="14" t="n">
        <v>46230</v>
      </c>
      <c r="C941" s="17" t="n">
        <v>0.9166666666666666</v>
      </c>
      <c r="D941" s="17" t="n">
        <v>0.2708333333333333</v>
      </c>
      <c r="E941" t="inlineStr">
        <is>
          <t>Night</t>
        </is>
      </c>
      <c r="F941" t="inlineStr">
        <is>
          <t>Jul</t>
        </is>
      </c>
      <c r="G941" s="18">
        <f>IF(D941&lt;C941,D941+1-C941,D941-C941)*24</f>
        <v/>
      </c>
      <c r="H941" s="18">
        <f>MAX(0,G941-8)</f>
        <v/>
      </c>
    </row>
    <row r="942">
      <c r="A942" t="n">
        <v>1130</v>
      </c>
      <c r="B942" s="14" t="n">
        <v>46230</v>
      </c>
      <c r="C942" s="17" t="n">
        <v>0.9166666666666666</v>
      </c>
      <c r="D942" s="17" t="n">
        <v>0.25</v>
      </c>
      <c r="E942" t="inlineStr">
        <is>
          <t>Night</t>
        </is>
      </c>
      <c r="F942" t="inlineStr">
        <is>
          <t>Jul</t>
        </is>
      </c>
      <c r="G942" s="18">
        <f>IF(D942&lt;C942,D942+1-C942,D942-C942)*24</f>
        <v/>
      </c>
      <c r="H942" s="18">
        <f>MAX(0,G942-8)</f>
        <v/>
      </c>
    </row>
    <row r="943">
      <c r="A943" t="n">
        <v>1131</v>
      </c>
      <c r="B943" s="14" t="n">
        <v>46230</v>
      </c>
      <c r="C943" s="17" t="n">
        <v>0.9166666666666666</v>
      </c>
      <c r="D943" s="17" t="n">
        <v>0.3125</v>
      </c>
      <c r="E943" t="inlineStr">
        <is>
          <t>Night</t>
        </is>
      </c>
      <c r="F943" t="inlineStr">
        <is>
          <t>Jul</t>
        </is>
      </c>
      <c r="G943" s="18">
        <f>IF(D943&lt;C943,D943+1-C943,D943-C943)*24</f>
        <v/>
      </c>
      <c r="H943" s="18">
        <f>MAX(0,G943-8)</f>
        <v/>
      </c>
    </row>
    <row r="944">
      <c r="A944" t="n">
        <v>1132</v>
      </c>
      <c r="B944" s="14" t="n">
        <v>46230</v>
      </c>
      <c r="C944" s="17" t="n">
        <v>0.9270833333333334</v>
      </c>
      <c r="D944" s="17" t="n">
        <v>0.2604166666666667</v>
      </c>
      <c r="E944" t="inlineStr">
        <is>
          <t>Night</t>
        </is>
      </c>
      <c r="F944" t="inlineStr">
        <is>
          <t>Jul</t>
        </is>
      </c>
      <c r="G944" s="18">
        <f>IF(D944&lt;C944,D944+1-C944,D944-C944)*24</f>
        <v/>
      </c>
      <c r="H944" s="18">
        <f>MAX(0,G944-8)</f>
        <v/>
      </c>
    </row>
    <row r="945">
      <c r="A945" t="n">
        <v>1133</v>
      </c>
      <c r="B945" s="14" t="n">
        <v>46230</v>
      </c>
      <c r="C945" s="17" t="n">
        <v>0.9166666666666666</v>
      </c>
      <c r="D945" s="17" t="n">
        <v>0.2708333333333333</v>
      </c>
      <c r="E945" t="inlineStr">
        <is>
          <t>Night</t>
        </is>
      </c>
      <c r="F945" t="inlineStr">
        <is>
          <t>Jul</t>
        </is>
      </c>
      <c r="G945" s="18">
        <f>IF(D945&lt;C945,D945+1-C945,D945-C945)*24</f>
        <v/>
      </c>
      <c r="H945" s="18">
        <f>MAX(0,G945-8)</f>
        <v/>
      </c>
    </row>
    <row r="946">
      <c r="A946" t="n">
        <v>1134</v>
      </c>
      <c r="B946" s="14" t="n">
        <v>46230</v>
      </c>
      <c r="C946" s="17" t="n">
        <v>0.9166666666666666</v>
      </c>
      <c r="D946" s="17" t="n">
        <v>0.375</v>
      </c>
      <c r="E946" t="inlineStr">
        <is>
          <t>Night</t>
        </is>
      </c>
      <c r="F946" t="inlineStr">
        <is>
          <t>Jul</t>
        </is>
      </c>
      <c r="G946" s="18">
        <f>IF(D946&lt;C946,D946+1-C946,D946-C946)*24</f>
        <v/>
      </c>
      <c r="H946" s="18">
        <f>MAX(0,G946-8)</f>
        <v/>
      </c>
    </row>
    <row r="947">
      <c r="A947" t="n">
        <v>1135</v>
      </c>
      <c r="B947" s="14" t="n">
        <v>46230</v>
      </c>
      <c r="C947" s="17" t="n">
        <v>0.9166666666666666</v>
      </c>
      <c r="D947" s="17" t="n">
        <v>0.2916666666666667</v>
      </c>
      <c r="E947" t="inlineStr">
        <is>
          <t>Night</t>
        </is>
      </c>
      <c r="F947" t="inlineStr">
        <is>
          <t>Jul</t>
        </is>
      </c>
      <c r="G947" s="18">
        <f>IF(D947&lt;C947,D947+1-C947,D947-C947)*24</f>
        <v/>
      </c>
      <c r="H947" s="18">
        <f>MAX(0,G947-8)</f>
        <v/>
      </c>
    </row>
    <row r="948">
      <c r="A948" t="n">
        <v>1136</v>
      </c>
      <c r="B948" s="14" t="n">
        <v>46230</v>
      </c>
      <c r="C948" s="17" t="n">
        <v>0.9166666666666666</v>
      </c>
      <c r="D948" s="17" t="n">
        <v>0.25</v>
      </c>
      <c r="E948" t="inlineStr">
        <is>
          <t>Night</t>
        </is>
      </c>
      <c r="F948" t="inlineStr">
        <is>
          <t>Jul</t>
        </is>
      </c>
      <c r="G948" s="18">
        <f>IF(D948&lt;C948,D948+1-C948,D948-C948)*24</f>
        <v/>
      </c>
      <c r="H948" s="18">
        <f>MAX(0,G948-8)</f>
        <v/>
      </c>
    </row>
    <row r="949">
      <c r="A949" t="n">
        <v>1137</v>
      </c>
      <c r="B949" s="14" t="n">
        <v>46230</v>
      </c>
      <c r="C949" s="17" t="n">
        <v>0.9375</v>
      </c>
      <c r="D949" s="17" t="n">
        <v>0.2708333333333333</v>
      </c>
      <c r="E949" t="inlineStr">
        <is>
          <t>Night</t>
        </is>
      </c>
      <c r="F949" t="inlineStr">
        <is>
          <t>Jul</t>
        </is>
      </c>
      <c r="G949" s="18">
        <f>IF(D949&lt;C949,D949+1-C949,D949-C949)*24</f>
        <v/>
      </c>
      <c r="H949" s="18">
        <f>MAX(0,G949-8)</f>
        <v/>
      </c>
    </row>
    <row r="950">
      <c r="A950" t="n">
        <v>1147</v>
      </c>
      <c r="B950" s="14" t="n">
        <v>46230</v>
      </c>
      <c r="C950" s="17" t="n">
        <v>0.9375</v>
      </c>
      <c r="D950" s="17" t="n">
        <v>0.2916666666666667</v>
      </c>
      <c r="E950" t="inlineStr">
        <is>
          <t>Night</t>
        </is>
      </c>
      <c r="F950" t="inlineStr">
        <is>
          <t>Jul</t>
        </is>
      </c>
      <c r="G950" s="18">
        <f>IF(D950&lt;C950,D950+1-C950,D950-C950)*24</f>
        <v/>
      </c>
      <c r="H950" s="18">
        <f>MAX(0,G950-8)</f>
        <v/>
      </c>
    </row>
    <row r="951">
      <c r="A951" t="n">
        <v>1103</v>
      </c>
      <c r="B951" s="14" t="n">
        <v>46230</v>
      </c>
      <c r="C951" s="17" t="n">
        <v>0.01041666666666667</v>
      </c>
      <c r="D951" s="17" t="n">
        <v>0.3645833333333333</v>
      </c>
      <c r="E951" t="inlineStr">
        <is>
          <t>Night</t>
        </is>
      </c>
      <c r="F951" t="inlineStr">
        <is>
          <t>Jul</t>
        </is>
      </c>
      <c r="G951" s="18">
        <f>IF(D951&lt;C951,D951+1-C951,D951-C951)*24</f>
        <v/>
      </c>
      <c r="H951" s="18">
        <f>MAX(0,G951-8)</f>
        <v/>
      </c>
    </row>
    <row r="952">
      <c r="A952" t="n">
        <v>1107</v>
      </c>
      <c r="B952" s="14" t="n">
        <v>46230</v>
      </c>
      <c r="C952" s="17" t="n">
        <v>0.01041666666666667</v>
      </c>
      <c r="D952" s="17" t="n">
        <v>0.34375</v>
      </c>
      <c r="E952" t="inlineStr">
        <is>
          <t>Night</t>
        </is>
      </c>
      <c r="F952" t="inlineStr">
        <is>
          <t>Jul</t>
        </is>
      </c>
      <c r="G952" s="18">
        <f>IF(D952&lt;C952,D952+1-C952,D952-C952)*24</f>
        <v/>
      </c>
      <c r="H952" s="18">
        <f>MAX(0,G952-8)</f>
        <v/>
      </c>
    </row>
    <row r="953">
      <c r="A953" t="n">
        <v>1111</v>
      </c>
      <c r="B953" s="14" t="n">
        <v>46230</v>
      </c>
      <c r="C953" s="17" t="n">
        <v>0.02083333333333333</v>
      </c>
      <c r="D953" s="17" t="n">
        <v>0.3541666666666667</v>
      </c>
      <c r="E953" t="inlineStr">
        <is>
          <t>Night</t>
        </is>
      </c>
      <c r="F953" t="inlineStr">
        <is>
          <t>Jul</t>
        </is>
      </c>
      <c r="G953" s="18">
        <f>IF(D953&lt;C953,D953+1-C953,D953-C953)*24</f>
        <v/>
      </c>
      <c r="H953" s="18">
        <f>MAX(0,G953-8)</f>
        <v/>
      </c>
    </row>
    <row r="954">
      <c r="A954" t="n">
        <v>1118</v>
      </c>
      <c r="B954" s="14" t="n">
        <v>46230</v>
      </c>
      <c r="C954" s="17" t="n">
        <v>0.02083333333333333</v>
      </c>
      <c r="D954" s="17" t="n">
        <v>0.375</v>
      </c>
      <c r="E954" t="inlineStr">
        <is>
          <t>Night</t>
        </is>
      </c>
      <c r="F954" t="inlineStr">
        <is>
          <t>Jul</t>
        </is>
      </c>
      <c r="G954" s="18">
        <f>IF(D954&lt;C954,D954+1-C954,D954-C954)*24</f>
        <v/>
      </c>
      <c r="H954" s="18">
        <f>MAX(0,G954-8)</f>
        <v/>
      </c>
    </row>
    <row r="955">
      <c r="A955" t="n">
        <v>1120</v>
      </c>
      <c r="B955" s="14" t="n">
        <v>46230</v>
      </c>
      <c r="C955" s="17" t="n">
        <v>0.02083333333333333</v>
      </c>
      <c r="D955" s="17" t="n">
        <v>0.375</v>
      </c>
      <c r="E955" t="inlineStr">
        <is>
          <t>Night</t>
        </is>
      </c>
      <c r="F955" t="inlineStr">
        <is>
          <t>Jul</t>
        </is>
      </c>
      <c r="G955" s="18">
        <f>IF(D955&lt;C955,D955+1-C955,D955-C955)*24</f>
        <v/>
      </c>
      <c r="H955" s="18">
        <f>MAX(0,G955-8)</f>
        <v/>
      </c>
    </row>
    <row r="956">
      <c r="A956" t="n">
        <v>1124</v>
      </c>
      <c r="B956" s="14" t="n">
        <v>46230</v>
      </c>
      <c r="C956" s="17" t="n">
        <v>0.01041666666666667</v>
      </c>
      <c r="D956" s="17" t="n">
        <v>0.34375</v>
      </c>
      <c r="E956" t="inlineStr">
        <is>
          <t>Night</t>
        </is>
      </c>
      <c r="F956" t="inlineStr">
        <is>
          <t>Jul</t>
        </is>
      </c>
      <c r="G956" s="18">
        <f>IF(D956&lt;C956,D956+1-C956,D956-C956)*24</f>
        <v/>
      </c>
      <c r="H956" s="18">
        <f>MAX(0,G956-8)</f>
        <v/>
      </c>
    </row>
    <row r="957">
      <c r="A957" t="n">
        <v>1201</v>
      </c>
      <c r="B957" s="14" t="n">
        <v>46230</v>
      </c>
      <c r="C957" s="17" t="n">
        <v>0.2708333333333333</v>
      </c>
      <c r="D957" s="17" t="n">
        <v>0.6458333333333334</v>
      </c>
      <c r="E957" t="inlineStr">
        <is>
          <t>Day</t>
        </is>
      </c>
      <c r="F957" t="inlineStr">
        <is>
          <t>Jul</t>
        </is>
      </c>
      <c r="G957" s="18">
        <f>IF(D957&lt;C957,D957+1-C957,D957-C957)*24</f>
        <v/>
      </c>
      <c r="H957" s="18">
        <f>MAX(0,G957-8)</f>
        <v/>
      </c>
    </row>
    <row r="958">
      <c r="A958" t="n">
        <v>1202</v>
      </c>
      <c r="B958" s="14" t="n">
        <v>46230</v>
      </c>
      <c r="C958" s="17" t="n">
        <v>0.25</v>
      </c>
      <c r="D958" s="17" t="n">
        <v>0.6666666666666666</v>
      </c>
      <c r="E958" t="inlineStr">
        <is>
          <t>Day</t>
        </is>
      </c>
      <c r="F958" t="inlineStr">
        <is>
          <t>Jul</t>
        </is>
      </c>
      <c r="G958" s="18">
        <f>IF(D958&lt;C958,D958+1-C958,D958-C958)*24</f>
        <v/>
      </c>
      <c r="H958" s="18">
        <f>MAX(0,G958-8)</f>
        <v/>
      </c>
    </row>
    <row r="959">
      <c r="A959" t="n">
        <v>1203</v>
      </c>
      <c r="B959" s="14" t="n">
        <v>46230</v>
      </c>
      <c r="C959" s="17" t="n">
        <v>0.25</v>
      </c>
      <c r="D959" s="17" t="n">
        <v>0.6041666666666666</v>
      </c>
      <c r="E959" t="inlineStr">
        <is>
          <t>Day</t>
        </is>
      </c>
      <c r="F959" t="inlineStr">
        <is>
          <t>Jul</t>
        </is>
      </c>
      <c r="G959" s="18">
        <f>IF(D959&lt;C959,D959+1-C959,D959-C959)*24</f>
        <v/>
      </c>
      <c r="H959" s="18">
        <f>MAX(0,G959-8)</f>
        <v/>
      </c>
    </row>
    <row r="960">
      <c r="A960" t="n">
        <v>1204</v>
      </c>
      <c r="B960" s="14" t="n">
        <v>46230</v>
      </c>
      <c r="C960" s="17" t="n">
        <v>0.2708333333333333</v>
      </c>
      <c r="D960" s="17" t="n">
        <v>0.6041666666666666</v>
      </c>
      <c r="E960" t="inlineStr">
        <is>
          <t>Day</t>
        </is>
      </c>
      <c r="F960" t="inlineStr">
        <is>
          <t>Jul</t>
        </is>
      </c>
      <c r="G960" s="18">
        <f>IF(D960&lt;C960,D960+1-C960,D960-C960)*24</f>
        <v/>
      </c>
      <c r="H960" s="18">
        <f>MAX(0,G960-8)</f>
        <v/>
      </c>
    </row>
    <row r="961">
      <c r="A961" t="n">
        <v>1205</v>
      </c>
      <c r="B961" s="14" t="n">
        <v>46230</v>
      </c>
      <c r="C961" s="17" t="n">
        <v>0.2708333333333333</v>
      </c>
      <c r="D961" s="17" t="n">
        <v>0.625</v>
      </c>
      <c r="E961" t="inlineStr">
        <is>
          <t>Day</t>
        </is>
      </c>
      <c r="F961" t="inlineStr">
        <is>
          <t>Jul</t>
        </is>
      </c>
      <c r="G961" s="18">
        <f>IF(D961&lt;C961,D961+1-C961,D961-C961)*24</f>
        <v/>
      </c>
      <c r="H961" s="18">
        <f>MAX(0,G961-8)</f>
        <v/>
      </c>
    </row>
    <row r="962">
      <c r="A962" t="n">
        <v>1206</v>
      </c>
      <c r="B962" s="14" t="n">
        <v>46230</v>
      </c>
      <c r="C962" s="17" t="n">
        <v>0.25</v>
      </c>
      <c r="D962" s="17" t="n">
        <v>0.625</v>
      </c>
      <c r="E962" t="inlineStr">
        <is>
          <t>Day</t>
        </is>
      </c>
      <c r="F962" t="inlineStr">
        <is>
          <t>Jul</t>
        </is>
      </c>
      <c r="G962" s="18">
        <f>IF(D962&lt;C962,D962+1-C962,D962-C962)*24</f>
        <v/>
      </c>
      <c r="H962" s="18">
        <f>MAX(0,G962-8)</f>
        <v/>
      </c>
    </row>
    <row r="963">
      <c r="A963" t="n">
        <v>1207</v>
      </c>
      <c r="B963" s="14" t="n">
        <v>46230</v>
      </c>
      <c r="C963" s="17" t="n">
        <v>0.25</v>
      </c>
      <c r="D963" s="17" t="n">
        <v>0.6041666666666666</v>
      </c>
      <c r="E963" t="inlineStr">
        <is>
          <t>Day</t>
        </is>
      </c>
      <c r="F963" t="inlineStr">
        <is>
          <t>Jul</t>
        </is>
      </c>
      <c r="G963" s="18">
        <f>IF(D963&lt;C963,D963+1-C963,D963-C963)*24</f>
        <v/>
      </c>
      <c r="H963" s="18">
        <f>MAX(0,G963-8)</f>
        <v/>
      </c>
    </row>
    <row r="964">
      <c r="A964" t="n">
        <v>1208</v>
      </c>
      <c r="B964" s="14" t="n">
        <v>46230</v>
      </c>
      <c r="C964" s="17" t="n">
        <v>0.2708333333333333</v>
      </c>
      <c r="D964" s="17" t="n">
        <v>0.6458333333333334</v>
      </c>
      <c r="E964" t="inlineStr">
        <is>
          <t>Day</t>
        </is>
      </c>
      <c r="F964" t="inlineStr">
        <is>
          <t>Jul</t>
        </is>
      </c>
      <c r="G964" s="18">
        <f>IF(D964&lt;C964,D964+1-C964,D964-C964)*24</f>
        <v/>
      </c>
      <c r="H964" s="18">
        <f>MAX(0,G964-8)</f>
        <v/>
      </c>
    </row>
    <row r="965">
      <c r="A965" t="n">
        <v>1209</v>
      </c>
      <c r="B965" s="14" t="n">
        <v>46230</v>
      </c>
      <c r="C965" s="17" t="n">
        <v>0.2708333333333333</v>
      </c>
      <c r="D965" s="17" t="n">
        <v>0.6041666666666666</v>
      </c>
      <c r="E965" t="inlineStr">
        <is>
          <t>Day</t>
        </is>
      </c>
      <c r="F965" t="inlineStr">
        <is>
          <t>Jul</t>
        </is>
      </c>
      <c r="G965" s="18">
        <f>IF(D965&lt;C965,D965+1-C965,D965-C965)*24</f>
        <v/>
      </c>
      <c r="H965" s="18">
        <f>MAX(0,G965-8)</f>
        <v/>
      </c>
    </row>
    <row r="966">
      <c r="A966" t="n">
        <v>1210</v>
      </c>
      <c r="B966" s="14" t="n">
        <v>46230</v>
      </c>
      <c r="C966" s="17" t="n">
        <v>0.2708333333333333</v>
      </c>
      <c r="D966" s="17" t="n">
        <v>0.6041666666666666</v>
      </c>
      <c r="E966" t="inlineStr">
        <is>
          <t>Day</t>
        </is>
      </c>
      <c r="F966" t="inlineStr">
        <is>
          <t>Jul</t>
        </is>
      </c>
      <c r="G966" s="18">
        <f>IF(D966&lt;C966,D966+1-C966,D966-C966)*24</f>
        <v/>
      </c>
      <c r="H966" s="18">
        <f>MAX(0,G966-8)</f>
        <v/>
      </c>
    </row>
    <row r="967">
      <c r="A967" t="n">
        <v>1211</v>
      </c>
      <c r="B967" s="14" t="n">
        <v>46230</v>
      </c>
      <c r="C967" s="17" t="n">
        <v>0.25</v>
      </c>
      <c r="D967" s="17" t="n">
        <v>0.5833333333333334</v>
      </c>
      <c r="E967" t="inlineStr">
        <is>
          <t>Day</t>
        </is>
      </c>
      <c r="F967" t="inlineStr">
        <is>
          <t>Jul</t>
        </is>
      </c>
      <c r="G967" s="18">
        <f>IF(D967&lt;C967,D967+1-C967,D967-C967)*24</f>
        <v/>
      </c>
      <c r="H967" s="18">
        <f>MAX(0,G967-8)</f>
        <v/>
      </c>
    </row>
    <row r="968">
      <c r="A968" t="n">
        <v>1212</v>
      </c>
      <c r="B968" s="14" t="n">
        <v>46230</v>
      </c>
      <c r="C968" s="17" t="n">
        <v>0.25</v>
      </c>
      <c r="D968" s="17" t="n">
        <v>0.5833333333333334</v>
      </c>
      <c r="E968" t="inlineStr">
        <is>
          <t>Day</t>
        </is>
      </c>
      <c r="F968" t="inlineStr">
        <is>
          <t>Jul</t>
        </is>
      </c>
      <c r="G968" s="18">
        <f>IF(D968&lt;C968,D968+1-C968,D968-C968)*24</f>
        <v/>
      </c>
      <c r="H968" s="18">
        <f>MAX(0,G968-8)</f>
        <v/>
      </c>
    </row>
    <row r="969">
      <c r="A969" t="n">
        <v>1213</v>
      </c>
      <c r="B969" s="14" t="n">
        <v>46230</v>
      </c>
      <c r="C969" s="17" t="n">
        <v>0.25</v>
      </c>
      <c r="D969" s="17" t="n">
        <v>0.6666666666666666</v>
      </c>
      <c r="E969" t="inlineStr">
        <is>
          <t>Day</t>
        </is>
      </c>
      <c r="F969" t="inlineStr">
        <is>
          <t>Jul</t>
        </is>
      </c>
      <c r="G969" s="18">
        <f>IF(D969&lt;C969,D969+1-C969,D969-C969)*24</f>
        <v/>
      </c>
      <c r="H969" s="18">
        <f>MAX(0,G969-8)</f>
        <v/>
      </c>
    </row>
    <row r="970">
      <c r="A970" t="n">
        <v>1214</v>
      </c>
      <c r="B970" s="14" t="n">
        <v>46230</v>
      </c>
      <c r="C970" s="17" t="n">
        <v>0.2708333333333333</v>
      </c>
      <c r="D970" s="17" t="n">
        <v>0.625</v>
      </c>
      <c r="E970" t="inlineStr">
        <is>
          <t>Day</t>
        </is>
      </c>
      <c r="F970" t="inlineStr">
        <is>
          <t>Jul</t>
        </is>
      </c>
      <c r="G970" s="18">
        <f>IF(D970&lt;C970,D970+1-C970,D970-C970)*24</f>
        <v/>
      </c>
      <c r="H970" s="18">
        <f>MAX(0,G970-8)</f>
        <v/>
      </c>
    </row>
    <row r="971">
      <c r="A971" t="n">
        <v>1215</v>
      </c>
      <c r="B971" s="14" t="n">
        <v>46230</v>
      </c>
      <c r="C971" s="17" t="n">
        <v>0.25</v>
      </c>
      <c r="D971" s="17" t="n">
        <v>0.6041666666666666</v>
      </c>
      <c r="E971" t="inlineStr">
        <is>
          <t>Day</t>
        </is>
      </c>
      <c r="F971" t="inlineStr">
        <is>
          <t>Jul</t>
        </is>
      </c>
      <c r="G971" s="18">
        <f>IF(D971&lt;C971,D971+1-C971,D971-C971)*24</f>
        <v/>
      </c>
      <c r="H971" s="18">
        <f>MAX(0,G971-8)</f>
        <v/>
      </c>
    </row>
    <row r="972">
      <c r="A972" t="n">
        <v>1216</v>
      </c>
      <c r="B972" s="14" t="n">
        <v>46230</v>
      </c>
      <c r="C972" s="17" t="n">
        <v>0.25</v>
      </c>
      <c r="D972" s="17" t="n">
        <v>0.5833333333333334</v>
      </c>
      <c r="E972" t="inlineStr">
        <is>
          <t>Day</t>
        </is>
      </c>
      <c r="F972" t="inlineStr">
        <is>
          <t>Jul</t>
        </is>
      </c>
      <c r="G972" s="18">
        <f>IF(D972&lt;C972,D972+1-C972,D972-C972)*24</f>
        <v/>
      </c>
      <c r="H972" s="18">
        <f>MAX(0,G972-8)</f>
        <v/>
      </c>
    </row>
    <row r="973">
      <c r="A973" t="n">
        <v>1217</v>
      </c>
      <c r="B973" s="14" t="n">
        <v>46230</v>
      </c>
      <c r="C973" s="17" t="n">
        <v>0.25</v>
      </c>
      <c r="D973" s="17" t="n">
        <v>0.5833333333333334</v>
      </c>
      <c r="E973" t="inlineStr">
        <is>
          <t>Day</t>
        </is>
      </c>
      <c r="F973" t="inlineStr">
        <is>
          <t>Jul</t>
        </is>
      </c>
      <c r="G973" s="18">
        <f>IF(D973&lt;C973,D973+1-C973,D973-C973)*24</f>
        <v/>
      </c>
      <c r="H973" s="18">
        <f>MAX(0,G973-8)</f>
        <v/>
      </c>
    </row>
    <row r="974">
      <c r="A974" t="n">
        <v>1218</v>
      </c>
      <c r="B974" s="14" t="n">
        <v>46230</v>
      </c>
      <c r="C974" s="17" t="n">
        <v>0.2708333333333333</v>
      </c>
      <c r="D974" s="17" t="n">
        <v>0.6458333333333334</v>
      </c>
      <c r="E974" t="inlineStr">
        <is>
          <t>Day</t>
        </is>
      </c>
      <c r="F974" t="inlineStr">
        <is>
          <t>Jul</t>
        </is>
      </c>
      <c r="G974" s="18">
        <f>IF(D974&lt;C974,D974+1-C974,D974-C974)*24</f>
        <v/>
      </c>
      <c r="H974" s="18">
        <f>MAX(0,G974-8)</f>
        <v/>
      </c>
    </row>
    <row r="975">
      <c r="A975" t="n">
        <v>1101</v>
      </c>
      <c r="B975" s="14" t="n">
        <v>46231</v>
      </c>
      <c r="C975" s="17" t="n">
        <v>0.9270833333333334</v>
      </c>
      <c r="D975" s="17" t="n">
        <v>0.28125</v>
      </c>
      <c r="E975" t="inlineStr">
        <is>
          <t>Night</t>
        </is>
      </c>
      <c r="F975" t="inlineStr">
        <is>
          <t>Jul</t>
        </is>
      </c>
      <c r="G975" s="18">
        <f>IF(D975&lt;C975,D975+1-C975,D975-C975)*24</f>
        <v/>
      </c>
      <c r="H975" s="18">
        <f>MAX(0,G975-8)</f>
        <v/>
      </c>
    </row>
    <row r="976">
      <c r="A976" t="n">
        <v>1102</v>
      </c>
      <c r="B976" s="14" t="n">
        <v>46231</v>
      </c>
      <c r="C976" s="17" t="n">
        <v>0.9166666666666666</v>
      </c>
      <c r="D976" s="17" t="n">
        <v>0.3541666666666667</v>
      </c>
      <c r="E976" t="inlineStr">
        <is>
          <t>Night</t>
        </is>
      </c>
      <c r="F976" t="inlineStr">
        <is>
          <t>Jul</t>
        </is>
      </c>
      <c r="G976" s="18">
        <f>IF(D976&lt;C976,D976+1-C976,D976-C976)*24</f>
        <v/>
      </c>
      <c r="H976" s="18">
        <f>MAX(0,G976-8)</f>
        <v/>
      </c>
    </row>
    <row r="977">
      <c r="A977" t="n">
        <v>1103</v>
      </c>
      <c r="B977" s="14" t="n">
        <v>46231</v>
      </c>
      <c r="C977" s="17" t="n">
        <v>0.9166666666666666</v>
      </c>
      <c r="D977" s="17" t="n">
        <v>0.25</v>
      </c>
      <c r="E977" t="inlineStr">
        <is>
          <t>Night</t>
        </is>
      </c>
      <c r="F977" t="inlineStr">
        <is>
          <t>Jul</t>
        </is>
      </c>
      <c r="G977" s="18">
        <f>IF(D977&lt;C977,D977+1-C977,D977-C977)*24</f>
        <v/>
      </c>
      <c r="H977" s="18">
        <f>MAX(0,G977-8)</f>
        <v/>
      </c>
    </row>
    <row r="978">
      <c r="A978" t="n">
        <v>1104</v>
      </c>
      <c r="B978" s="14" t="n">
        <v>46231</v>
      </c>
      <c r="C978" s="17" t="n">
        <v>0.9270833333333334</v>
      </c>
      <c r="D978" s="17" t="n">
        <v>0.3854166666666667</v>
      </c>
      <c r="E978" t="inlineStr">
        <is>
          <t>Night</t>
        </is>
      </c>
      <c r="F978" t="inlineStr">
        <is>
          <t>Jul</t>
        </is>
      </c>
      <c r="G978" s="18">
        <f>IF(D978&lt;C978,D978+1-C978,D978-C978)*24</f>
        <v/>
      </c>
      <c r="H978" s="18">
        <f>MAX(0,G978-8)</f>
        <v/>
      </c>
    </row>
    <row r="979">
      <c r="A979" t="n">
        <v>1106</v>
      </c>
      <c r="B979" s="14" t="n">
        <v>46231</v>
      </c>
      <c r="C979" s="17" t="n">
        <v>0.9166666666666666</v>
      </c>
      <c r="D979" s="17" t="n">
        <v>0.2708333333333333</v>
      </c>
      <c r="E979" t="inlineStr">
        <is>
          <t>Night</t>
        </is>
      </c>
      <c r="F979" t="inlineStr">
        <is>
          <t>Jul</t>
        </is>
      </c>
      <c r="G979" s="18">
        <f>IF(D979&lt;C979,D979+1-C979,D979-C979)*24</f>
        <v/>
      </c>
      <c r="H979" s="18">
        <f>MAX(0,G979-8)</f>
        <v/>
      </c>
    </row>
    <row r="980">
      <c r="A980" t="n">
        <v>1107</v>
      </c>
      <c r="B980" s="14" t="n">
        <v>46231</v>
      </c>
      <c r="C980" s="17" t="n">
        <v>0.9166666666666666</v>
      </c>
      <c r="D980" s="17" t="n">
        <v>0.2916666666666667</v>
      </c>
      <c r="E980" t="inlineStr">
        <is>
          <t>Night</t>
        </is>
      </c>
      <c r="F980" t="inlineStr">
        <is>
          <t>Jul</t>
        </is>
      </c>
      <c r="G980" s="18">
        <f>IF(D980&lt;C980,D980+1-C980,D980-C980)*24</f>
        <v/>
      </c>
      <c r="H980" s="18">
        <f>MAX(0,G980-8)</f>
        <v/>
      </c>
    </row>
    <row r="981">
      <c r="A981" t="n">
        <v>1108</v>
      </c>
      <c r="B981" s="14" t="n">
        <v>46231</v>
      </c>
      <c r="C981" s="17" t="n">
        <v>0.9166666666666666</v>
      </c>
      <c r="D981" s="17" t="n">
        <v>0.3958333333333333</v>
      </c>
      <c r="E981" t="inlineStr">
        <is>
          <t>Night</t>
        </is>
      </c>
      <c r="F981" t="inlineStr">
        <is>
          <t>Jul</t>
        </is>
      </c>
      <c r="G981" s="18">
        <f>IF(D981&lt;C981,D981+1-C981,D981-C981)*24</f>
        <v/>
      </c>
      <c r="H981" s="18">
        <f>MAX(0,G981-8)</f>
        <v/>
      </c>
    </row>
    <row r="982">
      <c r="A982" t="n">
        <v>1111</v>
      </c>
      <c r="B982" s="14" t="n">
        <v>46231</v>
      </c>
      <c r="C982" s="17" t="n">
        <v>0.9270833333333334</v>
      </c>
      <c r="D982" s="17" t="n">
        <v>0.3020833333333333</v>
      </c>
      <c r="E982" t="inlineStr">
        <is>
          <t>Night</t>
        </is>
      </c>
      <c r="F982" t="inlineStr">
        <is>
          <t>Jul</t>
        </is>
      </c>
      <c r="G982" s="18">
        <f>IF(D982&lt;C982,D982+1-C982,D982-C982)*24</f>
        <v/>
      </c>
      <c r="H982" s="18">
        <f>MAX(0,G982-8)</f>
        <v/>
      </c>
    </row>
    <row r="983">
      <c r="A983" t="n">
        <v>1112</v>
      </c>
      <c r="B983" s="14" t="n">
        <v>46231</v>
      </c>
      <c r="C983" s="17" t="n">
        <v>0.9166666666666666</v>
      </c>
      <c r="D983" s="17" t="n">
        <v>0.2708333333333333</v>
      </c>
      <c r="E983" t="inlineStr">
        <is>
          <t>Night</t>
        </is>
      </c>
      <c r="F983" t="inlineStr">
        <is>
          <t>Jul</t>
        </is>
      </c>
      <c r="G983" s="18">
        <f>IF(D983&lt;C983,D983+1-C983,D983-C983)*24</f>
        <v/>
      </c>
      <c r="H983" s="18">
        <f>MAX(0,G983-8)</f>
        <v/>
      </c>
    </row>
    <row r="984">
      <c r="A984" t="n">
        <v>1113</v>
      </c>
      <c r="B984" s="14" t="n">
        <v>46231</v>
      </c>
      <c r="C984" s="17" t="n">
        <v>0.9375</v>
      </c>
      <c r="D984" s="17" t="n">
        <v>0.3333333333333333</v>
      </c>
      <c r="E984" t="inlineStr">
        <is>
          <t>Night</t>
        </is>
      </c>
      <c r="F984" t="inlineStr">
        <is>
          <t>Jul</t>
        </is>
      </c>
      <c r="G984" s="18">
        <f>IF(D984&lt;C984,D984+1-C984,D984-C984)*24</f>
        <v/>
      </c>
      <c r="H984" s="18">
        <f>MAX(0,G984-8)</f>
        <v/>
      </c>
    </row>
    <row r="985">
      <c r="A985" t="n">
        <v>1115</v>
      </c>
      <c r="B985" s="14" t="n">
        <v>46231</v>
      </c>
      <c r="C985" s="17" t="n">
        <v>0.9166666666666666</v>
      </c>
      <c r="D985" s="17" t="n">
        <v>0.375</v>
      </c>
      <c r="E985" t="inlineStr">
        <is>
          <t>Night</t>
        </is>
      </c>
      <c r="F985" t="inlineStr">
        <is>
          <t>Jul</t>
        </is>
      </c>
      <c r="G985" s="18">
        <f>IF(D985&lt;C985,D985+1-C985,D985-C985)*24</f>
        <v/>
      </c>
      <c r="H985" s="18">
        <f>MAX(0,G985-8)</f>
        <v/>
      </c>
    </row>
    <row r="986">
      <c r="A986" t="n">
        <v>1116</v>
      </c>
      <c r="B986" s="14" t="n">
        <v>46231</v>
      </c>
      <c r="C986" s="17" t="n">
        <v>0.9166666666666666</v>
      </c>
      <c r="D986" s="17" t="n">
        <v>0.3333333333333333</v>
      </c>
      <c r="E986" t="inlineStr">
        <is>
          <t>Night</t>
        </is>
      </c>
      <c r="F986" t="inlineStr">
        <is>
          <t>Jul</t>
        </is>
      </c>
      <c r="G986" s="18">
        <f>IF(D986&lt;C986,D986+1-C986,D986-C986)*24</f>
        <v/>
      </c>
      <c r="H986" s="18">
        <f>MAX(0,G986-8)</f>
        <v/>
      </c>
    </row>
    <row r="987">
      <c r="A987" t="n">
        <v>1118</v>
      </c>
      <c r="B987" s="14" t="n">
        <v>46231</v>
      </c>
      <c r="C987" s="17" t="n">
        <v>0.9166666666666666</v>
      </c>
      <c r="D987" s="17" t="n">
        <v>0.3958333333333333</v>
      </c>
      <c r="E987" t="inlineStr">
        <is>
          <t>Night</t>
        </is>
      </c>
      <c r="F987" t="inlineStr">
        <is>
          <t>Jul</t>
        </is>
      </c>
      <c r="G987" s="18">
        <f>IF(D987&lt;C987,D987+1-C987,D987-C987)*24</f>
        <v/>
      </c>
      <c r="H987" s="18">
        <f>MAX(0,G987-8)</f>
        <v/>
      </c>
    </row>
    <row r="988">
      <c r="A988" t="n">
        <v>1119</v>
      </c>
      <c r="B988" s="14" t="n">
        <v>46231</v>
      </c>
      <c r="C988" s="17" t="n">
        <v>0.9166666666666666</v>
      </c>
      <c r="D988" s="17" t="n">
        <v>0.2916666666666667</v>
      </c>
      <c r="E988" t="inlineStr">
        <is>
          <t>Night</t>
        </is>
      </c>
      <c r="F988" t="inlineStr">
        <is>
          <t>Jul</t>
        </is>
      </c>
      <c r="G988" s="18">
        <f>IF(D988&lt;C988,D988+1-C988,D988-C988)*24</f>
        <v/>
      </c>
      <c r="H988" s="18">
        <f>MAX(0,G988-8)</f>
        <v/>
      </c>
    </row>
    <row r="989">
      <c r="A989" t="n">
        <v>1120</v>
      </c>
      <c r="B989" s="14" t="n">
        <v>46231</v>
      </c>
      <c r="C989" s="17" t="n">
        <v>0.9166666666666666</v>
      </c>
      <c r="D989" s="17" t="n">
        <v>0.2708333333333333</v>
      </c>
      <c r="E989" t="inlineStr">
        <is>
          <t>Night</t>
        </is>
      </c>
      <c r="F989" t="inlineStr">
        <is>
          <t>Jul</t>
        </is>
      </c>
      <c r="G989" s="18">
        <f>IF(D989&lt;C989,D989+1-C989,D989-C989)*24</f>
        <v/>
      </c>
      <c r="H989" s="18">
        <f>MAX(0,G989-8)</f>
        <v/>
      </c>
    </row>
    <row r="990">
      <c r="A990" t="n">
        <v>1121</v>
      </c>
      <c r="B990" s="14" t="n">
        <v>46231</v>
      </c>
      <c r="C990" s="17" t="n">
        <v>0.9166666666666666</v>
      </c>
      <c r="D990" s="17" t="n">
        <v>0.25</v>
      </c>
      <c r="E990" t="inlineStr">
        <is>
          <t>Night</t>
        </is>
      </c>
      <c r="F990" t="inlineStr">
        <is>
          <t>Jul</t>
        </is>
      </c>
      <c r="G990" s="18">
        <f>IF(D990&lt;C990,D990+1-C990,D990-C990)*24</f>
        <v/>
      </c>
      <c r="H990" s="18">
        <f>MAX(0,G990-8)</f>
        <v/>
      </c>
    </row>
    <row r="991">
      <c r="A991" t="n">
        <v>1123</v>
      </c>
      <c r="B991" s="14" t="n">
        <v>46231</v>
      </c>
      <c r="C991" s="17" t="n">
        <v>0.9166666666666666</v>
      </c>
      <c r="D991" s="17" t="n">
        <v>0.3125</v>
      </c>
      <c r="E991" t="inlineStr">
        <is>
          <t>Night</t>
        </is>
      </c>
      <c r="F991" t="inlineStr">
        <is>
          <t>Jul</t>
        </is>
      </c>
      <c r="G991" s="18">
        <f>IF(D991&lt;C991,D991+1-C991,D991-C991)*24</f>
        <v/>
      </c>
      <c r="H991" s="18">
        <f>MAX(0,G991-8)</f>
        <v/>
      </c>
    </row>
    <row r="992">
      <c r="A992" t="n">
        <v>1124</v>
      </c>
      <c r="B992" s="14" t="n">
        <v>46231</v>
      </c>
      <c r="C992" s="17" t="n">
        <v>0.9166666666666666</v>
      </c>
      <c r="D992" s="17" t="n">
        <v>0.3958333333333333</v>
      </c>
      <c r="E992" t="inlineStr">
        <is>
          <t>Night</t>
        </is>
      </c>
      <c r="F992" t="inlineStr">
        <is>
          <t>Jul</t>
        </is>
      </c>
      <c r="G992" s="18">
        <f>IF(D992&lt;C992,D992+1-C992,D992-C992)*24</f>
        <v/>
      </c>
      <c r="H992" s="18">
        <f>MAX(0,G992-8)</f>
        <v/>
      </c>
    </row>
    <row r="993">
      <c r="A993" t="n">
        <v>1125</v>
      </c>
      <c r="B993" s="14" t="n">
        <v>46231</v>
      </c>
      <c r="C993" s="17" t="n">
        <v>0.9375</v>
      </c>
      <c r="D993" s="17" t="n">
        <v>0.3958333333333333</v>
      </c>
      <c r="E993" t="inlineStr">
        <is>
          <t>Night</t>
        </is>
      </c>
      <c r="F993" t="inlineStr">
        <is>
          <t>Jul</t>
        </is>
      </c>
      <c r="G993" s="18">
        <f>IF(D993&lt;C993,D993+1-C993,D993-C993)*24</f>
        <v/>
      </c>
      <c r="H993" s="18">
        <f>MAX(0,G993-8)</f>
        <v/>
      </c>
    </row>
    <row r="994">
      <c r="A994" t="n">
        <v>1126</v>
      </c>
      <c r="B994" s="14" t="n">
        <v>46231</v>
      </c>
      <c r="C994" s="17" t="n">
        <v>0.9166666666666666</v>
      </c>
      <c r="D994" s="17" t="n">
        <v>0.3125</v>
      </c>
      <c r="E994" t="inlineStr">
        <is>
          <t>Night</t>
        </is>
      </c>
      <c r="F994" t="inlineStr">
        <is>
          <t>Jul</t>
        </is>
      </c>
      <c r="G994" s="18">
        <f>IF(D994&lt;C994,D994+1-C994,D994-C994)*24</f>
        <v/>
      </c>
      <c r="H994" s="18">
        <f>MAX(0,G994-8)</f>
        <v/>
      </c>
    </row>
    <row r="995">
      <c r="A995" t="n">
        <v>1128</v>
      </c>
      <c r="B995" s="14" t="n">
        <v>46231</v>
      </c>
      <c r="C995" s="17" t="n">
        <v>0.9270833333333334</v>
      </c>
      <c r="D995" s="17" t="n">
        <v>0.3854166666666667</v>
      </c>
      <c r="E995" t="inlineStr">
        <is>
          <t>Night</t>
        </is>
      </c>
      <c r="F995" t="inlineStr">
        <is>
          <t>Jul</t>
        </is>
      </c>
      <c r="G995" s="18">
        <f>IF(D995&lt;C995,D995+1-C995,D995-C995)*24</f>
        <v/>
      </c>
      <c r="H995" s="18">
        <f>MAX(0,G995-8)</f>
        <v/>
      </c>
    </row>
    <row r="996">
      <c r="A996" t="n">
        <v>1129</v>
      </c>
      <c r="B996" s="14" t="n">
        <v>46231</v>
      </c>
      <c r="C996" s="17" t="n">
        <v>0.9166666666666666</v>
      </c>
      <c r="D996" s="17" t="n">
        <v>0.3333333333333333</v>
      </c>
      <c r="E996" t="inlineStr">
        <is>
          <t>Night</t>
        </is>
      </c>
      <c r="F996" t="inlineStr">
        <is>
          <t>Jul</t>
        </is>
      </c>
      <c r="G996" s="18">
        <f>IF(D996&lt;C996,D996+1-C996,D996-C996)*24</f>
        <v/>
      </c>
      <c r="H996" s="18">
        <f>MAX(0,G996-8)</f>
        <v/>
      </c>
    </row>
    <row r="997">
      <c r="A997" t="n">
        <v>1130</v>
      </c>
      <c r="B997" s="14" t="n">
        <v>46231</v>
      </c>
      <c r="C997" s="17" t="n">
        <v>0.9166666666666666</v>
      </c>
      <c r="D997" s="17" t="n">
        <v>0.3958333333333333</v>
      </c>
      <c r="E997" t="inlineStr">
        <is>
          <t>Night</t>
        </is>
      </c>
      <c r="F997" t="inlineStr">
        <is>
          <t>Jul</t>
        </is>
      </c>
      <c r="G997" s="18">
        <f>IF(D997&lt;C997,D997+1-C997,D997-C997)*24</f>
        <v/>
      </c>
      <c r="H997" s="18">
        <f>MAX(0,G997-8)</f>
        <v/>
      </c>
    </row>
    <row r="998">
      <c r="A998" t="n">
        <v>1131</v>
      </c>
      <c r="B998" s="14" t="n">
        <v>46231</v>
      </c>
      <c r="C998" s="17" t="n">
        <v>0.9166666666666666</v>
      </c>
      <c r="D998" s="17" t="n">
        <v>0.2708333333333333</v>
      </c>
      <c r="E998" t="inlineStr">
        <is>
          <t>Night</t>
        </is>
      </c>
      <c r="F998" t="inlineStr">
        <is>
          <t>Jul</t>
        </is>
      </c>
      <c r="G998" s="18">
        <f>IF(D998&lt;C998,D998+1-C998,D998-C998)*24</f>
        <v/>
      </c>
      <c r="H998" s="18">
        <f>MAX(0,G998-8)</f>
        <v/>
      </c>
    </row>
    <row r="999">
      <c r="A999" t="n">
        <v>1132</v>
      </c>
      <c r="B999" s="14" t="n">
        <v>46231</v>
      </c>
      <c r="C999" s="17" t="n">
        <v>0.9375</v>
      </c>
      <c r="D999" s="17" t="n">
        <v>0.2708333333333333</v>
      </c>
      <c r="E999" t="inlineStr">
        <is>
          <t>Night</t>
        </is>
      </c>
      <c r="F999" t="inlineStr">
        <is>
          <t>Jul</t>
        </is>
      </c>
      <c r="G999" s="18">
        <f>IF(D999&lt;C999,D999+1-C999,D999-C999)*24</f>
        <v/>
      </c>
      <c r="H999" s="18">
        <f>MAX(0,G999-8)</f>
        <v/>
      </c>
    </row>
    <row r="1000">
      <c r="A1000" t="n">
        <v>1133</v>
      </c>
      <c r="B1000" s="14" t="n">
        <v>46231</v>
      </c>
      <c r="C1000" s="17" t="n">
        <v>0.9166666666666666</v>
      </c>
      <c r="D1000" s="17" t="n">
        <v>0.3958333333333333</v>
      </c>
      <c r="E1000" t="inlineStr">
        <is>
          <t>Night</t>
        </is>
      </c>
      <c r="F1000" t="inlineStr">
        <is>
          <t>Jul</t>
        </is>
      </c>
      <c r="G1000" s="18">
        <f>IF(D1000&lt;C1000,D1000+1-C1000,D1000-C1000)*24</f>
        <v/>
      </c>
      <c r="H1000" s="18">
        <f>MAX(0,G1000-8)</f>
        <v/>
      </c>
    </row>
    <row r="1001">
      <c r="A1001" t="n">
        <v>1134</v>
      </c>
      <c r="B1001" s="14" t="n">
        <v>46231</v>
      </c>
      <c r="C1001" s="17" t="n">
        <v>0.9270833333333334</v>
      </c>
      <c r="D1001" s="17" t="n">
        <v>0.28125</v>
      </c>
      <c r="E1001" t="inlineStr">
        <is>
          <t>Night</t>
        </is>
      </c>
      <c r="F1001" t="inlineStr">
        <is>
          <t>Jul</t>
        </is>
      </c>
      <c r="G1001" s="18">
        <f>IF(D1001&lt;C1001,D1001+1-C1001,D1001-C1001)*24</f>
        <v/>
      </c>
      <c r="H1001" s="18">
        <f>MAX(0,G1001-8)</f>
        <v/>
      </c>
    </row>
    <row r="1002">
      <c r="A1002" t="n">
        <v>1135</v>
      </c>
      <c r="B1002" s="14" t="n">
        <v>46231</v>
      </c>
      <c r="C1002" s="17" t="n">
        <v>0.9375</v>
      </c>
      <c r="D1002" s="17" t="n">
        <v>0.3958333333333333</v>
      </c>
      <c r="E1002" t="inlineStr">
        <is>
          <t>Night</t>
        </is>
      </c>
      <c r="F1002" t="inlineStr">
        <is>
          <t>Jul</t>
        </is>
      </c>
      <c r="G1002" s="18">
        <f>IF(D1002&lt;C1002,D1002+1-C1002,D1002-C1002)*24</f>
        <v/>
      </c>
      <c r="H1002" s="18">
        <f>MAX(0,G1002-8)</f>
        <v/>
      </c>
    </row>
    <row r="1003">
      <c r="A1003" t="n">
        <v>1136</v>
      </c>
      <c r="B1003" s="14" t="n">
        <v>46231</v>
      </c>
      <c r="C1003" s="17" t="n">
        <v>0.9375</v>
      </c>
      <c r="D1003" s="17" t="n">
        <v>0.3958333333333333</v>
      </c>
      <c r="E1003" t="inlineStr">
        <is>
          <t>Night</t>
        </is>
      </c>
      <c r="F1003" t="inlineStr">
        <is>
          <t>Jul</t>
        </is>
      </c>
      <c r="G1003" s="18">
        <f>IF(D1003&lt;C1003,D1003+1-C1003,D1003-C1003)*24</f>
        <v/>
      </c>
      <c r="H1003" s="18">
        <f>MAX(0,G1003-8)</f>
        <v/>
      </c>
    </row>
    <row r="1004">
      <c r="A1004" t="n">
        <v>1137</v>
      </c>
      <c r="B1004" s="14" t="n">
        <v>46231</v>
      </c>
      <c r="C1004" s="17" t="n">
        <v>0.9166666666666666</v>
      </c>
      <c r="D1004" s="17" t="n">
        <v>0.3541666666666667</v>
      </c>
      <c r="E1004" t="inlineStr">
        <is>
          <t>Night</t>
        </is>
      </c>
      <c r="F1004" t="inlineStr">
        <is>
          <t>Jul</t>
        </is>
      </c>
      <c r="G1004" s="18">
        <f>IF(D1004&lt;C1004,D1004+1-C1004,D1004-C1004)*24</f>
        <v/>
      </c>
      <c r="H1004" s="18">
        <f>MAX(0,G1004-8)</f>
        <v/>
      </c>
    </row>
    <row r="1005">
      <c r="A1005" t="n">
        <v>1147</v>
      </c>
      <c r="B1005" s="14" t="n">
        <v>46231</v>
      </c>
      <c r="C1005" s="17" t="n">
        <v>0.9270833333333334</v>
      </c>
      <c r="D1005" s="17" t="n">
        <v>0.3645833333333333</v>
      </c>
      <c r="E1005" t="inlineStr">
        <is>
          <t>Night</t>
        </is>
      </c>
      <c r="F1005" t="inlineStr">
        <is>
          <t>Jul</t>
        </is>
      </c>
      <c r="G1005" s="18">
        <f>IF(D1005&lt;C1005,D1005+1-C1005,D1005-C1005)*24</f>
        <v/>
      </c>
      <c r="H1005" s="18">
        <f>MAX(0,G1005-8)</f>
        <v/>
      </c>
    </row>
    <row r="1006">
      <c r="A1006" t="n">
        <v>1110</v>
      </c>
      <c r="B1006" s="14" t="n">
        <v>46231</v>
      </c>
      <c r="C1006" s="17" t="n">
        <v>0.01041666666666667</v>
      </c>
      <c r="D1006" s="17" t="n">
        <v>0.40625</v>
      </c>
      <c r="E1006" t="inlineStr">
        <is>
          <t>Night</t>
        </is>
      </c>
      <c r="F1006" t="inlineStr">
        <is>
          <t>Jul</t>
        </is>
      </c>
      <c r="G1006" s="18">
        <f>IF(D1006&lt;C1006,D1006+1-C1006,D1006-C1006)*24</f>
        <v/>
      </c>
      <c r="H1006" s="18">
        <f>MAX(0,G1006-8)</f>
        <v/>
      </c>
    </row>
    <row r="1007">
      <c r="A1007" t="n">
        <v>1114</v>
      </c>
      <c r="B1007" s="14" t="n">
        <v>46231</v>
      </c>
      <c r="C1007" s="17" t="n">
        <v>0.02083333333333333</v>
      </c>
      <c r="D1007" s="17" t="n">
        <v>0.3541666666666667</v>
      </c>
      <c r="E1007" t="inlineStr">
        <is>
          <t>Night</t>
        </is>
      </c>
      <c r="F1007" t="inlineStr">
        <is>
          <t>Jul</t>
        </is>
      </c>
      <c r="G1007" s="18">
        <f>IF(D1007&lt;C1007,D1007+1-C1007,D1007-C1007)*24</f>
        <v/>
      </c>
      <c r="H1007" s="18">
        <f>MAX(0,G1007-8)</f>
        <v/>
      </c>
    </row>
    <row r="1008">
      <c r="A1008" t="n">
        <v>1117</v>
      </c>
      <c r="B1008" s="14" t="n">
        <v>46231</v>
      </c>
      <c r="C1008" s="17" t="n">
        <v>0.02083333333333333</v>
      </c>
      <c r="D1008" s="17" t="n">
        <v>0.375</v>
      </c>
      <c r="E1008" t="inlineStr">
        <is>
          <t>Night</t>
        </is>
      </c>
      <c r="F1008" t="inlineStr">
        <is>
          <t>Jul</t>
        </is>
      </c>
      <c r="G1008" s="18">
        <f>IF(D1008&lt;C1008,D1008+1-C1008,D1008-C1008)*24</f>
        <v/>
      </c>
      <c r="H1008" s="18">
        <f>MAX(0,G1008-8)</f>
        <v/>
      </c>
    </row>
    <row r="1009">
      <c r="A1009" t="n">
        <v>1122</v>
      </c>
      <c r="B1009" s="14" t="n">
        <v>46231</v>
      </c>
      <c r="C1009" s="17" t="n">
        <v>0.02083333333333333</v>
      </c>
      <c r="D1009" s="17" t="n">
        <v>0.4791666666666667</v>
      </c>
      <c r="E1009" t="inlineStr">
        <is>
          <t>Night</t>
        </is>
      </c>
      <c r="F1009" t="inlineStr">
        <is>
          <t>Jul</t>
        </is>
      </c>
      <c r="G1009" s="18">
        <f>IF(D1009&lt;C1009,D1009+1-C1009,D1009-C1009)*24</f>
        <v/>
      </c>
      <c r="H1009" s="18">
        <f>MAX(0,G1009-8)</f>
        <v/>
      </c>
    </row>
    <row r="1010">
      <c r="A1010" t="n">
        <v>1201</v>
      </c>
      <c r="B1010" s="14" t="n">
        <v>46231</v>
      </c>
      <c r="C1010" s="17" t="n">
        <v>0.2708333333333333</v>
      </c>
      <c r="D1010" s="17" t="n">
        <v>0.6875</v>
      </c>
      <c r="E1010" t="inlineStr">
        <is>
          <t>Day</t>
        </is>
      </c>
      <c r="F1010" t="inlineStr">
        <is>
          <t>Jul</t>
        </is>
      </c>
      <c r="G1010" s="18">
        <f>IF(D1010&lt;C1010,D1010+1-C1010,D1010-C1010)*24</f>
        <v/>
      </c>
      <c r="H1010" s="18">
        <f>MAX(0,G1010-8)</f>
        <v/>
      </c>
    </row>
    <row r="1011">
      <c r="A1011" t="n">
        <v>1202</v>
      </c>
      <c r="B1011" s="14" t="n">
        <v>46231</v>
      </c>
      <c r="C1011" s="17" t="n">
        <v>0.2708333333333333</v>
      </c>
      <c r="D1011" s="17" t="n">
        <v>0.6041666666666666</v>
      </c>
      <c r="E1011" t="inlineStr">
        <is>
          <t>Day</t>
        </is>
      </c>
      <c r="F1011" t="inlineStr">
        <is>
          <t>Jul</t>
        </is>
      </c>
      <c r="G1011" s="18">
        <f>IF(D1011&lt;C1011,D1011+1-C1011,D1011-C1011)*24</f>
        <v/>
      </c>
      <c r="H1011" s="18">
        <f>MAX(0,G1011-8)</f>
        <v/>
      </c>
    </row>
    <row r="1012">
      <c r="A1012" t="n">
        <v>1203</v>
      </c>
      <c r="B1012" s="14" t="n">
        <v>46231</v>
      </c>
      <c r="C1012" s="17" t="n">
        <v>0.25</v>
      </c>
      <c r="D1012" s="17" t="n">
        <v>0.6666666666666666</v>
      </c>
      <c r="E1012" t="inlineStr">
        <is>
          <t>Day</t>
        </is>
      </c>
      <c r="F1012" t="inlineStr">
        <is>
          <t>Jul</t>
        </is>
      </c>
      <c r="G1012" s="18">
        <f>IF(D1012&lt;C1012,D1012+1-C1012,D1012-C1012)*24</f>
        <v/>
      </c>
      <c r="H1012" s="18">
        <f>MAX(0,G1012-8)</f>
        <v/>
      </c>
    </row>
    <row r="1013">
      <c r="A1013" t="n">
        <v>1204</v>
      </c>
      <c r="B1013" s="14" t="n">
        <v>46231</v>
      </c>
      <c r="C1013" s="17" t="n">
        <v>0.25</v>
      </c>
      <c r="D1013" s="17" t="n">
        <v>0.6666666666666666</v>
      </c>
      <c r="E1013" t="inlineStr">
        <is>
          <t>Day</t>
        </is>
      </c>
      <c r="F1013" t="inlineStr">
        <is>
          <t>Jul</t>
        </is>
      </c>
      <c r="G1013" s="18">
        <f>IF(D1013&lt;C1013,D1013+1-C1013,D1013-C1013)*24</f>
        <v/>
      </c>
      <c r="H1013" s="18">
        <f>MAX(0,G1013-8)</f>
        <v/>
      </c>
    </row>
    <row r="1014">
      <c r="A1014" t="n">
        <v>1205</v>
      </c>
      <c r="B1014" s="14" t="n">
        <v>46231</v>
      </c>
      <c r="C1014" s="17" t="n">
        <v>0.2708333333333333</v>
      </c>
      <c r="D1014" s="17" t="n">
        <v>0.625</v>
      </c>
      <c r="E1014" t="inlineStr">
        <is>
          <t>Day</t>
        </is>
      </c>
      <c r="F1014" t="inlineStr">
        <is>
          <t>Jul</t>
        </is>
      </c>
      <c r="G1014" s="18">
        <f>IF(D1014&lt;C1014,D1014+1-C1014,D1014-C1014)*24</f>
        <v/>
      </c>
      <c r="H1014" s="18">
        <f>MAX(0,G1014-8)</f>
        <v/>
      </c>
    </row>
    <row r="1015">
      <c r="A1015" t="n">
        <v>1206</v>
      </c>
      <c r="B1015" s="14" t="n">
        <v>46231</v>
      </c>
      <c r="C1015" s="17" t="n">
        <v>0.25</v>
      </c>
      <c r="D1015" s="17" t="n">
        <v>0.6041666666666666</v>
      </c>
      <c r="E1015" t="inlineStr">
        <is>
          <t>Day</t>
        </is>
      </c>
      <c r="F1015" t="inlineStr">
        <is>
          <t>Jul</t>
        </is>
      </c>
      <c r="G1015" s="18">
        <f>IF(D1015&lt;C1015,D1015+1-C1015,D1015-C1015)*24</f>
        <v/>
      </c>
      <c r="H1015" s="18">
        <f>MAX(0,G1015-8)</f>
        <v/>
      </c>
    </row>
    <row r="1016">
      <c r="A1016" t="n">
        <v>1207</v>
      </c>
      <c r="B1016" s="14" t="n">
        <v>46231</v>
      </c>
      <c r="C1016" s="17" t="n">
        <v>0.2708333333333333</v>
      </c>
      <c r="D1016" s="17" t="n">
        <v>0.6458333333333334</v>
      </c>
      <c r="E1016" t="inlineStr">
        <is>
          <t>Day</t>
        </is>
      </c>
      <c r="F1016" t="inlineStr">
        <is>
          <t>Jul</t>
        </is>
      </c>
      <c r="G1016" s="18">
        <f>IF(D1016&lt;C1016,D1016+1-C1016,D1016-C1016)*24</f>
        <v/>
      </c>
      <c r="H1016" s="18">
        <f>MAX(0,G1016-8)</f>
        <v/>
      </c>
    </row>
    <row r="1017">
      <c r="A1017" t="n">
        <v>1208</v>
      </c>
      <c r="B1017" s="14" t="n">
        <v>46231</v>
      </c>
      <c r="C1017" s="17" t="n">
        <v>0.25</v>
      </c>
      <c r="D1017" s="17" t="n">
        <v>0.6041666666666666</v>
      </c>
      <c r="E1017" t="inlineStr">
        <is>
          <t>Day</t>
        </is>
      </c>
      <c r="F1017" t="inlineStr">
        <is>
          <t>Jul</t>
        </is>
      </c>
      <c r="G1017" s="18">
        <f>IF(D1017&lt;C1017,D1017+1-C1017,D1017-C1017)*24</f>
        <v/>
      </c>
      <c r="H1017" s="18">
        <f>MAX(0,G1017-8)</f>
        <v/>
      </c>
    </row>
    <row r="1018">
      <c r="A1018" t="n">
        <v>1209</v>
      </c>
      <c r="B1018" s="14" t="n">
        <v>46231</v>
      </c>
      <c r="C1018" s="17" t="n">
        <v>0.2708333333333333</v>
      </c>
      <c r="D1018" s="17" t="n">
        <v>0.625</v>
      </c>
      <c r="E1018" t="inlineStr">
        <is>
          <t>Day</t>
        </is>
      </c>
      <c r="F1018" t="inlineStr">
        <is>
          <t>Jul</t>
        </is>
      </c>
      <c r="G1018" s="18">
        <f>IF(D1018&lt;C1018,D1018+1-C1018,D1018-C1018)*24</f>
        <v/>
      </c>
      <c r="H1018" s="18">
        <f>MAX(0,G1018-8)</f>
        <v/>
      </c>
    </row>
    <row r="1019">
      <c r="A1019" t="n">
        <v>1210</v>
      </c>
      <c r="B1019" s="14" t="n">
        <v>46231</v>
      </c>
      <c r="C1019" s="17" t="n">
        <v>0.25</v>
      </c>
      <c r="D1019" s="17" t="n">
        <v>0.625</v>
      </c>
      <c r="E1019" t="inlineStr">
        <is>
          <t>Day</t>
        </is>
      </c>
      <c r="F1019" t="inlineStr">
        <is>
          <t>Jul</t>
        </is>
      </c>
      <c r="G1019" s="18">
        <f>IF(D1019&lt;C1019,D1019+1-C1019,D1019-C1019)*24</f>
        <v/>
      </c>
      <c r="H1019" s="18">
        <f>MAX(0,G1019-8)</f>
        <v/>
      </c>
    </row>
    <row r="1020">
      <c r="A1020" t="n">
        <v>1211</v>
      </c>
      <c r="B1020" s="14" t="n">
        <v>46231</v>
      </c>
      <c r="C1020" s="17" t="n">
        <v>0.2708333333333333</v>
      </c>
      <c r="D1020" s="17" t="n">
        <v>0.6041666666666666</v>
      </c>
      <c r="E1020" t="inlineStr">
        <is>
          <t>Day</t>
        </is>
      </c>
      <c r="F1020" t="inlineStr">
        <is>
          <t>Jul</t>
        </is>
      </c>
      <c r="G1020" s="18">
        <f>IF(D1020&lt;C1020,D1020+1-C1020,D1020-C1020)*24</f>
        <v/>
      </c>
      <c r="H1020" s="18">
        <f>MAX(0,G1020-8)</f>
        <v/>
      </c>
    </row>
    <row r="1021">
      <c r="A1021" t="n">
        <v>1212</v>
      </c>
      <c r="B1021" s="14" t="n">
        <v>46231</v>
      </c>
      <c r="C1021" s="17" t="n">
        <v>0.25</v>
      </c>
      <c r="D1021" s="17" t="n">
        <v>0.6041666666666666</v>
      </c>
      <c r="E1021" t="inlineStr">
        <is>
          <t>Day</t>
        </is>
      </c>
      <c r="F1021" t="inlineStr">
        <is>
          <t>Jul</t>
        </is>
      </c>
      <c r="G1021" s="18">
        <f>IF(D1021&lt;C1021,D1021+1-C1021,D1021-C1021)*24</f>
        <v/>
      </c>
      <c r="H1021" s="18">
        <f>MAX(0,G1021-8)</f>
        <v/>
      </c>
    </row>
    <row r="1022">
      <c r="A1022" t="n">
        <v>1213</v>
      </c>
      <c r="B1022" s="14" t="n">
        <v>46231</v>
      </c>
      <c r="C1022" s="17" t="n">
        <v>0.25</v>
      </c>
      <c r="D1022" s="17" t="n">
        <v>0.625</v>
      </c>
      <c r="E1022" t="inlineStr">
        <is>
          <t>Day</t>
        </is>
      </c>
      <c r="F1022" t="inlineStr">
        <is>
          <t>Jul</t>
        </is>
      </c>
      <c r="G1022" s="18">
        <f>IF(D1022&lt;C1022,D1022+1-C1022,D1022-C1022)*24</f>
        <v/>
      </c>
      <c r="H1022" s="18">
        <f>MAX(0,G1022-8)</f>
        <v/>
      </c>
    </row>
    <row r="1023">
      <c r="A1023" t="n">
        <v>1214</v>
      </c>
      <c r="B1023" s="14" t="n">
        <v>46231</v>
      </c>
      <c r="C1023" s="17" t="n">
        <v>0.25</v>
      </c>
      <c r="D1023" s="17" t="n">
        <v>0.5833333333333334</v>
      </c>
      <c r="E1023" t="inlineStr">
        <is>
          <t>Day</t>
        </is>
      </c>
      <c r="F1023" t="inlineStr">
        <is>
          <t>Jul</t>
        </is>
      </c>
      <c r="G1023" s="18">
        <f>IF(D1023&lt;C1023,D1023+1-C1023,D1023-C1023)*24</f>
        <v/>
      </c>
      <c r="H1023" s="18">
        <f>MAX(0,G1023-8)</f>
        <v/>
      </c>
    </row>
    <row r="1024">
      <c r="A1024" t="n">
        <v>1215</v>
      </c>
      <c r="B1024" s="14" t="n">
        <v>46231</v>
      </c>
      <c r="C1024" s="17" t="n">
        <v>0.25</v>
      </c>
      <c r="D1024" s="17" t="n">
        <v>0.6666666666666666</v>
      </c>
      <c r="E1024" t="inlineStr">
        <is>
          <t>Day</t>
        </is>
      </c>
      <c r="F1024" t="inlineStr">
        <is>
          <t>Jul</t>
        </is>
      </c>
      <c r="G1024" s="18">
        <f>IF(D1024&lt;C1024,D1024+1-C1024,D1024-C1024)*24</f>
        <v/>
      </c>
      <c r="H1024" s="18">
        <f>MAX(0,G1024-8)</f>
        <v/>
      </c>
    </row>
    <row r="1025">
      <c r="A1025" t="n">
        <v>1216</v>
      </c>
      <c r="B1025" s="14" t="n">
        <v>46231</v>
      </c>
      <c r="C1025" s="17" t="n">
        <v>0.25</v>
      </c>
      <c r="D1025" s="17" t="n">
        <v>0.625</v>
      </c>
      <c r="E1025" t="inlineStr">
        <is>
          <t>Day</t>
        </is>
      </c>
      <c r="F1025" t="inlineStr">
        <is>
          <t>Jul</t>
        </is>
      </c>
      <c r="G1025" s="18">
        <f>IF(D1025&lt;C1025,D1025+1-C1025,D1025-C1025)*24</f>
        <v/>
      </c>
      <c r="H1025" s="18">
        <f>MAX(0,G1025-8)</f>
        <v/>
      </c>
    </row>
    <row r="1026">
      <c r="A1026" t="n">
        <v>1217</v>
      </c>
      <c r="B1026" s="14" t="n">
        <v>46231</v>
      </c>
      <c r="C1026" s="17" t="n">
        <v>0.25</v>
      </c>
      <c r="D1026" s="17" t="n">
        <v>0.6666666666666666</v>
      </c>
      <c r="E1026" t="inlineStr">
        <is>
          <t>Day</t>
        </is>
      </c>
      <c r="F1026" t="inlineStr">
        <is>
          <t>Jul</t>
        </is>
      </c>
      <c r="G1026" s="18">
        <f>IF(D1026&lt;C1026,D1026+1-C1026,D1026-C1026)*24</f>
        <v/>
      </c>
      <c r="H1026" s="18">
        <f>MAX(0,G1026-8)</f>
        <v/>
      </c>
    </row>
    <row r="1027">
      <c r="A1027" t="n">
        <v>1218</v>
      </c>
      <c r="B1027" s="14" t="n">
        <v>46231</v>
      </c>
      <c r="C1027" s="17" t="n">
        <v>0.25</v>
      </c>
      <c r="D1027" s="17" t="n">
        <v>0.6666666666666666</v>
      </c>
      <c r="E1027" t="inlineStr">
        <is>
          <t>Day</t>
        </is>
      </c>
      <c r="F1027" t="inlineStr">
        <is>
          <t>Jul</t>
        </is>
      </c>
      <c r="G1027" s="18">
        <f>IF(D1027&lt;C1027,D1027+1-C1027,D1027-C1027)*24</f>
        <v/>
      </c>
      <c r="H1027" s="18">
        <f>MAX(0,G1027-8)</f>
        <v/>
      </c>
    </row>
    <row r="1028">
      <c r="A1028" t="n">
        <v>1219</v>
      </c>
      <c r="B1028" s="14" t="n">
        <v>46231</v>
      </c>
      <c r="C1028" s="17" t="n">
        <v>0.2708333333333333</v>
      </c>
      <c r="D1028" s="17" t="n">
        <v>0.6458333333333334</v>
      </c>
      <c r="E1028" t="inlineStr">
        <is>
          <t>Day</t>
        </is>
      </c>
      <c r="F1028" t="inlineStr">
        <is>
          <t>Jul</t>
        </is>
      </c>
      <c r="G1028" s="18">
        <f>IF(D1028&lt;C1028,D1028+1-C1028,D1028-C1028)*24</f>
        <v/>
      </c>
      <c r="H1028" s="18">
        <f>MAX(0,G1028-8)</f>
        <v/>
      </c>
    </row>
    <row r="1029">
      <c r="A1029" t="n">
        <v>1220</v>
      </c>
      <c r="B1029" s="14" t="n">
        <v>46231</v>
      </c>
      <c r="C1029" s="17" t="n">
        <v>0.25</v>
      </c>
      <c r="D1029" s="17" t="n">
        <v>0.6041666666666666</v>
      </c>
      <c r="E1029" t="inlineStr">
        <is>
          <t>Day</t>
        </is>
      </c>
      <c r="F1029" t="inlineStr">
        <is>
          <t>Jul</t>
        </is>
      </c>
      <c r="G1029" s="18">
        <f>IF(D1029&lt;C1029,D1029+1-C1029,D1029-C1029)*24</f>
        <v/>
      </c>
      <c r="H1029" s="18">
        <f>MAX(0,G1029-8)</f>
        <v/>
      </c>
    </row>
    <row r="1030">
      <c r="A1030" t="n">
        <v>1103</v>
      </c>
      <c r="B1030" s="14" t="n">
        <v>46232</v>
      </c>
      <c r="C1030" s="17" t="n">
        <v>0.9166666666666666</v>
      </c>
      <c r="D1030" s="17" t="n">
        <v>0.3333333333333333</v>
      </c>
      <c r="E1030" t="inlineStr">
        <is>
          <t>Night</t>
        </is>
      </c>
      <c r="F1030" t="inlineStr">
        <is>
          <t>Jul</t>
        </is>
      </c>
      <c r="G1030" s="18">
        <f>IF(D1030&lt;C1030,D1030+1-C1030,D1030-C1030)*24</f>
        <v/>
      </c>
      <c r="H1030" s="18">
        <f>MAX(0,G1030-8)</f>
        <v/>
      </c>
    </row>
    <row r="1031">
      <c r="A1031" t="n">
        <v>1104</v>
      </c>
      <c r="B1031" s="14" t="n">
        <v>46232</v>
      </c>
      <c r="C1031" s="17" t="n">
        <v>0.9375</v>
      </c>
      <c r="D1031" s="17" t="n">
        <v>0.4166666666666667</v>
      </c>
      <c r="E1031" t="inlineStr">
        <is>
          <t>Night</t>
        </is>
      </c>
      <c r="F1031" t="inlineStr">
        <is>
          <t>Jul</t>
        </is>
      </c>
      <c r="G1031" s="18">
        <f>IF(D1031&lt;C1031,D1031+1-C1031,D1031-C1031)*24</f>
        <v/>
      </c>
      <c r="H1031" s="18">
        <f>MAX(0,G1031-8)</f>
        <v/>
      </c>
    </row>
    <row r="1032">
      <c r="A1032" t="n">
        <v>1106</v>
      </c>
      <c r="B1032" s="14" t="n">
        <v>46232</v>
      </c>
      <c r="C1032" s="17" t="n">
        <v>0.9166666666666666</v>
      </c>
      <c r="D1032" s="17" t="n">
        <v>0.2708333333333333</v>
      </c>
      <c r="E1032" t="inlineStr">
        <is>
          <t>Night</t>
        </is>
      </c>
      <c r="F1032" t="inlineStr">
        <is>
          <t>Jul</t>
        </is>
      </c>
      <c r="G1032" s="18">
        <f>IF(D1032&lt;C1032,D1032+1-C1032,D1032-C1032)*24</f>
        <v/>
      </c>
      <c r="H1032" s="18">
        <f>MAX(0,G1032-8)</f>
        <v/>
      </c>
    </row>
    <row r="1033">
      <c r="A1033" t="n">
        <v>1109</v>
      </c>
      <c r="B1033" s="14" t="n">
        <v>46232</v>
      </c>
      <c r="C1033" s="17" t="n">
        <v>0.9375</v>
      </c>
      <c r="D1033" s="17" t="n">
        <v>0.375</v>
      </c>
      <c r="E1033" t="inlineStr">
        <is>
          <t>Night</t>
        </is>
      </c>
      <c r="F1033" t="inlineStr">
        <is>
          <t>Jul</t>
        </is>
      </c>
      <c r="G1033" s="18">
        <f>IF(D1033&lt;C1033,D1033+1-C1033,D1033-C1033)*24</f>
        <v/>
      </c>
      <c r="H1033" s="18">
        <f>MAX(0,G1033-8)</f>
        <v/>
      </c>
    </row>
    <row r="1034">
      <c r="A1034" t="n">
        <v>1110</v>
      </c>
      <c r="B1034" s="14" t="n">
        <v>46232</v>
      </c>
      <c r="C1034" s="17" t="n">
        <v>0.9375</v>
      </c>
      <c r="D1034" s="17" t="n">
        <v>0.2708333333333333</v>
      </c>
      <c r="E1034" t="inlineStr">
        <is>
          <t>Night</t>
        </is>
      </c>
      <c r="F1034" t="inlineStr">
        <is>
          <t>Jul</t>
        </is>
      </c>
      <c r="G1034" s="18">
        <f>IF(D1034&lt;C1034,D1034+1-C1034,D1034-C1034)*24</f>
        <v/>
      </c>
      <c r="H1034" s="18">
        <f>MAX(0,G1034-8)</f>
        <v/>
      </c>
    </row>
    <row r="1035">
      <c r="A1035" t="n">
        <v>1111</v>
      </c>
      <c r="B1035" s="14" t="n">
        <v>46232</v>
      </c>
      <c r="C1035" s="17" t="n">
        <v>0.9270833333333334</v>
      </c>
      <c r="D1035" s="17" t="n">
        <v>0.28125</v>
      </c>
      <c r="E1035" t="inlineStr">
        <is>
          <t>Night</t>
        </is>
      </c>
      <c r="F1035" t="inlineStr">
        <is>
          <t>Jul</t>
        </is>
      </c>
      <c r="G1035" s="18">
        <f>IF(D1035&lt;C1035,D1035+1-C1035,D1035-C1035)*24</f>
        <v/>
      </c>
      <c r="H1035" s="18">
        <f>MAX(0,G1035-8)</f>
        <v/>
      </c>
    </row>
    <row r="1036">
      <c r="A1036" t="n">
        <v>1113</v>
      </c>
      <c r="B1036" s="14" t="n">
        <v>46232</v>
      </c>
      <c r="C1036" s="17" t="n">
        <v>0.9166666666666666</v>
      </c>
      <c r="D1036" s="17" t="n">
        <v>0.2708333333333333</v>
      </c>
      <c r="E1036" t="inlineStr">
        <is>
          <t>Night</t>
        </is>
      </c>
      <c r="F1036" t="inlineStr">
        <is>
          <t>Jul</t>
        </is>
      </c>
      <c r="G1036" s="18">
        <f>IF(D1036&lt;C1036,D1036+1-C1036,D1036-C1036)*24</f>
        <v/>
      </c>
      <c r="H1036" s="18">
        <f>MAX(0,G1036-8)</f>
        <v/>
      </c>
    </row>
    <row r="1037">
      <c r="A1037" t="n">
        <v>1115</v>
      </c>
      <c r="B1037" s="14" t="n">
        <v>46232</v>
      </c>
      <c r="C1037" s="17" t="n">
        <v>0.9375</v>
      </c>
      <c r="D1037" s="17" t="n">
        <v>0.375</v>
      </c>
      <c r="E1037" t="inlineStr">
        <is>
          <t>Night</t>
        </is>
      </c>
      <c r="F1037" t="inlineStr">
        <is>
          <t>Jul</t>
        </is>
      </c>
      <c r="G1037" s="18">
        <f>IF(D1037&lt;C1037,D1037+1-C1037,D1037-C1037)*24</f>
        <v/>
      </c>
      <c r="H1037" s="18">
        <f>MAX(0,G1037-8)</f>
        <v/>
      </c>
    </row>
    <row r="1038">
      <c r="A1038" t="n">
        <v>1116</v>
      </c>
      <c r="B1038" s="14" t="n">
        <v>46232</v>
      </c>
      <c r="C1038" s="17" t="n">
        <v>0.9166666666666666</v>
      </c>
      <c r="D1038" s="17" t="n">
        <v>0.3541666666666667</v>
      </c>
      <c r="E1038" t="inlineStr">
        <is>
          <t>Night</t>
        </is>
      </c>
      <c r="F1038" t="inlineStr">
        <is>
          <t>Jul</t>
        </is>
      </c>
      <c r="G1038" s="18">
        <f>IF(D1038&lt;C1038,D1038+1-C1038,D1038-C1038)*24</f>
        <v/>
      </c>
      <c r="H1038" s="18">
        <f>MAX(0,G1038-8)</f>
        <v/>
      </c>
    </row>
    <row r="1039">
      <c r="A1039" t="n">
        <v>1118</v>
      </c>
      <c r="B1039" s="14" t="n">
        <v>46232</v>
      </c>
      <c r="C1039" s="17" t="n">
        <v>0.9375</v>
      </c>
      <c r="D1039" s="17" t="n">
        <v>0.375</v>
      </c>
      <c r="E1039" t="inlineStr">
        <is>
          <t>Night</t>
        </is>
      </c>
      <c r="F1039" t="inlineStr">
        <is>
          <t>Jul</t>
        </is>
      </c>
      <c r="G1039" s="18">
        <f>IF(D1039&lt;C1039,D1039+1-C1039,D1039-C1039)*24</f>
        <v/>
      </c>
      <c r="H1039" s="18">
        <f>MAX(0,G1039-8)</f>
        <v/>
      </c>
    </row>
    <row r="1040">
      <c r="A1040" t="n">
        <v>1119</v>
      </c>
      <c r="B1040" s="14" t="n">
        <v>46232</v>
      </c>
      <c r="C1040" s="17" t="n">
        <v>0.9166666666666666</v>
      </c>
      <c r="D1040" s="17" t="n">
        <v>0.3958333333333333</v>
      </c>
      <c r="E1040" t="inlineStr">
        <is>
          <t>Night</t>
        </is>
      </c>
      <c r="F1040" t="inlineStr">
        <is>
          <t>Jul</t>
        </is>
      </c>
      <c r="G1040" s="18">
        <f>IF(D1040&lt;C1040,D1040+1-C1040,D1040-C1040)*24</f>
        <v/>
      </c>
      <c r="H1040" s="18">
        <f>MAX(0,G1040-8)</f>
        <v/>
      </c>
    </row>
    <row r="1041">
      <c r="A1041" t="n">
        <v>1120</v>
      </c>
      <c r="B1041" s="14" t="n">
        <v>46232</v>
      </c>
      <c r="C1041" s="17" t="n">
        <v>0.9166666666666666</v>
      </c>
      <c r="D1041" s="17" t="n">
        <v>0.3958333333333333</v>
      </c>
      <c r="E1041" t="inlineStr">
        <is>
          <t>Night</t>
        </is>
      </c>
      <c r="F1041" t="inlineStr">
        <is>
          <t>Jul</t>
        </is>
      </c>
      <c r="G1041" s="18">
        <f>IF(D1041&lt;C1041,D1041+1-C1041,D1041-C1041)*24</f>
        <v/>
      </c>
      <c r="H1041" s="18">
        <f>MAX(0,G1041-8)</f>
        <v/>
      </c>
    </row>
    <row r="1042">
      <c r="A1042" t="n">
        <v>1122</v>
      </c>
      <c r="B1042" s="14" t="n">
        <v>46232</v>
      </c>
      <c r="C1042" s="17" t="n">
        <v>0.9166666666666666</v>
      </c>
      <c r="D1042" s="17" t="n">
        <v>0.375</v>
      </c>
      <c r="E1042" t="inlineStr">
        <is>
          <t>Night</t>
        </is>
      </c>
      <c r="F1042" t="inlineStr">
        <is>
          <t>Jul</t>
        </is>
      </c>
      <c r="G1042" s="18">
        <f>IF(D1042&lt;C1042,D1042+1-C1042,D1042-C1042)*24</f>
        <v/>
      </c>
      <c r="H1042" s="18">
        <f>MAX(0,G1042-8)</f>
        <v/>
      </c>
    </row>
    <row r="1043">
      <c r="A1043" t="n">
        <v>1123</v>
      </c>
      <c r="B1043" s="14" t="n">
        <v>46232</v>
      </c>
      <c r="C1043" s="17" t="n">
        <v>0.9375</v>
      </c>
      <c r="D1043" s="17" t="n">
        <v>0.375</v>
      </c>
      <c r="E1043" t="inlineStr">
        <is>
          <t>Night</t>
        </is>
      </c>
      <c r="F1043" t="inlineStr">
        <is>
          <t>Jul</t>
        </is>
      </c>
      <c r="G1043" s="18">
        <f>IF(D1043&lt;C1043,D1043+1-C1043,D1043-C1043)*24</f>
        <v/>
      </c>
      <c r="H1043" s="18">
        <f>MAX(0,G1043-8)</f>
        <v/>
      </c>
    </row>
    <row r="1044">
      <c r="A1044" t="n">
        <v>1125</v>
      </c>
      <c r="B1044" s="14" t="n">
        <v>46232</v>
      </c>
      <c r="C1044" s="17" t="n">
        <v>0.9375</v>
      </c>
      <c r="D1044" s="17" t="n">
        <v>0.2916666666666667</v>
      </c>
      <c r="E1044" t="inlineStr">
        <is>
          <t>Night</t>
        </is>
      </c>
      <c r="F1044" t="inlineStr">
        <is>
          <t>Jul</t>
        </is>
      </c>
      <c r="G1044" s="18">
        <f>IF(D1044&lt;C1044,D1044+1-C1044,D1044-C1044)*24</f>
        <v/>
      </c>
      <c r="H1044" s="18">
        <f>MAX(0,G1044-8)</f>
        <v/>
      </c>
    </row>
    <row r="1045">
      <c r="A1045" t="n">
        <v>1126</v>
      </c>
      <c r="B1045" s="14" t="n">
        <v>46232</v>
      </c>
      <c r="C1045" s="17" t="n">
        <v>0.9270833333333334</v>
      </c>
      <c r="D1045" s="17" t="n">
        <v>0.28125</v>
      </c>
      <c r="E1045" t="inlineStr">
        <is>
          <t>Night</t>
        </is>
      </c>
      <c r="F1045" t="inlineStr">
        <is>
          <t>Jul</t>
        </is>
      </c>
      <c r="G1045" s="18">
        <f>IF(D1045&lt;C1045,D1045+1-C1045,D1045-C1045)*24</f>
        <v/>
      </c>
      <c r="H1045" s="18">
        <f>MAX(0,G1045-8)</f>
        <v/>
      </c>
    </row>
    <row r="1046">
      <c r="A1046" t="n">
        <v>1128</v>
      </c>
      <c r="B1046" s="14" t="n">
        <v>46232</v>
      </c>
      <c r="C1046" s="17" t="n">
        <v>0.9166666666666666</v>
      </c>
      <c r="D1046" s="17" t="n">
        <v>0.3125</v>
      </c>
      <c r="E1046" t="inlineStr">
        <is>
          <t>Night</t>
        </is>
      </c>
      <c r="F1046" t="inlineStr">
        <is>
          <t>Jul</t>
        </is>
      </c>
      <c r="G1046" s="18">
        <f>IF(D1046&lt;C1046,D1046+1-C1046,D1046-C1046)*24</f>
        <v/>
      </c>
      <c r="H1046" s="18">
        <f>MAX(0,G1046-8)</f>
        <v/>
      </c>
    </row>
    <row r="1047">
      <c r="A1047" t="n">
        <v>1129</v>
      </c>
      <c r="B1047" s="14" t="n">
        <v>46232</v>
      </c>
      <c r="C1047" s="17" t="n">
        <v>0.9166666666666666</v>
      </c>
      <c r="D1047" s="17" t="n">
        <v>0.3125</v>
      </c>
      <c r="E1047" t="inlineStr">
        <is>
          <t>Night</t>
        </is>
      </c>
      <c r="F1047" t="inlineStr">
        <is>
          <t>Jul</t>
        </is>
      </c>
      <c r="G1047" s="18">
        <f>IF(D1047&lt;C1047,D1047+1-C1047,D1047-C1047)*24</f>
        <v/>
      </c>
      <c r="H1047" s="18">
        <f>MAX(0,G1047-8)</f>
        <v/>
      </c>
    </row>
    <row r="1048">
      <c r="A1048" t="n">
        <v>1131</v>
      </c>
      <c r="B1048" s="14" t="n">
        <v>46232</v>
      </c>
      <c r="C1048" s="17" t="n">
        <v>0.9166666666666666</v>
      </c>
      <c r="D1048" s="17" t="n">
        <v>0.3125</v>
      </c>
      <c r="E1048" t="inlineStr">
        <is>
          <t>Night</t>
        </is>
      </c>
      <c r="F1048" t="inlineStr">
        <is>
          <t>Jul</t>
        </is>
      </c>
      <c r="G1048" s="18">
        <f>IF(D1048&lt;C1048,D1048+1-C1048,D1048-C1048)*24</f>
        <v/>
      </c>
      <c r="H1048" s="18">
        <f>MAX(0,G1048-8)</f>
        <v/>
      </c>
    </row>
    <row r="1049">
      <c r="A1049" t="n">
        <v>1132</v>
      </c>
      <c r="B1049" s="14" t="n">
        <v>46232</v>
      </c>
      <c r="C1049" s="17" t="n">
        <v>0.9375</v>
      </c>
      <c r="D1049" s="17" t="n">
        <v>0.4166666666666667</v>
      </c>
      <c r="E1049" t="inlineStr">
        <is>
          <t>Night</t>
        </is>
      </c>
      <c r="F1049" t="inlineStr">
        <is>
          <t>Jul</t>
        </is>
      </c>
      <c r="G1049" s="18">
        <f>IF(D1049&lt;C1049,D1049+1-C1049,D1049-C1049)*24</f>
        <v/>
      </c>
      <c r="H1049" s="18">
        <f>MAX(0,G1049-8)</f>
        <v/>
      </c>
    </row>
    <row r="1050">
      <c r="A1050" t="n">
        <v>1133</v>
      </c>
      <c r="B1050" s="14" t="n">
        <v>46232</v>
      </c>
      <c r="C1050" s="17" t="n">
        <v>0.9166666666666666</v>
      </c>
      <c r="D1050" s="17" t="n">
        <v>0.2708333333333333</v>
      </c>
      <c r="E1050" t="inlineStr">
        <is>
          <t>Night</t>
        </is>
      </c>
      <c r="F1050" t="inlineStr">
        <is>
          <t>Jul</t>
        </is>
      </c>
      <c r="G1050" s="18">
        <f>IF(D1050&lt;C1050,D1050+1-C1050,D1050-C1050)*24</f>
        <v/>
      </c>
      <c r="H1050" s="18">
        <f>MAX(0,G1050-8)</f>
        <v/>
      </c>
    </row>
    <row r="1051">
      <c r="A1051" t="n">
        <v>1134</v>
      </c>
      <c r="B1051" s="14" t="n">
        <v>46232</v>
      </c>
      <c r="C1051" s="17" t="n">
        <v>0.9166666666666666</v>
      </c>
      <c r="D1051" s="17" t="n">
        <v>0.3333333333333333</v>
      </c>
      <c r="E1051" t="inlineStr">
        <is>
          <t>Night</t>
        </is>
      </c>
      <c r="F1051" t="inlineStr">
        <is>
          <t>Jul</t>
        </is>
      </c>
      <c r="G1051" s="18">
        <f>IF(D1051&lt;C1051,D1051+1-C1051,D1051-C1051)*24</f>
        <v/>
      </c>
      <c r="H1051" s="18">
        <f>MAX(0,G1051-8)</f>
        <v/>
      </c>
    </row>
    <row r="1052">
      <c r="A1052" t="n">
        <v>1135</v>
      </c>
      <c r="B1052" s="14" t="n">
        <v>46232</v>
      </c>
      <c r="C1052" s="17" t="n">
        <v>0.9166666666666666</v>
      </c>
      <c r="D1052" s="17" t="n">
        <v>0.25</v>
      </c>
      <c r="E1052" t="inlineStr">
        <is>
          <t>Night</t>
        </is>
      </c>
      <c r="F1052" t="inlineStr">
        <is>
          <t>Jul</t>
        </is>
      </c>
      <c r="G1052" s="18">
        <f>IF(D1052&lt;C1052,D1052+1-C1052,D1052-C1052)*24</f>
        <v/>
      </c>
      <c r="H1052" s="18">
        <f>MAX(0,G1052-8)</f>
        <v/>
      </c>
    </row>
    <row r="1053">
      <c r="A1053" t="n">
        <v>1136</v>
      </c>
      <c r="B1053" s="14" t="n">
        <v>46232</v>
      </c>
      <c r="C1053" s="17" t="n">
        <v>0.9166666666666666</v>
      </c>
      <c r="D1053" s="17" t="n">
        <v>0.2916666666666667</v>
      </c>
      <c r="E1053" t="inlineStr">
        <is>
          <t>Night</t>
        </is>
      </c>
      <c r="F1053" t="inlineStr">
        <is>
          <t>Jul</t>
        </is>
      </c>
      <c r="G1053" s="18">
        <f>IF(D1053&lt;C1053,D1053+1-C1053,D1053-C1053)*24</f>
        <v/>
      </c>
      <c r="H1053" s="18">
        <f>MAX(0,G1053-8)</f>
        <v/>
      </c>
    </row>
    <row r="1054">
      <c r="A1054" t="n">
        <v>1137</v>
      </c>
      <c r="B1054" s="14" t="n">
        <v>46232</v>
      </c>
      <c r="C1054" s="17" t="n">
        <v>0.9375</v>
      </c>
      <c r="D1054" s="17" t="n">
        <v>0.3333333333333333</v>
      </c>
      <c r="E1054" t="inlineStr">
        <is>
          <t>Night</t>
        </is>
      </c>
      <c r="F1054" t="inlineStr">
        <is>
          <t>Jul</t>
        </is>
      </c>
      <c r="G1054" s="18">
        <f>IF(D1054&lt;C1054,D1054+1-C1054,D1054-C1054)*24</f>
        <v/>
      </c>
      <c r="H1054" s="18">
        <f>MAX(0,G1054-8)</f>
        <v/>
      </c>
    </row>
    <row r="1055">
      <c r="A1055" t="n">
        <v>1147</v>
      </c>
      <c r="B1055" s="14" t="n">
        <v>46232</v>
      </c>
      <c r="C1055" s="17" t="n">
        <v>0.9166666666666666</v>
      </c>
      <c r="D1055" s="17" t="n">
        <v>0.375</v>
      </c>
      <c r="E1055" t="inlineStr">
        <is>
          <t>Night</t>
        </is>
      </c>
      <c r="F1055" t="inlineStr">
        <is>
          <t>Jul</t>
        </is>
      </c>
      <c r="G1055" s="18">
        <f>IF(D1055&lt;C1055,D1055+1-C1055,D1055-C1055)*24</f>
        <v/>
      </c>
      <c r="H1055" s="18">
        <f>MAX(0,G1055-8)</f>
        <v/>
      </c>
    </row>
    <row r="1056">
      <c r="A1056" t="n">
        <v>1108</v>
      </c>
      <c r="B1056" s="14" t="n">
        <v>46232</v>
      </c>
      <c r="C1056" s="17" t="n">
        <v>0.02083333333333333</v>
      </c>
      <c r="D1056" s="17" t="n">
        <v>0.3541666666666667</v>
      </c>
      <c r="E1056" t="inlineStr">
        <is>
          <t>Night</t>
        </is>
      </c>
      <c r="F1056" t="inlineStr">
        <is>
          <t>Jul</t>
        </is>
      </c>
      <c r="G1056" s="18">
        <f>IF(D1056&lt;C1056,D1056+1-C1056,D1056-C1056)*24</f>
        <v/>
      </c>
      <c r="H1056" s="18">
        <f>MAX(0,G1056-8)</f>
        <v/>
      </c>
    </row>
    <row r="1057">
      <c r="A1057" t="n">
        <v>1112</v>
      </c>
      <c r="B1057" s="14" t="n">
        <v>46232</v>
      </c>
      <c r="C1057" s="17" t="n">
        <v>0.01041666666666667</v>
      </c>
      <c r="D1057" s="17" t="n">
        <v>0.40625</v>
      </c>
      <c r="E1057" t="inlineStr">
        <is>
          <t>Night</t>
        </is>
      </c>
      <c r="F1057" t="inlineStr">
        <is>
          <t>Jul</t>
        </is>
      </c>
      <c r="G1057" s="18">
        <f>IF(D1057&lt;C1057,D1057+1-C1057,D1057-C1057)*24</f>
        <v/>
      </c>
      <c r="H1057" s="18">
        <f>MAX(0,G1057-8)</f>
        <v/>
      </c>
    </row>
    <row r="1058">
      <c r="A1058" t="n">
        <v>1114</v>
      </c>
      <c r="B1058" s="14" t="n">
        <v>46232</v>
      </c>
      <c r="C1058" s="17" t="n">
        <v>0.02083333333333333</v>
      </c>
      <c r="D1058" s="17" t="n">
        <v>0.4375</v>
      </c>
      <c r="E1058" t="inlineStr">
        <is>
          <t>Night</t>
        </is>
      </c>
      <c r="F1058" t="inlineStr">
        <is>
          <t>Jul</t>
        </is>
      </c>
      <c r="G1058" s="18">
        <f>IF(D1058&lt;C1058,D1058+1-C1058,D1058-C1058)*24</f>
        <v/>
      </c>
      <c r="H1058" s="18">
        <f>MAX(0,G1058-8)</f>
        <v/>
      </c>
    </row>
    <row r="1059">
      <c r="A1059" t="n">
        <v>1117</v>
      </c>
      <c r="B1059" s="14" t="n">
        <v>46232</v>
      </c>
      <c r="C1059" s="17" t="n">
        <v>0.02083333333333333</v>
      </c>
      <c r="D1059" s="17" t="n">
        <v>0.5</v>
      </c>
      <c r="E1059" t="inlineStr">
        <is>
          <t>Night</t>
        </is>
      </c>
      <c r="F1059" t="inlineStr">
        <is>
          <t>Jul</t>
        </is>
      </c>
      <c r="G1059" s="18">
        <f>IF(D1059&lt;C1059,D1059+1-C1059,D1059-C1059)*24</f>
        <v/>
      </c>
      <c r="H1059" s="18">
        <f>MAX(0,G1059-8)</f>
        <v/>
      </c>
    </row>
    <row r="1060">
      <c r="A1060" t="n">
        <v>1124</v>
      </c>
      <c r="B1060" s="14" t="n">
        <v>46232</v>
      </c>
      <c r="C1060" s="17" t="n">
        <v>0.02083333333333333</v>
      </c>
      <c r="D1060" s="17" t="n">
        <v>0.3541666666666667</v>
      </c>
      <c r="E1060" t="inlineStr">
        <is>
          <t>Night</t>
        </is>
      </c>
      <c r="F1060" t="inlineStr">
        <is>
          <t>Jul</t>
        </is>
      </c>
      <c r="G1060" s="18">
        <f>IF(D1060&lt;C1060,D1060+1-C1060,D1060-C1060)*24</f>
        <v/>
      </c>
      <c r="H1060" s="18">
        <f>MAX(0,G1060-8)</f>
        <v/>
      </c>
    </row>
    <row r="1061">
      <c r="A1061" t="n">
        <v>1201</v>
      </c>
      <c r="B1061" s="14" t="n">
        <v>46232</v>
      </c>
      <c r="C1061" s="17" t="n">
        <v>0.25</v>
      </c>
      <c r="D1061" s="17" t="n">
        <v>0.5833333333333334</v>
      </c>
      <c r="E1061" t="inlineStr">
        <is>
          <t>Day</t>
        </is>
      </c>
      <c r="F1061" t="inlineStr">
        <is>
          <t>Jul</t>
        </is>
      </c>
      <c r="G1061" s="18">
        <f>IF(D1061&lt;C1061,D1061+1-C1061,D1061-C1061)*24</f>
        <v/>
      </c>
      <c r="H1061" s="18">
        <f>MAX(0,G1061-8)</f>
        <v/>
      </c>
    </row>
    <row r="1062">
      <c r="A1062" t="n">
        <v>1202</v>
      </c>
      <c r="B1062" s="14" t="n">
        <v>46232</v>
      </c>
      <c r="C1062" s="17" t="n">
        <v>0.2708333333333333</v>
      </c>
      <c r="D1062" s="17" t="n">
        <v>0.6041666666666666</v>
      </c>
      <c r="E1062" t="inlineStr">
        <is>
          <t>Day</t>
        </is>
      </c>
      <c r="F1062" t="inlineStr">
        <is>
          <t>Jul</t>
        </is>
      </c>
      <c r="G1062" s="18">
        <f>IF(D1062&lt;C1062,D1062+1-C1062,D1062-C1062)*24</f>
        <v/>
      </c>
      <c r="H1062" s="18">
        <f>MAX(0,G1062-8)</f>
        <v/>
      </c>
    </row>
    <row r="1063">
      <c r="A1063" t="n">
        <v>1203</v>
      </c>
      <c r="B1063" s="14" t="n">
        <v>46232</v>
      </c>
      <c r="C1063" s="17" t="n">
        <v>0.2708333333333333</v>
      </c>
      <c r="D1063" s="17" t="n">
        <v>0.625</v>
      </c>
      <c r="E1063" t="inlineStr">
        <is>
          <t>Day</t>
        </is>
      </c>
      <c r="F1063" t="inlineStr">
        <is>
          <t>Jul</t>
        </is>
      </c>
      <c r="G1063" s="18">
        <f>IF(D1063&lt;C1063,D1063+1-C1063,D1063-C1063)*24</f>
        <v/>
      </c>
      <c r="H1063" s="18">
        <f>MAX(0,G1063-8)</f>
        <v/>
      </c>
    </row>
    <row r="1064">
      <c r="A1064" t="n">
        <v>1204</v>
      </c>
      <c r="B1064" s="14" t="n">
        <v>46232</v>
      </c>
      <c r="C1064" s="17" t="n">
        <v>0.25</v>
      </c>
      <c r="D1064" s="17" t="n">
        <v>0.6041666666666666</v>
      </c>
      <c r="E1064" t="inlineStr">
        <is>
          <t>Day</t>
        </is>
      </c>
      <c r="F1064" t="inlineStr">
        <is>
          <t>Jul</t>
        </is>
      </c>
      <c r="G1064" s="18">
        <f>IF(D1064&lt;C1064,D1064+1-C1064,D1064-C1064)*24</f>
        <v/>
      </c>
      <c r="H1064" s="18">
        <f>MAX(0,G1064-8)</f>
        <v/>
      </c>
    </row>
    <row r="1065">
      <c r="A1065" t="n">
        <v>1205</v>
      </c>
      <c r="B1065" s="14" t="n">
        <v>46232</v>
      </c>
      <c r="C1065" s="17" t="n">
        <v>0.25</v>
      </c>
      <c r="D1065" s="17" t="n">
        <v>0.6041666666666666</v>
      </c>
      <c r="E1065" t="inlineStr">
        <is>
          <t>Day</t>
        </is>
      </c>
      <c r="F1065" t="inlineStr">
        <is>
          <t>Jul</t>
        </is>
      </c>
      <c r="G1065" s="18">
        <f>IF(D1065&lt;C1065,D1065+1-C1065,D1065-C1065)*24</f>
        <v/>
      </c>
      <c r="H1065" s="18">
        <f>MAX(0,G1065-8)</f>
        <v/>
      </c>
    </row>
    <row r="1066">
      <c r="A1066" t="n">
        <v>1206</v>
      </c>
      <c r="B1066" s="14" t="n">
        <v>46232</v>
      </c>
      <c r="C1066" s="17" t="n">
        <v>0.2708333333333333</v>
      </c>
      <c r="D1066" s="17" t="n">
        <v>0.6875</v>
      </c>
      <c r="E1066" t="inlineStr">
        <is>
          <t>Day</t>
        </is>
      </c>
      <c r="F1066" t="inlineStr">
        <is>
          <t>Jul</t>
        </is>
      </c>
      <c r="G1066" s="18">
        <f>IF(D1066&lt;C1066,D1066+1-C1066,D1066-C1066)*24</f>
        <v/>
      </c>
      <c r="H1066" s="18">
        <f>MAX(0,G1066-8)</f>
        <v/>
      </c>
    </row>
    <row r="1067">
      <c r="A1067" t="n">
        <v>1207</v>
      </c>
      <c r="B1067" s="14" t="n">
        <v>46232</v>
      </c>
      <c r="C1067" s="17" t="n">
        <v>0.2708333333333333</v>
      </c>
      <c r="D1067" s="17" t="n">
        <v>0.625</v>
      </c>
      <c r="E1067" t="inlineStr">
        <is>
          <t>Day</t>
        </is>
      </c>
      <c r="F1067" t="inlineStr">
        <is>
          <t>Jul</t>
        </is>
      </c>
      <c r="G1067" s="18">
        <f>IF(D1067&lt;C1067,D1067+1-C1067,D1067-C1067)*24</f>
        <v/>
      </c>
      <c r="H1067" s="18">
        <f>MAX(0,G1067-8)</f>
        <v/>
      </c>
    </row>
    <row r="1068">
      <c r="A1068" t="n">
        <v>1208</v>
      </c>
      <c r="B1068" s="14" t="n">
        <v>46232</v>
      </c>
      <c r="C1068" s="17" t="n">
        <v>0.25</v>
      </c>
      <c r="D1068" s="17" t="n">
        <v>0.5833333333333334</v>
      </c>
      <c r="E1068" t="inlineStr">
        <is>
          <t>Day</t>
        </is>
      </c>
      <c r="F1068" t="inlineStr">
        <is>
          <t>Jul</t>
        </is>
      </c>
      <c r="G1068" s="18">
        <f>IF(D1068&lt;C1068,D1068+1-C1068,D1068-C1068)*24</f>
        <v/>
      </c>
      <c r="H1068" s="18">
        <f>MAX(0,G1068-8)</f>
        <v/>
      </c>
    </row>
    <row r="1069">
      <c r="A1069" t="n">
        <v>1209</v>
      </c>
      <c r="B1069" s="14" t="n">
        <v>46232</v>
      </c>
      <c r="C1069" s="17" t="n">
        <v>0.25</v>
      </c>
      <c r="D1069" s="17" t="n">
        <v>0.6666666666666666</v>
      </c>
      <c r="E1069" t="inlineStr">
        <is>
          <t>Day</t>
        </is>
      </c>
      <c r="F1069" t="inlineStr">
        <is>
          <t>Jul</t>
        </is>
      </c>
      <c r="G1069" s="18">
        <f>IF(D1069&lt;C1069,D1069+1-C1069,D1069-C1069)*24</f>
        <v/>
      </c>
      <c r="H1069" s="18">
        <f>MAX(0,G1069-8)</f>
        <v/>
      </c>
    </row>
    <row r="1070">
      <c r="A1070" t="n">
        <v>1210</v>
      </c>
      <c r="B1070" s="14" t="n">
        <v>46232</v>
      </c>
      <c r="C1070" s="17" t="n">
        <v>0.2708333333333333</v>
      </c>
      <c r="D1070" s="17" t="n">
        <v>0.6041666666666666</v>
      </c>
      <c r="E1070" t="inlineStr">
        <is>
          <t>Day</t>
        </is>
      </c>
      <c r="F1070" t="inlineStr">
        <is>
          <t>Jul</t>
        </is>
      </c>
      <c r="G1070" s="18">
        <f>IF(D1070&lt;C1070,D1070+1-C1070,D1070-C1070)*24</f>
        <v/>
      </c>
      <c r="H1070" s="18">
        <f>MAX(0,G1070-8)</f>
        <v/>
      </c>
    </row>
    <row r="1071">
      <c r="A1071" t="n">
        <v>1211</v>
      </c>
      <c r="B1071" s="14" t="n">
        <v>46232</v>
      </c>
      <c r="C1071" s="17" t="n">
        <v>0.2708333333333333</v>
      </c>
      <c r="D1071" s="17" t="n">
        <v>0.625</v>
      </c>
      <c r="E1071" t="inlineStr">
        <is>
          <t>Day</t>
        </is>
      </c>
      <c r="F1071" t="inlineStr">
        <is>
          <t>Jul</t>
        </is>
      </c>
      <c r="G1071" s="18">
        <f>IF(D1071&lt;C1071,D1071+1-C1071,D1071-C1071)*24</f>
        <v/>
      </c>
      <c r="H1071" s="18">
        <f>MAX(0,G1071-8)</f>
        <v/>
      </c>
    </row>
    <row r="1072">
      <c r="A1072" t="n">
        <v>1212</v>
      </c>
      <c r="B1072" s="14" t="n">
        <v>46232</v>
      </c>
      <c r="C1072" s="17" t="n">
        <v>0.25</v>
      </c>
      <c r="D1072" s="17" t="n">
        <v>0.6666666666666666</v>
      </c>
      <c r="E1072" t="inlineStr">
        <is>
          <t>Day</t>
        </is>
      </c>
      <c r="F1072" t="inlineStr">
        <is>
          <t>Jul</t>
        </is>
      </c>
      <c r="G1072" s="18">
        <f>IF(D1072&lt;C1072,D1072+1-C1072,D1072-C1072)*24</f>
        <v/>
      </c>
      <c r="H1072" s="18">
        <f>MAX(0,G1072-8)</f>
        <v/>
      </c>
    </row>
    <row r="1073">
      <c r="A1073" t="n">
        <v>1213</v>
      </c>
      <c r="B1073" s="14" t="n">
        <v>46232</v>
      </c>
      <c r="C1073" s="17" t="n">
        <v>0.2708333333333333</v>
      </c>
      <c r="D1073" s="17" t="n">
        <v>0.6041666666666666</v>
      </c>
      <c r="E1073" t="inlineStr">
        <is>
          <t>Day</t>
        </is>
      </c>
      <c r="F1073" t="inlineStr">
        <is>
          <t>Jul</t>
        </is>
      </c>
      <c r="G1073" s="18">
        <f>IF(D1073&lt;C1073,D1073+1-C1073,D1073-C1073)*24</f>
        <v/>
      </c>
      <c r="H1073" s="18">
        <f>MAX(0,G1073-8)</f>
        <v/>
      </c>
    </row>
    <row r="1074">
      <c r="A1074" t="n">
        <v>1214</v>
      </c>
      <c r="B1074" s="14" t="n">
        <v>46232</v>
      </c>
      <c r="C1074" s="17" t="n">
        <v>0.25</v>
      </c>
      <c r="D1074" s="17" t="n">
        <v>0.5833333333333334</v>
      </c>
      <c r="E1074" t="inlineStr">
        <is>
          <t>Day</t>
        </is>
      </c>
      <c r="F1074" t="inlineStr">
        <is>
          <t>Jul</t>
        </is>
      </c>
      <c r="G1074" s="18">
        <f>IF(D1074&lt;C1074,D1074+1-C1074,D1074-C1074)*24</f>
        <v/>
      </c>
      <c r="H1074" s="18">
        <f>MAX(0,G1074-8)</f>
        <v/>
      </c>
    </row>
    <row r="1075">
      <c r="A1075" t="n">
        <v>1215</v>
      </c>
      <c r="B1075" s="14" t="n">
        <v>46232</v>
      </c>
      <c r="C1075" s="17" t="n">
        <v>0.25</v>
      </c>
      <c r="D1075" s="17" t="n">
        <v>0.6041666666666666</v>
      </c>
      <c r="E1075" t="inlineStr">
        <is>
          <t>Day</t>
        </is>
      </c>
      <c r="F1075" t="inlineStr">
        <is>
          <t>Jul</t>
        </is>
      </c>
      <c r="G1075" s="18">
        <f>IF(D1075&lt;C1075,D1075+1-C1075,D1075-C1075)*24</f>
        <v/>
      </c>
      <c r="H1075" s="18">
        <f>MAX(0,G1075-8)</f>
        <v/>
      </c>
    </row>
    <row r="1076">
      <c r="A1076" t="n">
        <v>1216</v>
      </c>
      <c r="B1076" s="14" t="n">
        <v>46232</v>
      </c>
      <c r="C1076" s="17" t="n">
        <v>0.25</v>
      </c>
      <c r="D1076" s="17" t="n">
        <v>0.6041666666666666</v>
      </c>
      <c r="E1076" t="inlineStr">
        <is>
          <t>Day</t>
        </is>
      </c>
      <c r="F1076" t="inlineStr">
        <is>
          <t>Jul</t>
        </is>
      </c>
      <c r="G1076" s="18">
        <f>IF(D1076&lt;C1076,D1076+1-C1076,D1076-C1076)*24</f>
        <v/>
      </c>
      <c r="H1076" s="18">
        <f>MAX(0,G1076-8)</f>
        <v/>
      </c>
    </row>
    <row r="1077">
      <c r="A1077" t="n">
        <v>1217</v>
      </c>
      <c r="B1077" s="14" t="n">
        <v>46232</v>
      </c>
      <c r="C1077" s="17" t="n">
        <v>0.25</v>
      </c>
      <c r="D1077" s="17" t="n">
        <v>0.6666666666666666</v>
      </c>
      <c r="E1077" t="inlineStr">
        <is>
          <t>Day</t>
        </is>
      </c>
      <c r="F1077" t="inlineStr">
        <is>
          <t>Jul</t>
        </is>
      </c>
      <c r="G1077" s="18">
        <f>IF(D1077&lt;C1077,D1077+1-C1077,D1077-C1077)*24</f>
        <v/>
      </c>
      <c r="H1077" s="18">
        <f>MAX(0,G1077-8)</f>
        <v/>
      </c>
    </row>
    <row r="1078">
      <c r="A1078" t="n">
        <v>1218</v>
      </c>
      <c r="B1078" s="14" t="n">
        <v>46232</v>
      </c>
      <c r="C1078" s="17" t="n">
        <v>0.25</v>
      </c>
      <c r="D1078" s="17" t="n">
        <v>0.6666666666666666</v>
      </c>
      <c r="E1078" t="inlineStr">
        <is>
          <t>Day</t>
        </is>
      </c>
      <c r="F1078" t="inlineStr">
        <is>
          <t>Jul</t>
        </is>
      </c>
      <c r="G1078" s="18">
        <f>IF(D1078&lt;C1078,D1078+1-C1078,D1078-C1078)*24</f>
        <v/>
      </c>
      <c r="H1078" s="18">
        <f>MAX(0,G1078-8)</f>
        <v/>
      </c>
    </row>
    <row r="1079">
      <c r="A1079" t="n">
        <v>1219</v>
      </c>
      <c r="B1079" s="14" t="n">
        <v>46232</v>
      </c>
      <c r="C1079" s="17" t="n">
        <v>0.25</v>
      </c>
      <c r="D1079" s="17" t="n">
        <v>0.6041666666666666</v>
      </c>
      <c r="E1079" t="inlineStr">
        <is>
          <t>Day</t>
        </is>
      </c>
      <c r="F1079" t="inlineStr">
        <is>
          <t>Jul</t>
        </is>
      </c>
      <c r="G1079" s="18">
        <f>IF(D1079&lt;C1079,D1079+1-C1079,D1079-C1079)*24</f>
        <v/>
      </c>
      <c r="H1079" s="18">
        <f>MAX(0,G1079-8)</f>
        <v/>
      </c>
    </row>
    <row r="1080">
      <c r="A1080" t="n">
        <v>1220</v>
      </c>
      <c r="B1080" s="14" t="n">
        <v>46232</v>
      </c>
      <c r="C1080" s="17" t="n">
        <v>0.25</v>
      </c>
      <c r="D1080" s="17" t="n">
        <v>0.6041666666666666</v>
      </c>
      <c r="E1080" t="inlineStr">
        <is>
          <t>Day</t>
        </is>
      </c>
      <c r="F1080" t="inlineStr">
        <is>
          <t>Jul</t>
        </is>
      </c>
      <c r="G1080" s="18">
        <f>IF(D1080&lt;C1080,D1080+1-C1080,D1080-C1080)*24</f>
        <v/>
      </c>
      <c r="H1080" s="18">
        <f>MAX(0,G1080-8)</f>
        <v/>
      </c>
    </row>
    <row r="1081">
      <c r="A1081" t="n">
        <v>1101</v>
      </c>
      <c r="B1081" s="14" t="n">
        <v>46233</v>
      </c>
      <c r="C1081" s="17" t="n">
        <v>0.9375</v>
      </c>
      <c r="D1081" s="17" t="n">
        <v>0.2708333333333333</v>
      </c>
      <c r="E1081" t="inlineStr">
        <is>
          <t>Night</t>
        </is>
      </c>
      <c r="F1081" t="inlineStr">
        <is>
          <t>Jul</t>
        </is>
      </c>
      <c r="G1081" s="18">
        <f>IF(D1081&lt;C1081,D1081+1-C1081,D1081-C1081)*24</f>
        <v/>
      </c>
      <c r="H1081" s="18">
        <f>MAX(0,G1081-8)</f>
        <v/>
      </c>
    </row>
    <row r="1082">
      <c r="A1082" t="n">
        <v>1103</v>
      </c>
      <c r="B1082" s="14" t="n">
        <v>46233</v>
      </c>
      <c r="C1082" s="17" t="n">
        <v>0.9166666666666666</v>
      </c>
      <c r="D1082" s="17" t="n">
        <v>0.3125</v>
      </c>
      <c r="E1082" t="inlineStr">
        <is>
          <t>Night</t>
        </is>
      </c>
      <c r="F1082" t="inlineStr">
        <is>
          <t>Jul</t>
        </is>
      </c>
      <c r="G1082" s="18">
        <f>IF(D1082&lt;C1082,D1082+1-C1082,D1082-C1082)*24</f>
        <v/>
      </c>
      <c r="H1082" s="18">
        <f>MAX(0,G1082-8)</f>
        <v/>
      </c>
    </row>
    <row r="1083">
      <c r="A1083" t="n">
        <v>1104</v>
      </c>
      <c r="B1083" s="14" t="n">
        <v>46233</v>
      </c>
      <c r="C1083" s="17" t="n">
        <v>0.9270833333333334</v>
      </c>
      <c r="D1083" s="17" t="n">
        <v>0.28125</v>
      </c>
      <c r="E1083" t="inlineStr">
        <is>
          <t>Night</t>
        </is>
      </c>
      <c r="F1083" t="inlineStr">
        <is>
          <t>Jul</t>
        </is>
      </c>
      <c r="G1083" s="18">
        <f>IF(D1083&lt;C1083,D1083+1-C1083,D1083-C1083)*24</f>
        <v/>
      </c>
      <c r="H1083" s="18">
        <f>MAX(0,G1083-8)</f>
        <v/>
      </c>
    </row>
    <row r="1084">
      <c r="A1084" t="n">
        <v>1106</v>
      </c>
      <c r="B1084" s="14" t="n">
        <v>46233</v>
      </c>
      <c r="C1084" s="17" t="n">
        <v>0.9166666666666666</v>
      </c>
      <c r="D1084" s="17" t="n">
        <v>0.2708333333333333</v>
      </c>
      <c r="E1084" t="inlineStr">
        <is>
          <t>Night</t>
        </is>
      </c>
      <c r="F1084" t="inlineStr">
        <is>
          <t>Jul</t>
        </is>
      </c>
      <c r="G1084" s="18">
        <f>IF(D1084&lt;C1084,D1084+1-C1084,D1084-C1084)*24</f>
        <v/>
      </c>
      <c r="H1084" s="18">
        <f>MAX(0,G1084-8)</f>
        <v/>
      </c>
    </row>
    <row r="1085">
      <c r="A1085" t="n">
        <v>1108</v>
      </c>
      <c r="B1085" s="14" t="n">
        <v>46233</v>
      </c>
      <c r="C1085" s="17" t="n">
        <v>0.9166666666666666</v>
      </c>
      <c r="D1085" s="17" t="n">
        <v>0.2708333333333333</v>
      </c>
      <c r="E1085" t="inlineStr">
        <is>
          <t>Night</t>
        </is>
      </c>
      <c r="F1085" t="inlineStr">
        <is>
          <t>Jul</t>
        </is>
      </c>
      <c r="G1085" s="18">
        <f>IF(D1085&lt;C1085,D1085+1-C1085,D1085-C1085)*24</f>
        <v/>
      </c>
      <c r="H1085" s="18">
        <f>MAX(0,G1085-8)</f>
        <v/>
      </c>
    </row>
    <row r="1086">
      <c r="A1086" t="n">
        <v>1109</v>
      </c>
      <c r="B1086" s="14" t="n">
        <v>46233</v>
      </c>
      <c r="C1086" s="17" t="n">
        <v>0.9375</v>
      </c>
      <c r="D1086" s="17" t="n">
        <v>0.2916666666666667</v>
      </c>
      <c r="E1086" t="inlineStr">
        <is>
          <t>Night</t>
        </is>
      </c>
      <c r="F1086" t="inlineStr">
        <is>
          <t>Jul</t>
        </is>
      </c>
      <c r="G1086" s="18">
        <f>IF(D1086&lt;C1086,D1086+1-C1086,D1086-C1086)*24</f>
        <v/>
      </c>
      <c r="H1086" s="18">
        <f>MAX(0,G1086-8)</f>
        <v/>
      </c>
    </row>
    <row r="1087">
      <c r="A1087" t="n">
        <v>1110</v>
      </c>
      <c r="B1087" s="14" t="n">
        <v>46233</v>
      </c>
      <c r="C1087" s="17" t="n">
        <v>0.9270833333333334</v>
      </c>
      <c r="D1087" s="17" t="n">
        <v>0.3854166666666667</v>
      </c>
      <c r="E1087" t="inlineStr">
        <is>
          <t>Night</t>
        </is>
      </c>
      <c r="F1087" t="inlineStr">
        <is>
          <t>Jul</t>
        </is>
      </c>
      <c r="G1087" s="18">
        <f>IF(D1087&lt;C1087,D1087+1-C1087,D1087-C1087)*24</f>
        <v/>
      </c>
      <c r="H1087" s="18">
        <f>MAX(0,G1087-8)</f>
        <v/>
      </c>
    </row>
    <row r="1088">
      <c r="A1088" t="n">
        <v>1111</v>
      </c>
      <c r="B1088" s="14" t="n">
        <v>46233</v>
      </c>
      <c r="C1088" s="17" t="n">
        <v>0.9166666666666666</v>
      </c>
      <c r="D1088" s="17" t="n">
        <v>0.3958333333333333</v>
      </c>
      <c r="E1088" t="inlineStr">
        <is>
          <t>Night</t>
        </is>
      </c>
      <c r="F1088" t="inlineStr">
        <is>
          <t>Jul</t>
        </is>
      </c>
      <c r="G1088" s="18">
        <f>IF(D1088&lt;C1088,D1088+1-C1088,D1088-C1088)*24</f>
        <v/>
      </c>
      <c r="H1088" s="18">
        <f>MAX(0,G1088-8)</f>
        <v/>
      </c>
    </row>
    <row r="1089">
      <c r="A1089" t="n">
        <v>1112</v>
      </c>
      <c r="B1089" s="14" t="n">
        <v>46233</v>
      </c>
      <c r="C1089" s="17" t="n">
        <v>0.9166666666666666</v>
      </c>
      <c r="D1089" s="17" t="n">
        <v>0.2708333333333333</v>
      </c>
      <c r="E1089" t="inlineStr">
        <is>
          <t>Night</t>
        </is>
      </c>
      <c r="F1089" t="inlineStr">
        <is>
          <t>Jul</t>
        </is>
      </c>
      <c r="G1089" s="18">
        <f>IF(D1089&lt;C1089,D1089+1-C1089,D1089-C1089)*24</f>
        <v/>
      </c>
      <c r="H1089" s="18">
        <f>MAX(0,G1089-8)</f>
        <v/>
      </c>
    </row>
    <row r="1090">
      <c r="A1090" t="n">
        <v>1113</v>
      </c>
      <c r="B1090" s="14" t="n">
        <v>46233</v>
      </c>
      <c r="C1090" s="17" t="n">
        <v>0.9166666666666666</v>
      </c>
      <c r="D1090" s="17" t="n">
        <v>0.25</v>
      </c>
      <c r="E1090" t="inlineStr">
        <is>
          <t>Night</t>
        </is>
      </c>
      <c r="F1090" t="inlineStr">
        <is>
          <t>Jul</t>
        </is>
      </c>
      <c r="G1090" s="18">
        <f>IF(D1090&lt;C1090,D1090+1-C1090,D1090-C1090)*24</f>
        <v/>
      </c>
      <c r="H1090" s="18">
        <f>MAX(0,G1090-8)</f>
        <v/>
      </c>
    </row>
    <row r="1091">
      <c r="A1091" t="n">
        <v>1114</v>
      </c>
      <c r="B1091" s="14" t="n">
        <v>46233</v>
      </c>
      <c r="C1091" s="17" t="n">
        <v>0.9166666666666666</v>
      </c>
      <c r="D1091" s="17" t="n">
        <v>0.3125</v>
      </c>
      <c r="E1091" t="inlineStr">
        <is>
          <t>Night</t>
        </is>
      </c>
      <c r="F1091" t="inlineStr">
        <is>
          <t>Jul</t>
        </is>
      </c>
      <c r="G1091" s="18">
        <f>IF(D1091&lt;C1091,D1091+1-C1091,D1091-C1091)*24</f>
        <v/>
      </c>
      <c r="H1091" s="18">
        <f>MAX(0,G1091-8)</f>
        <v/>
      </c>
    </row>
    <row r="1092">
      <c r="A1092" t="n">
        <v>1115</v>
      </c>
      <c r="B1092" s="14" t="n">
        <v>46233</v>
      </c>
      <c r="C1092" s="17" t="n">
        <v>0.9166666666666666</v>
      </c>
      <c r="D1092" s="17" t="n">
        <v>0.3958333333333333</v>
      </c>
      <c r="E1092" t="inlineStr">
        <is>
          <t>Night</t>
        </is>
      </c>
      <c r="F1092" t="inlineStr">
        <is>
          <t>Jul</t>
        </is>
      </c>
      <c r="G1092" s="18">
        <f>IF(D1092&lt;C1092,D1092+1-C1092,D1092-C1092)*24</f>
        <v/>
      </c>
      <c r="H1092" s="18">
        <f>MAX(0,G1092-8)</f>
        <v/>
      </c>
    </row>
    <row r="1093">
      <c r="A1093" t="n">
        <v>1116</v>
      </c>
      <c r="B1093" s="14" t="n">
        <v>46233</v>
      </c>
      <c r="C1093" s="17" t="n">
        <v>0.9166666666666666</v>
      </c>
      <c r="D1093" s="17" t="n">
        <v>0.375</v>
      </c>
      <c r="E1093" t="inlineStr">
        <is>
          <t>Night</t>
        </is>
      </c>
      <c r="F1093" t="inlineStr">
        <is>
          <t>Jul</t>
        </is>
      </c>
      <c r="G1093" s="18">
        <f>IF(D1093&lt;C1093,D1093+1-C1093,D1093-C1093)*24</f>
        <v/>
      </c>
      <c r="H1093" s="18">
        <f>MAX(0,G1093-8)</f>
        <v/>
      </c>
    </row>
    <row r="1094">
      <c r="A1094" t="n">
        <v>1117</v>
      </c>
      <c r="B1094" s="14" t="n">
        <v>46233</v>
      </c>
      <c r="C1094" s="17" t="n">
        <v>0.9270833333333334</v>
      </c>
      <c r="D1094" s="17" t="n">
        <v>0.3020833333333333</v>
      </c>
      <c r="E1094" t="inlineStr">
        <is>
          <t>Night</t>
        </is>
      </c>
      <c r="F1094" t="inlineStr">
        <is>
          <t>Jul</t>
        </is>
      </c>
      <c r="G1094" s="18">
        <f>IF(D1094&lt;C1094,D1094+1-C1094,D1094-C1094)*24</f>
        <v/>
      </c>
      <c r="H1094" s="18">
        <f>MAX(0,G1094-8)</f>
        <v/>
      </c>
    </row>
    <row r="1095">
      <c r="A1095" t="n">
        <v>1118</v>
      </c>
      <c r="B1095" s="14" t="n">
        <v>46233</v>
      </c>
      <c r="C1095" s="17" t="n">
        <v>0.9166666666666666</v>
      </c>
      <c r="D1095" s="17" t="n">
        <v>0.2916666666666667</v>
      </c>
      <c r="E1095" t="inlineStr">
        <is>
          <t>Night</t>
        </is>
      </c>
      <c r="F1095" t="inlineStr">
        <is>
          <t>Jul</t>
        </is>
      </c>
      <c r="G1095" s="18">
        <f>IF(D1095&lt;C1095,D1095+1-C1095,D1095-C1095)*24</f>
        <v/>
      </c>
      <c r="H1095" s="18">
        <f>MAX(0,G1095-8)</f>
        <v/>
      </c>
    </row>
    <row r="1096">
      <c r="A1096" t="n">
        <v>1119</v>
      </c>
      <c r="B1096" s="14" t="n">
        <v>46233</v>
      </c>
      <c r="C1096" s="17" t="n">
        <v>0.9166666666666666</v>
      </c>
      <c r="D1096" s="17" t="n">
        <v>0.3541666666666667</v>
      </c>
      <c r="E1096" t="inlineStr">
        <is>
          <t>Night</t>
        </is>
      </c>
      <c r="F1096" t="inlineStr">
        <is>
          <t>Jul</t>
        </is>
      </c>
      <c r="G1096" s="18">
        <f>IF(D1096&lt;C1096,D1096+1-C1096,D1096-C1096)*24</f>
        <v/>
      </c>
      <c r="H1096" s="18">
        <f>MAX(0,G1096-8)</f>
        <v/>
      </c>
    </row>
    <row r="1097">
      <c r="A1097" t="n">
        <v>1120</v>
      </c>
      <c r="B1097" s="14" t="n">
        <v>46233</v>
      </c>
      <c r="C1097" s="17" t="n">
        <v>0.9166666666666666</v>
      </c>
      <c r="D1097" s="17" t="n">
        <v>0.25</v>
      </c>
      <c r="E1097" t="inlineStr">
        <is>
          <t>Night</t>
        </is>
      </c>
      <c r="F1097" t="inlineStr">
        <is>
          <t>Jul</t>
        </is>
      </c>
      <c r="G1097" s="18">
        <f>IF(D1097&lt;C1097,D1097+1-C1097,D1097-C1097)*24</f>
        <v/>
      </c>
      <c r="H1097" s="18">
        <f>MAX(0,G1097-8)</f>
        <v/>
      </c>
    </row>
    <row r="1098">
      <c r="A1098" t="n">
        <v>1121</v>
      </c>
      <c r="B1098" s="14" t="n">
        <v>46233</v>
      </c>
      <c r="C1098" s="17" t="n">
        <v>0.9270833333333334</v>
      </c>
      <c r="D1098" s="17" t="n">
        <v>0.2604166666666667</v>
      </c>
      <c r="E1098" t="inlineStr">
        <is>
          <t>Night</t>
        </is>
      </c>
      <c r="F1098" t="inlineStr">
        <is>
          <t>Jul</t>
        </is>
      </c>
      <c r="G1098" s="18">
        <f>IF(D1098&lt;C1098,D1098+1-C1098,D1098-C1098)*24</f>
        <v/>
      </c>
      <c r="H1098" s="18">
        <f>MAX(0,G1098-8)</f>
        <v/>
      </c>
    </row>
    <row r="1099">
      <c r="A1099" t="n">
        <v>1122</v>
      </c>
      <c r="B1099" s="14" t="n">
        <v>46233</v>
      </c>
      <c r="C1099" s="17" t="n">
        <v>0.9166666666666666</v>
      </c>
      <c r="D1099" s="17" t="n">
        <v>0.2708333333333333</v>
      </c>
      <c r="E1099" t="inlineStr">
        <is>
          <t>Night</t>
        </is>
      </c>
      <c r="F1099" t="inlineStr">
        <is>
          <t>Jul</t>
        </is>
      </c>
      <c r="G1099" s="18">
        <f>IF(D1099&lt;C1099,D1099+1-C1099,D1099-C1099)*24</f>
        <v/>
      </c>
      <c r="H1099" s="18">
        <f>MAX(0,G1099-8)</f>
        <v/>
      </c>
    </row>
    <row r="1100">
      <c r="A1100" t="n">
        <v>1123</v>
      </c>
      <c r="B1100" s="14" t="n">
        <v>46233</v>
      </c>
      <c r="C1100" s="17" t="n">
        <v>0.9166666666666666</v>
      </c>
      <c r="D1100" s="17" t="n">
        <v>0.25</v>
      </c>
      <c r="E1100" t="inlineStr">
        <is>
          <t>Night</t>
        </is>
      </c>
      <c r="F1100" t="inlineStr">
        <is>
          <t>Jul</t>
        </is>
      </c>
      <c r="G1100" s="18">
        <f>IF(D1100&lt;C1100,D1100+1-C1100,D1100-C1100)*24</f>
        <v/>
      </c>
      <c r="H1100" s="18">
        <f>MAX(0,G1100-8)</f>
        <v/>
      </c>
    </row>
    <row r="1101">
      <c r="A1101" t="n">
        <v>1124</v>
      </c>
      <c r="B1101" s="14" t="n">
        <v>46233</v>
      </c>
      <c r="C1101" s="17" t="n">
        <v>0.9166666666666666</v>
      </c>
      <c r="D1101" s="17" t="n">
        <v>0.25</v>
      </c>
      <c r="E1101" t="inlineStr">
        <is>
          <t>Night</t>
        </is>
      </c>
      <c r="F1101" t="inlineStr">
        <is>
          <t>Jul</t>
        </is>
      </c>
      <c r="G1101" s="18">
        <f>IF(D1101&lt;C1101,D1101+1-C1101,D1101-C1101)*24</f>
        <v/>
      </c>
      <c r="H1101" s="18">
        <f>MAX(0,G1101-8)</f>
        <v/>
      </c>
    </row>
    <row r="1102">
      <c r="A1102" t="n">
        <v>1125</v>
      </c>
      <c r="B1102" s="14" t="n">
        <v>46233</v>
      </c>
      <c r="C1102" s="17" t="n">
        <v>0.9166666666666666</v>
      </c>
      <c r="D1102" s="17" t="n">
        <v>0.375</v>
      </c>
      <c r="E1102" t="inlineStr">
        <is>
          <t>Night</t>
        </is>
      </c>
      <c r="F1102" t="inlineStr">
        <is>
          <t>Jul</t>
        </is>
      </c>
      <c r="G1102" s="18">
        <f>IF(D1102&lt;C1102,D1102+1-C1102,D1102-C1102)*24</f>
        <v/>
      </c>
      <c r="H1102" s="18">
        <f>MAX(0,G1102-8)</f>
        <v/>
      </c>
    </row>
    <row r="1103">
      <c r="A1103" t="n">
        <v>1128</v>
      </c>
      <c r="B1103" s="14" t="n">
        <v>46233</v>
      </c>
      <c r="C1103" s="17" t="n">
        <v>0.9166666666666666</v>
      </c>
      <c r="D1103" s="17" t="n">
        <v>0.2708333333333333</v>
      </c>
      <c r="E1103" t="inlineStr">
        <is>
          <t>Night</t>
        </is>
      </c>
      <c r="F1103" t="inlineStr">
        <is>
          <t>Jul</t>
        </is>
      </c>
      <c r="G1103" s="18">
        <f>IF(D1103&lt;C1103,D1103+1-C1103,D1103-C1103)*24</f>
        <v/>
      </c>
      <c r="H1103" s="18">
        <f>MAX(0,G1103-8)</f>
        <v/>
      </c>
    </row>
    <row r="1104">
      <c r="A1104" t="n">
        <v>1130</v>
      </c>
      <c r="B1104" s="14" t="n">
        <v>46233</v>
      </c>
      <c r="C1104" s="17" t="n">
        <v>0.9166666666666666</v>
      </c>
      <c r="D1104" s="17" t="n">
        <v>0.2916666666666667</v>
      </c>
      <c r="E1104" t="inlineStr">
        <is>
          <t>Night</t>
        </is>
      </c>
      <c r="F1104" t="inlineStr">
        <is>
          <t>Jul</t>
        </is>
      </c>
      <c r="G1104" s="18">
        <f>IF(D1104&lt;C1104,D1104+1-C1104,D1104-C1104)*24</f>
        <v/>
      </c>
      <c r="H1104" s="18">
        <f>MAX(0,G1104-8)</f>
        <v/>
      </c>
    </row>
    <row r="1105">
      <c r="A1105" t="n">
        <v>1131</v>
      </c>
      <c r="B1105" s="14" t="n">
        <v>46233</v>
      </c>
      <c r="C1105" s="17" t="n">
        <v>0.9166666666666666</v>
      </c>
      <c r="D1105" s="17" t="n">
        <v>0.25</v>
      </c>
      <c r="E1105" t="inlineStr">
        <is>
          <t>Night</t>
        </is>
      </c>
      <c r="F1105" t="inlineStr">
        <is>
          <t>Jul</t>
        </is>
      </c>
      <c r="G1105" s="18">
        <f>IF(D1105&lt;C1105,D1105+1-C1105,D1105-C1105)*24</f>
        <v/>
      </c>
      <c r="H1105" s="18">
        <f>MAX(0,G1105-8)</f>
        <v/>
      </c>
    </row>
    <row r="1106">
      <c r="A1106" t="n">
        <v>1133</v>
      </c>
      <c r="B1106" s="14" t="n">
        <v>46233</v>
      </c>
      <c r="C1106" s="17" t="n">
        <v>0.9166666666666666</v>
      </c>
      <c r="D1106" s="17" t="n">
        <v>0.3541666666666667</v>
      </c>
      <c r="E1106" t="inlineStr">
        <is>
          <t>Night</t>
        </is>
      </c>
      <c r="F1106" t="inlineStr">
        <is>
          <t>Jul</t>
        </is>
      </c>
      <c r="G1106" s="18">
        <f>IF(D1106&lt;C1106,D1106+1-C1106,D1106-C1106)*24</f>
        <v/>
      </c>
      <c r="H1106" s="18">
        <f>MAX(0,G1106-8)</f>
        <v/>
      </c>
    </row>
    <row r="1107">
      <c r="A1107" t="n">
        <v>1134</v>
      </c>
      <c r="B1107" s="14" t="n">
        <v>46233</v>
      </c>
      <c r="C1107" s="17" t="n">
        <v>0.9166666666666666</v>
      </c>
      <c r="D1107" s="17" t="n">
        <v>0.2708333333333333</v>
      </c>
      <c r="E1107" t="inlineStr">
        <is>
          <t>Night</t>
        </is>
      </c>
      <c r="F1107" t="inlineStr">
        <is>
          <t>Jul</t>
        </is>
      </c>
      <c r="G1107" s="18">
        <f>IF(D1107&lt;C1107,D1107+1-C1107,D1107-C1107)*24</f>
        <v/>
      </c>
      <c r="H1107" s="18">
        <f>MAX(0,G1107-8)</f>
        <v/>
      </c>
    </row>
    <row r="1108">
      <c r="A1108" t="n">
        <v>1135</v>
      </c>
      <c r="B1108" s="14" t="n">
        <v>46233</v>
      </c>
      <c r="C1108" s="17" t="n">
        <v>0.9270833333333334</v>
      </c>
      <c r="D1108" s="17" t="n">
        <v>0.28125</v>
      </c>
      <c r="E1108" t="inlineStr">
        <is>
          <t>Night</t>
        </is>
      </c>
      <c r="F1108" t="inlineStr">
        <is>
          <t>Jul</t>
        </is>
      </c>
      <c r="G1108" s="18">
        <f>IF(D1108&lt;C1108,D1108+1-C1108,D1108-C1108)*24</f>
        <v/>
      </c>
      <c r="H1108" s="18">
        <f>MAX(0,G1108-8)</f>
        <v/>
      </c>
    </row>
    <row r="1109">
      <c r="A1109" t="n">
        <v>1136</v>
      </c>
      <c r="B1109" s="14" t="n">
        <v>46233</v>
      </c>
      <c r="C1109" s="17" t="n">
        <v>0.9166666666666666</v>
      </c>
      <c r="D1109" s="17" t="n">
        <v>0.2708333333333333</v>
      </c>
      <c r="E1109" t="inlineStr">
        <is>
          <t>Night</t>
        </is>
      </c>
      <c r="F1109" t="inlineStr">
        <is>
          <t>Jul</t>
        </is>
      </c>
      <c r="G1109" s="18">
        <f>IF(D1109&lt;C1109,D1109+1-C1109,D1109-C1109)*24</f>
        <v/>
      </c>
      <c r="H1109" s="18">
        <f>MAX(0,G1109-8)</f>
        <v/>
      </c>
    </row>
    <row r="1110">
      <c r="A1110" t="n">
        <v>1137</v>
      </c>
      <c r="B1110" s="14" t="n">
        <v>46233</v>
      </c>
      <c r="C1110" s="17" t="n">
        <v>0.9166666666666666</v>
      </c>
      <c r="D1110" s="17" t="n">
        <v>0.25</v>
      </c>
      <c r="E1110" t="inlineStr">
        <is>
          <t>Night</t>
        </is>
      </c>
      <c r="F1110" t="inlineStr">
        <is>
          <t>Jul</t>
        </is>
      </c>
      <c r="G1110" s="18">
        <f>IF(D1110&lt;C1110,D1110+1-C1110,D1110-C1110)*24</f>
        <v/>
      </c>
      <c r="H1110" s="18">
        <f>MAX(0,G1110-8)</f>
        <v/>
      </c>
    </row>
    <row r="1111">
      <c r="A1111" t="n">
        <v>1147</v>
      </c>
      <c r="B1111" s="14" t="n">
        <v>46233</v>
      </c>
      <c r="C1111" s="17" t="n">
        <v>0.9270833333333334</v>
      </c>
      <c r="D1111" s="17" t="n">
        <v>0.3020833333333333</v>
      </c>
      <c r="E1111" t="inlineStr">
        <is>
          <t>Night</t>
        </is>
      </c>
      <c r="F1111" t="inlineStr">
        <is>
          <t>Jul</t>
        </is>
      </c>
      <c r="G1111" s="18">
        <f>IF(D1111&lt;C1111,D1111+1-C1111,D1111-C1111)*24</f>
        <v/>
      </c>
      <c r="H1111" s="18">
        <f>MAX(0,G1111-8)</f>
        <v/>
      </c>
    </row>
    <row r="1112">
      <c r="A1112" t="n">
        <v>1201</v>
      </c>
      <c r="B1112" s="14" t="n">
        <v>46233</v>
      </c>
      <c r="C1112" s="17" t="n">
        <v>0.2708333333333333</v>
      </c>
      <c r="D1112" s="17" t="n">
        <v>0.6041666666666666</v>
      </c>
      <c r="E1112" t="inlineStr">
        <is>
          <t>Day</t>
        </is>
      </c>
      <c r="F1112" t="inlineStr">
        <is>
          <t>Jul</t>
        </is>
      </c>
      <c r="G1112" s="18">
        <f>IF(D1112&lt;C1112,D1112+1-C1112,D1112-C1112)*24</f>
        <v/>
      </c>
      <c r="H1112" s="18">
        <f>MAX(0,G1112-8)</f>
        <v/>
      </c>
    </row>
    <row r="1113">
      <c r="A1113" t="n">
        <v>1202</v>
      </c>
      <c r="B1113" s="14" t="n">
        <v>46233</v>
      </c>
      <c r="C1113" s="17" t="n">
        <v>0.2708333333333333</v>
      </c>
      <c r="D1113" s="17" t="n">
        <v>0.6041666666666666</v>
      </c>
      <c r="E1113" t="inlineStr">
        <is>
          <t>Day</t>
        </is>
      </c>
      <c r="F1113" t="inlineStr">
        <is>
          <t>Jul</t>
        </is>
      </c>
      <c r="G1113" s="18">
        <f>IF(D1113&lt;C1113,D1113+1-C1113,D1113-C1113)*24</f>
        <v/>
      </c>
      <c r="H1113" s="18">
        <f>MAX(0,G1113-8)</f>
        <v/>
      </c>
    </row>
    <row r="1114">
      <c r="A1114" t="n">
        <v>1203</v>
      </c>
      <c r="B1114" s="14" t="n">
        <v>46233</v>
      </c>
      <c r="C1114" s="17" t="n">
        <v>0.25</v>
      </c>
      <c r="D1114" s="17" t="n">
        <v>0.6041666666666666</v>
      </c>
      <c r="E1114" t="inlineStr">
        <is>
          <t>Day</t>
        </is>
      </c>
      <c r="F1114" t="inlineStr">
        <is>
          <t>Jul</t>
        </is>
      </c>
      <c r="G1114" s="18">
        <f>IF(D1114&lt;C1114,D1114+1-C1114,D1114-C1114)*24</f>
        <v/>
      </c>
      <c r="H1114" s="18">
        <f>MAX(0,G1114-8)</f>
        <v/>
      </c>
    </row>
    <row r="1115">
      <c r="A1115" t="n">
        <v>1204</v>
      </c>
      <c r="B1115" s="14" t="n">
        <v>46233</v>
      </c>
      <c r="C1115" s="17" t="n">
        <v>0.25</v>
      </c>
      <c r="D1115" s="17" t="n">
        <v>0.5833333333333334</v>
      </c>
      <c r="E1115" t="inlineStr">
        <is>
          <t>Day</t>
        </is>
      </c>
      <c r="F1115" t="inlineStr">
        <is>
          <t>Jul</t>
        </is>
      </c>
      <c r="G1115" s="18">
        <f>IF(D1115&lt;C1115,D1115+1-C1115,D1115-C1115)*24</f>
        <v/>
      </c>
      <c r="H1115" s="18">
        <f>MAX(0,G1115-8)</f>
        <v/>
      </c>
    </row>
    <row r="1116">
      <c r="A1116" t="n">
        <v>1205</v>
      </c>
      <c r="B1116" s="14" t="n">
        <v>46233</v>
      </c>
      <c r="C1116" s="17" t="n">
        <v>0.2708333333333333</v>
      </c>
      <c r="D1116" s="17" t="n">
        <v>0.6041666666666666</v>
      </c>
      <c r="E1116" t="inlineStr">
        <is>
          <t>Day</t>
        </is>
      </c>
      <c r="F1116" t="inlineStr">
        <is>
          <t>Jul</t>
        </is>
      </c>
      <c r="G1116" s="18">
        <f>IF(D1116&lt;C1116,D1116+1-C1116,D1116-C1116)*24</f>
        <v/>
      </c>
      <c r="H1116" s="18">
        <f>MAX(0,G1116-8)</f>
        <v/>
      </c>
    </row>
    <row r="1117">
      <c r="A1117" t="n">
        <v>1206</v>
      </c>
      <c r="B1117" s="14" t="n">
        <v>46233</v>
      </c>
      <c r="C1117" s="17" t="n">
        <v>0.25</v>
      </c>
      <c r="D1117" s="17" t="n">
        <v>0.625</v>
      </c>
      <c r="E1117" t="inlineStr">
        <is>
          <t>Day</t>
        </is>
      </c>
      <c r="F1117" t="inlineStr">
        <is>
          <t>Jul</t>
        </is>
      </c>
      <c r="G1117" s="18">
        <f>IF(D1117&lt;C1117,D1117+1-C1117,D1117-C1117)*24</f>
        <v/>
      </c>
      <c r="H1117" s="18">
        <f>MAX(0,G1117-8)</f>
        <v/>
      </c>
    </row>
    <row r="1118">
      <c r="A1118" t="n">
        <v>1207</v>
      </c>
      <c r="B1118" s="14" t="n">
        <v>46233</v>
      </c>
      <c r="C1118" s="17" t="n">
        <v>0.2708333333333333</v>
      </c>
      <c r="D1118" s="17" t="n">
        <v>0.625</v>
      </c>
      <c r="E1118" t="inlineStr">
        <is>
          <t>Day</t>
        </is>
      </c>
      <c r="F1118" t="inlineStr">
        <is>
          <t>Jul</t>
        </is>
      </c>
      <c r="G1118" s="18">
        <f>IF(D1118&lt;C1118,D1118+1-C1118,D1118-C1118)*24</f>
        <v/>
      </c>
      <c r="H1118" s="18">
        <f>MAX(0,G1118-8)</f>
        <v/>
      </c>
    </row>
    <row r="1119">
      <c r="A1119" t="n">
        <v>1208</v>
      </c>
      <c r="B1119" s="14" t="n">
        <v>46233</v>
      </c>
      <c r="C1119" s="17" t="n">
        <v>0.25</v>
      </c>
      <c r="D1119" s="17" t="n">
        <v>0.5833333333333334</v>
      </c>
      <c r="E1119" t="inlineStr">
        <is>
          <t>Day</t>
        </is>
      </c>
      <c r="F1119" t="inlineStr">
        <is>
          <t>Jul</t>
        </is>
      </c>
      <c r="G1119" s="18">
        <f>IF(D1119&lt;C1119,D1119+1-C1119,D1119-C1119)*24</f>
        <v/>
      </c>
      <c r="H1119" s="18">
        <f>MAX(0,G1119-8)</f>
        <v/>
      </c>
    </row>
    <row r="1120">
      <c r="A1120" t="n">
        <v>1209</v>
      </c>
      <c r="B1120" s="14" t="n">
        <v>46233</v>
      </c>
      <c r="C1120" s="17" t="n">
        <v>0.25</v>
      </c>
      <c r="D1120" s="17" t="n">
        <v>0.625</v>
      </c>
      <c r="E1120" t="inlineStr">
        <is>
          <t>Day</t>
        </is>
      </c>
      <c r="F1120" t="inlineStr">
        <is>
          <t>Jul</t>
        </is>
      </c>
      <c r="G1120" s="18">
        <f>IF(D1120&lt;C1120,D1120+1-C1120,D1120-C1120)*24</f>
        <v/>
      </c>
      <c r="H1120" s="18">
        <f>MAX(0,G1120-8)</f>
        <v/>
      </c>
    </row>
    <row r="1121">
      <c r="A1121" t="n">
        <v>1210</v>
      </c>
      <c r="B1121" s="14" t="n">
        <v>46233</v>
      </c>
      <c r="C1121" s="17" t="n">
        <v>0.2708333333333333</v>
      </c>
      <c r="D1121" s="17" t="n">
        <v>0.6041666666666666</v>
      </c>
      <c r="E1121" t="inlineStr">
        <is>
          <t>Day</t>
        </is>
      </c>
      <c r="F1121" t="inlineStr">
        <is>
          <t>Jul</t>
        </is>
      </c>
      <c r="G1121" s="18">
        <f>IF(D1121&lt;C1121,D1121+1-C1121,D1121-C1121)*24</f>
        <v/>
      </c>
      <c r="H1121" s="18">
        <f>MAX(0,G1121-8)</f>
        <v/>
      </c>
    </row>
    <row r="1122">
      <c r="A1122" t="n">
        <v>1211</v>
      </c>
      <c r="B1122" s="14" t="n">
        <v>46233</v>
      </c>
      <c r="C1122" s="17" t="n">
        <v>0.2708333333333333</v>
      </c>
      <c r="D1122" s="17" t="n">
        <v>0.6041666666666666</v>
      </c>
      <c r="E1122" t="inlineStr">
        <is>
          <t>Day</t>
        </is>
      </c>
      <c r="F1122" t="inlineStr">
        <is>
          <t>Jul</t>
        </is>
      </c>
      <c r="G1122" s="18">
        <f>IF(D1122&lt;C1122,D1122+1-C1122,D1122-C1122)*24</f>
        <v/>
      </c>
      <c r="H1122" s="18">
        <f>MAX(0,G1122-8)</f>
        <v/>
      </c>
    </row>
    <row r="1123">
      <c r="A1123" t="n">
        <v>1212</v>
      </c>
      <c r="B1123" s="14" t="n">
        <v>46233</v>
      </c>
      <c r="C1123" s="17" t="n">
        <v>0.25</v>
      </c>
      <c r="D1123" s="17" t="n">
        <v>0.625</v>
      </c>
      <c r="E1123" t="inlineStr">
        <is>
          <t>Day</t>
        </is>
      </c>
      <c r="F1123" t="inlineStr">
        <is>
          <t>Jul</t>
        </is>
      </c>
      <c r="G1123" s="18">
        <f>IF(D1123&lt;C1123,D1123+1-C1123,D1123-C1123)*24</f>
        <v/>
      </c>
      <c r="H1123" s="18">
        <f>MAX(0,G1123-8)</f>
        <v/>
      </c>
    </row>
    <row r="1124">
      <c r="A1124" t="n">
        <v>1213</v>
      </c>
      <c r="B1124" s="14" t="n">
        <v>46233</v>
      </c>
      <c r="C1124" s="17" t="n">
        <v>0.25</v>
      </c>
      <c r="D1124" s="17" t="n">
        <v>0.5833333333333334</v>
      </c>
      <c r="E1124" t="inlineStr">
        <is>
          <t>Day</t>
        </is>
      </c>
      <c r="F1124" t="inlineStr">
        <is>
          <t>Jul</t>
        </is>
      </c>
      <c r="G1124" s="18">
        <f>IF(D1124&lt;C1124,D1124+1-C1124,D1124-C1124)*24</f>
        <v/>
      </c>
      <c r="H1124" s="18">
        <f>MAX(0,G1124-8)</f>
        <v/>
      </c>
    </row>
    <row r="1125">
      <c r="A1125" t="n">
        <v>1214</v>
      </c>
      <c r="B1125" s="14" t="n">
        <v>46233</v>
      </c>
      <c r="C1125" s="17" t="n">
        <v>0.25</v>
      </c>
      <c r="D1125" s="17" t="n">
        <v>0.6041666666666666</v>
      </c>
      <c r="E1125" t="inlineStr">
        <is>
          <t>Day</t>
        </is>
      </c>
      <c r="F1125" t="inlineStr">
        <is>
          <t>Jul</t>
        </is>
      </c>
      <c r="G1125" s="18">
        <f>IF(D1125&lt;C1125,D1125+1-C1125,D1125-C1125)*24</f>
        <v/>
      </c>
      <c r="H1125" s="18">
        <f>MAX(0,G1125-8)</f>
        <v/>
      </c>
    </row>
    <row r="1126">
      <c r="A1126" t="n">
        <v>1215</v>
      </c>
      <c r="B1126" s="14" t="n">
        <v>46233</v>
      </c>
      <c r="C1126" s="17" t="n">
        <v>0.25</v>
      </c>
      <c r="D1126" s="17" t="n">
        <v>0.6666666666666666</v>
      </c>
      <c r="E1126" t="inlineStr">
        <is>
          <t>Day</t>
        </is>
      </c>
      <c r="F1126" t="inlineStr">
        <is>
          <t>Jul</t>
        </is>
      </c>
      <c r="G1126" s="18">
        <f>IF(D1126&lt;C1126,D1126+1-C1126,D1126-C1126)*24</f>
        <v/>
      </c>
      <c r="H1126" s="18">
        <f>MAX(0,G1126-8)</f>
        <v/>
      </c>
    </row>
    <row r="1127">
      <c r="A1127" t="n">
        <v>1217</v>
      </c>
      <c r="B1127" s="14" t="n">
        <v>46233</v>
      </c>
      <c r="C1127" s="17" t="n">
        <v>0.25</v>
      </c>
      <c r="D1127" s="17" t="n">
        <v>0.6041666666666666</v>
      </c>
      <c r="E1127" t="inlineStr">
        <is>
          <t>Day</t>
        </is>
      </c>
      <c r="F1127" t="inlineStr">
        <is>
          <t>Jul</t>
        </is>
      </c>
      <c r="G1127" s="18">
        <f>IF(D1127&lt;C1127,D1127+1-C1127,D1127-C1127)*24</f>
        <v/>
      </c>
      <c r="H1127" s="18">
        <f>MAX(0,G1127-8)</f>
        <v/>
      </c>
    </row>
    <row r="1128">
      <c r="A1128" t="n">
        <v>1219</v>
      </c>
      <c r="B1128" s="14" t="n">
        <v>46233</v>
      </c>
      <c r="C1128" s="17" t="n">
        <v>0.25</v>
      </c>
      <c r="D1128" s="17" t="n">
        <v>0.5833333333333334</v>
      </c>
      <c r="E1128" t="inlineStr">
        <is>
          <t>Day</t>
        </is>
      </c>
      <c r="F1128" t="inlineStr">
        <is>
          <t>Jul</t>
        </is>
      </c>
      <c r="G1128" s="18">
        <f>IF(D1128&lt;C1128,D1128+1-C1128,D1128-C1128)*24</f>
        <v/>
      </c>
      <c r="H1128" s="18">
        <f>MAX(0,G1128-8)</f>
        <v/>
      </c>
    </row>
    <row r="1129">
      <c r="A1129" t="n">
        <v>1220</v>
      </c>
      <c r="B1129" s="14" t="n">
        <v>46233</v>
      </c>
      <c r="C1129" s="17" t="n">
        <v>0.2708333333333333</v>
      </c>
      <c r="D1129" s="17" t="n">
        <v>0.6875</v>
      </c>
      <c r="E1129" t="inlineStr">
        <is>
          <t>Day</t>
        </is>
      </c>
      <c r="F1129" t="inlineStr">
        <is>
          <t>Jul</t>
        </is>
      </c>
      <c r="G1129" s="18">
        <f>IF(D1129&lt;C1129,D1129+1-C1129,D1129-C1129)*24</f>
        <v/>
      </c>
      <c r="H1129" s="18">
        <f>MAX(0,G1129-8)</f>
        <v/>
      </c>
    </row>
    <row r="1130">
      <c r="A1130" t="n">
        <v>1102</v>
      </c>
      <c r="B1130" s="14" t="n">
        <v>46234</v>
      </c>
      <c r="C1130" s="17" t="n">
        <v>0.9166666666666666</v>
      </c>
      <c r="D1130" s="17" t="n">
        <v>0.3333333333333333</v>
      </c>
      <c r="E1130" t="inlineStr">
        <is>
          <t>Night</t>
        </is>
      </c>
      <c r="F1130" t="inlineStr">
        <is>
          <t>Jul</t>
        </is>
      </c>
      <c r="G1130" s="18">
        <f>IF(D1130&lt;C1130,D1130+1-C1130,D1130-C1130)*24</f>
        <v/>
      </c>
      <c r="H1130" s="18">
        <f>MAX(0,G1130-8)</f>
        <v/>
      </c>
    </row>
    <row r="1131">
      <c r="A1131" t="n">
        <v>1103</v>
      </c>
      <c r="B1131" s="14" t="n">
        <v>46234</v>
      </c>
      <c r="C1131" s="17" t="n">
        <v>0.9270833333333334</v>
      </c>
      <c r="D1131" s="17" t="n">
        <v>0.34375</v>
      </c>
      <c r="E1131" t="inlineStr">
        <is>
          <t>Night</t>
        </is>
      </c>
      <c r="F1131" t="inlineStr">
        <is>
          <t>Jul</t>
        </is>
      </c>
      <c r="G1131" s="18">
        <f>IF(D1131&lt;C1131,D1131+1-C1131,D1131-C1131)*24</f>
        <v/>
      </c>
      <c r="H1131" s="18">
        <f>MAX(0,G1131-8)</f>
        <v/>
      </c>
    </row>
    <row r="1132">
      <c r="A1132" t="n">
        <v>1106</v>
      </c>
      <c r="B1132" s="14" t="n">
        <v>46234</v>
      </c>
      <c r="C1132" s="17" t="n">
        <v>0.9166666666666666</v>
      </c>
      <c r="D1132" s="17" t="n">
        <v>0.25</v>
      </c>
      <c r="E1132" t="inlineStr">
        <is>
          <t>Night</t>
        </is>
      </c>
      <c r="F1132" t="inlineStr">
        <is>
          <t>Jul</t>
        </is>
      </c>
      <c r="G1132" s="18">
        <f>IF(D1132&lt;C1132,D1132+1-C1132,D1132-C1132)*24</f>
        <v/>
      </c>
      <c r="H1132" s="18">
        <f>MAX(0,G1132-8)</f>
        <v/>
      </c>
    </row>
    <row r="1133">
      <c r="A1133" t="n">
        <v>1109</v>
      </c>
      <c r="B1133" s="14" t="n">
        <v>46234</v>
      </c>
      <c r="C1133" s="17" t="n">
        <v>0.9375</v>
      </c>
      <c r="D1133" s="17" t="n">
        <v>0.3958333333333333</v>
      </c>
      <c r="E1133" t="inlineStr">
        <is>
          <t>Night</t>
        </is>
      </c>
      <c r="F1133" t="inlineStr">
        <is>
          <t>Jul</t>
        </is>
      </c>
      <c r="G1133" s="18">
        <f>IF(D1133&lt;C1133,D1133+1-C1133,D1133-C1133)*24</f>
        <v/>
      </c>
      <c r="H1133" s="18">
        <f>MAX(0,G1133-8)</f>
        <v/>
      </c>
    </row>
    <row r="1134">
      <c r="A1134" t="n">
        <v>1110</v>
      </c>
      <c r="B1134" s="14" t="n">
        <v>46234</v>
      </c>
      <c r="C1134" s="17" t="n">
        <v>0.9166666666666666</v>
      </c>
      <c r="D1134" s="17" t="n">
        <v>0.25</v>
      </c>
      <c r="E1134" t="inlineStr">
        <is>
          <t>Night</t>
        </is>
      </c>
      <c r="F1134" t="inlineStr">
        <is>
          <t>Jul</t>
        </is>
      </c>
      <c r="G1134" s="18">
        <f>IF(D1134&lt;C1134,D1134+1-C1134,D1134-C1134)*24</f>
        <v/>
      </c>
      <c r="H1134" s="18">
        <f>MAX(0,G1134-8)</f>
        <v/>
      </c>
    </row>
    <row r="1135">
      <c r="A1135" t="n">
        <v>1111</v>
      </c>
      <c r="B1135" s="14" t="n">
        <v>46234</v>
      </c>
      <c r="C1135" s="17" t="n">
        <v>0.9270833333333334</v>
      </c>
      <c r="D1135" s="17" t="n">
        <v>0.28125</v>
      </c>
      <c r="E1135" t="inlineStr">
        <is>
          <t>Night</t>
        </is>
      </c>
      <c r="F1135" t="inlineStr">
        <is>
          <t>Jul</t>
        </is>
      </c>
      <c r="G1135" s="18">
        <f>IF(D1135&lt;C1135,D1135+1-C1135,D1135-C1135)*24</f>
        <v/>
      </c>
      <c r="H1135" s="18">
        <f>MAX(0,G1135-8)</f>
        <v/>
      </c>
    </row>
    <row r="1136">
      <c r="A1136" t="n">
        <v>1112</v>
      </c>
      <c r="B1136" s="14" t="n">
        <v>46234</v>
      </c>
      <c r="C1136" s="17" t="n">
        <v>0.9166666666666666</v>
      </c>
      <c r="D1136" s="17" t="n">
        <v>0.2708333333333333</v>
      </c>
      <c r="E1136" t="inlineStr">
        <is>
          <t>Night</t>
        </is>
      </c>
      <c r="F1136" t="inlineStr">
        <is>
          <t>Jul</t>
        </is>
      </c>
      <c r="G1136" s="18">
        <f>IF(D1136&lt;C1136,D1136+1-C1136,D1136-C1136)*24</f>
        <v/>
      </c>
      <c r="H1136" s="18">
        <f>MAX(0,G1136-8)</f>
        <v/>
      </c>
    </row>
    <row r="1137">
      <c r="A1137" t="n">
        <v>1114</v>
      </c>
      <c r="B1137" s="14" t="n">
        <v>46234</v>
      </c>
      <c r="C1137" s="17" t="n">
        <v>0.9375</v>
      </c>
      <c r="D1137" s="17" t="n">
        <v>0.2708333333333333</v>
      </c>
      <c r="E1137" t="inlineStr">
        <is>
          <t>Night</t>
        </is>
      </c>
      <c r="F1137" t="inlineStr">
        <is>
          <t>Jul</t>
        </is>
      </c>
      <c r="G1137" s="18">
        <f>IF(D1137&lt;C1137,D1137+1-C1137,D1137-C1137)*24</f>
        <v/>
      </c>
      <c r="H1137" s="18">
        <f>MAX(0,G1137-8)</f>
        <v/>
      </c>
    </row>
    <row r="1138">
      <c r="A1138" t="n">
        <v>1115</v>
      </c>
      <c r="B1138" s="14" t="n">
        <v>46234</v>
      </c>
      <c r="C1138" s="17" t="n">
        <v>0.9166666666666666</v>
      </c>
      <c r="D1138" s="17" t="n">
        <v>0.3541666666666667</v>
      </c>
      <c r="E1138" t="inlineStr">
        <is>
          <t>Night</t>
        </is>
      </c>
      <c r="F1138" t="inlineStr">
        <is>
          <t>Jul</t>
        </is>
      </c>
      <c r="G1138" s="18">
        <f>IF(D1138&lt;C1138,D1138+1-C1138,D1138-C1138)*24</f>
        <v/>
      </c>
      <c r="H1138" s="18">
        <f>MAX(0,G1138-8)</f>
        <v/>
      </c>
    </row>
    <row r="1139">
      <c r="A1139" t="n">
        <v>1116</v>
      </c>
      <c r="B1139" s="14" t="n">
        <v>46234</v>
      </c>
      <c r="C1139" s="17" t="n">
        <v>0.9166666666666666</v>
      </c>
      <c r="D1139" s="17" t="n">
        <v>0.3125</v>
      </c>
      <c r="E1139" t="inlineStr">
        <is>
          <t>Night</t>
        </is>
      </c>
      <c r="F1139" t="inlineStr">
        <is>
          <t>Jul</t>
        </is>
      </c>
      <c r="G1139" s="18">
        <f>IF(D1139&lt;C1139,D1139+1-C1139,D1139-C1139)*24</f>
        <v/>
      </c>
      <c r="H1139" s="18">
        <f>MAX(0,G1139-8)</f>
        <v/>
      </c>
    </row>
    <row r="1140">
      <c r="A1140" t="n">
        <v>1117</v>
      </c>
      <c r="B1140" s="14" t="n">
        <v>46234</v>
      </c>
      <c r="C1140" s="17" t="n">
        <v>0.9166666666666666</v>
      </c>
      <c r="D1140" s="17" t="n">
        <v>0.25</v>
      </c>
      <c r="E1140" t="inlineStr">
        <is>
          <t>Night</t>
        </is>
      </c>
      <c r="F1140" t="inlineStr">
        <is>
          <t>Jul</t>
        </is>
      </c>
      <c r="G1140" s="18">
        <f>IF(D1140&lt;C1140,D1140+1-C1140,D1140-C1140)*24</f>
        <v/>
      </c>
      <c r="H1140" s="18">
        <f>MAX(0,G1140-8)</f>
        <v/>
      </c>
    </row>
    <row r="1141">
      <c r="A1141" t="n">
        <v>1118</v>
      </c>
      <c r="B1141" s="14" t="n">
        <v>46234</v>
      </c>
      <c r="C1141" s="17" t="n">
        <v>0.9166666666666666</v>
      </c>
      <c r="D1141" s="17" t="n">
        <v>0.25</v>
      </c>
      <c r="E1141" t="inlineStr">
        <is>
          <t>Night</t>
        </is>
      </c>
      <c r="F1141" t="inlineStr">
        <is>
          <t>Jul</t>
        </is>
      </c>
      <c r="G1141" s="18">
        <f>IF(D1141&lt;C1141,D1141+1-C1141,D1141-C1141)*24</f>
        <v/>
      </c>
      <c r="H1141" s="18">
        <f>MAX(0,G1141-8)</f>
        <v/>
      </c>
    </row>
    <row r="1142">
      <c r="A1142" t="n">
        <v>1119</v>
      </c>
      <c r="B1142" s="14" t="n">
        <v>46234</v>
      </c>
      <c r="C1142" s="17" t="n">
        <v>0.9270833333333334</v>
      </c>
      <c r="D1142" s="17" t="n">
        <v>0.2604166666666667</v>
      </c>
      <c r="E1142" t="inlineStr">
        <is>
          <t>Night</t>
        </is>
      </c>
      <c r="F1142" t="inlineStr">
        <is>
          <t>Jul</t>
        </is>
      </c>
      <c r="G1142" s="18">
        <f>IF(D1142&lt;C1142,D1142+1-C1142,D1142-C1142)*24</f>
        <v/>
      </c>
      <c r="H1142" s="18">
        <f>MAX(0,G1142-8)</f>
        <v/>
      </c>
    </row>
    <row r="1143">
      <c r="A1143" t="n">
        <v>1120</v>
      </c>
      <c r="B1143" s="14" t="n">
        <v>46234</v>
      </c>
      <c r="C1143" s="17" t="n">
        <v>0.9166666666666666</v>
      </c>
      <c r="D1143" s="17" t="n">
        <v>0.2916666666666667</v>
      </c>
      <c r="E1143" t="inlineStr">
        <is>
          <t>Night</t>
        </is>
      </c>
      <c r="F1143" t="inlineStr">
        <is>
          <t>Jul</t>
        </is>
      </c>
      <c r="G1143" s="18">
        <f>IF(D1143&lt;C1143,D1143+1-C1143,D1143-C1143)*24</f>
        <v/>
      </c>
      <c r="H1143" s="18">
        <f>MAX(0,G1143-8)</f>
        <v/>
      </c>
    </row>
    <row r="1144">
      <c r="A1144" t="n">
        <v>1122</v>
      </c>
      <c r="B1144" s="14" t="n">
        <v>46234</v>
      </c>
      <c r="C1144" s="17" t="n">
        <v>0.9166666666666666</v>
      </c>
      <c r="D1144" s="17" t="n">
        <v>0.25</v>
      </c>
      <c r="E1144" t="inlineStr">
        <is>
          <t>Night</t>
        </is>
      </c>
      <c r="F1144" t="inlineStr">
        <is>
          <t>Jul</t>
        </is>
      </c>
      <c r="G1144" s="18">
        <f>IF(D1144&lt;C1144,D1144+1-C1144,D1144-C1144)*24</f>
        <v/>
      </c>
      <c r="H1144" s="18">
        <f>MAX(0,G1144-8)</f>
        <v/>
      </c>
    </row>
    <row r="1145">
      <c r="A1145" t="n">
        <v>1123</v>
      </c>
      <c r="B1145" s="14" t="n">
        <v>46234</v>
      </c>
      <c r="C1145" s="17" t="n">
        <v>0.9166666666666666</v>
      </c>
      <c r="D1145" s="17" t="n">
        <v>0.2708333333333333</v>
      </c>
      <c r="E1145" t="inlineStr">
        <is>
          <t>Night</t>
        </is>
      </c>
      <c r="F1145" t="inlineStr">
        <is>
          <t>Jul</t>
        </is>
      </c>
      <c r="G1145" s="18">
        <f>IF(D1145&lt;C1145,D1145+1-C1145,D1145-C1145)*24</f>
        <v/>
      </c>
      <c r="H1145" s="18">
        <f>MAX(0,G1145-8)</f>
        <v/>
      </c>
    </row>
    <row r="1146">
      <c r="A1146" t="n">
        <v>1124</v>
      </c>
      <c r="B1146" s="14" t="n">
        <v>46234</v>
      </c>
      <c r="C1146" s="17" t="n">
        <v>0.9166666666666666</v>
      </c>
      <c r="D1146" s="17" t="n">
        <v>0.2708333333333333</v>
      </c>
      <c r="E1146" t="inlineStr">
        <is>
          <t>Night</t>
        </is>
      </c>
      <c r="F1146" t="inlineStr">
        <is>
          <t>Jul</t>
        </is>
      </c>
      <c r="G1146" s="18">
        <f>IF(D1146&lt;C1146,D1146+1-C1146,D1146-C1146)*24</f>
        <v/>
      </c>
      <c r="H1146" s="18">
        <f>MAX(0,G1146-8)</f>
        <v/>
      </c>
    </row>
    <row r="1147">
      <c r="A1147" t="n">
        <v>1125</v>
      </c>
      <c r="B1147" s="14" t="n">
        <v>46234</v>
      </c>
      <c r="C1147" s="17" t="n">
        <v>0.9270833333333334</v>
      </c>
      <c r="D1147" s="17" t="n">
        <v>0.28125</v>
      </c>
      <c r="E1147" t="inlineStr">
        <is>
          <t>Night</t>
        </is>
      </c>
      <c r="F1147" t="inlineStr">
        <is>
          <t>Jul</t>
        </is>
      </c>
      <c r="G1147" s="18">
        <f>IF(D1147&lt;C1147,D1147+1-C1147,D1147-C1147)*24</f>
        <v/>
      </c>
      <c r="H1147" s="18">
        <f>MAX(0,G1147-8)</f>
        <v/>
      </c>
    </row>
    <row r="1148">
      <c r="A1148" t="n">
        <v>1126</v>
      </c>
      <c r="B1148" s="14" t="n">
        <v>46234</v>
      </c>
      <c r="C1148" s="17" t="n">
        <v>0.9270833333333334</v>
      </c>
      <c r="D1148" s="17" t="n">
        <v>0.2604166666666667</v>
      </c>
      <c r="E1148" t="inlineStr">
        <is>
          <t>Night</t>
        </is>
      </c>
      <c r="F1148" t="inlineStr">
        <is>
          <t>Jul</t>
        </is>
      </c>
      <c r="G1148" s="18">
        <f>IF(D1148&lt;C1148,D1148+1-C1148,D1148-C1148)*24</f>
        <v/>
      </c>
      <c r="H1148" s="18">
        <f>MAX(0,G1148-8)</f>
        <v/>
      </c>
    </row>
    <row r="1149">
      <c r="A1149" t="n">
        <v>1130</v>
      </c>
      <c r="B1149" s="14" t="n">
        <v>46234</v>
      </c>
      <c r="C1149" s="17" t="n">
        <v>0.9270833333333334</v>
      </c>
      <c r="D1149" s="17" t="n">
        <v>0.3854166666666667</v>
      </c>
      <c r="E1149" t="inlineStr">
        <is>
          <t>Night</t>
        </is>
      </c>
      <c r="F1149" t="inlineStr">
        <is>
          <t>Jul</t>
        </is>
      </c>
      <c r="G1149" s="18">
        <f>IF(D1149&lt;C1149,D1149+1-C1149,D1149-C1149)*24</f>
        <v/>
      </c>
      <c r="H1149" s="18">
        <f>MAX(0,G1149-8)</f>
        <v/>
      </c>
    </row>
    <row r="1150">
      <c r="A1150" t="n">
        <v>1131</v>
      </c>
      <c r="B1150" s="14" t="n">
        <v>46234</v>
      </c>
      <c r="C1150" s="17" t="n">
        <v>0.9166666666666666</v>
      </c>
      <c r="D1150" s="17" t="n">
        <v>0.2916666666666667</v>
      </c>
      <c r="E1150" t="inlineStr">
        <is>
          <t>Night</t>
        </is>
      </c>
      <c r="F1150" t="inlineStr">
        <is>
          <t>Jul</t>
        </is>
      </c>
      <c r="G1150" s="18">
        <f>IF(D1150&lt;C1150,D1150+1-C1150,D1150-C1150)*24</f>
        <v/>
      </c>
      <c r="H1150" s="18">
        <f>MAX(0,G1150-8)</f>
        <v/>
      </c>
    </row>
    <row r="1151">
      <c r="A1151" t="n">
        <v>1134</v>
      </c>
      <c r="B1151" s="14" t="n">
        <v>46234</v>
      </c>
      <c r="C1151" s="17" t="n">
        <v>0.9166666666666666</v>
      </c>
      <c r="D1151" s="17" t="n">
        <v>0.25</v>
      </c>
      <c r="E1151" t="inlineStr">
        <is>
          <t>Night</t>
        </is>
      </c>
      <c r="F1151" t="inlineStr">
        <is>
          <t>Jul</t>
        </is>
      </c>
      <c r="G1151" s="18">
        <f>IF(D1151&lt;C1151,D1151+1-C1151,D1151-C1151)*24</f>
        <v/>
      </c>
      <c r="H1151" s="18">
        <f>MAX(0,G1151-8)</f>
        <v/>
      </c>
    </row>
    <row r="1152">
      <c r="A1152" t="n">
        <v>1135</v>
      </c>
      <c r="B1152" s="14" t="n">
        <v>46234</v>
      </c>
      <c r="C1152" s="17" t="n">
        <v>0.9166666666666666</v>
      </c>
      <c r="D1152" s="17" t="n">
        <v>0.2708333333333333</v>
      </c>
      <c r="E1152" t="inlineStr">
        <is>
          <t>Night</t>
        </is>
      </c>
      <c r="F1152" t="inlineStr">
        <is>
          <t>Jul</t>
        </is>
      </c>
      <c r="G1152" s="18">
        <f>IF(D1152&lt;C1152,D1152+1-C1152,D1152-C1152)*24</f>
        <v/>
      </c>
      <c r="H1152" s="18">
        <f>MAX(0,G1152-8)</f>
        <v/>
      </c>
    </row>
    <row r="1153">
      <c r="A1153" t="n">
        <v>1136</v>
      </c>
      <c r="B1153" s="14" t="n">
        <v>46234</v>
      </c>
      <c r="C1153" s="17" t="n">
        <v>0.9166666666666666</v>
      </c>
      <c r="D1153" s="17" t="n">
        <v>0.3541666666666667</v>
      </c>
      <c r="E1153" t="inlineStr">
        <is>
          <t>Night</t>
        </is>
      </c>
      <c r="F1153" t="inlineStr">
        <is>
          <t>Jul</t>
        </is>
      </c>
      <c r="G1153" s="18">
        <f>IF(D1153&lt;C1153,D1153+1-C1153,D1153-C1153)*24</f>
        <v/>
      </c>
      <c r="H1153" s="18">
        <f>MAX(0,G1153-8)</f>
        <v/>
      </c>
    </row>
    <row r="1154">
      <c r="A1154" t="n">
        <v>1137</v>
      </c>
      <c r="B1154" s="14" t="n">
        <v>46234</v>
      </c>
      <c r="C1154" s="17" t="n">
        <v>0.9166666666666666</v>
      </c>
      <c r="D1154" s="17" t="n">
        <v>0.2708333333333333</v>
      </c>
      <c r="E1154" t="inlineStr">
        <is>
          <t>Night</t>
        </is>
      </c>
      <c r="F1154" t="inlineStr">
        <is>
          <t>Jul</t>
        </is>
      </c>
      <c r="G1154" s="18">
        <f>IF(D1154&lt;C1154,D1154+1-C1154,D1154-C1154)*24</f>
        <v/>
      </c>
      <c r="H1154" s="18">
        <f>MAX(0,G1154-8)</f>
        <v/>
      </c>
    </row>
    <row r="1155">
      <c r="A1155" t="n">
        <v>1147</v>
      </c>
      <c r="B1155" s="14" t="n">
        <v>46234</v>
      </c>
      <c r="C1155" s="17" t="n">
        <v>0.9375</v>
      </c>
      <c r="D1155" s="17" t="n">
        <v>0.375</v>
      </c>
      <c r="E1155" t="inlineStr">
        <is>
          <t>Night</t>
        </is>
      </c>
      <c r="F1155" t="inlineStr">
        <is>
          <t>Jul</t>
        </is>
      </c>
      <c r="G1155" s="18">
        <f>IF(D1155&lt;C1155,D1155+1-C1155,D1155-C1155)*24</f>
        <v/>
      </c>
      <c r="H1155" s="18">
        <f>MAX(0,G1155-8)</f>
        <v/>
      </c>
    </row>
    <row r="1156">
      <c r="A1156" t="n">
        <v>1101</v>
      </c>
      <c r="B1156" s="14" t="n">
        <v>46234</v>
      </c>
      <c r="C1156" s="17" t="n">
        <v>0.02083333333333333</v>
      </c>
      <c r="D1156" s="17" t="n">
        <v>0.4375</v>
      </c>
      <c r="E1156" t="inlineStr">
        <is>
          <t>Night</t>
        </is>
      </c>
      <c r="F1156" t="inlineStr">
        <is>
          <t>Jul</t>
        </is>
      </c>
      <c r="G1156" s="18">
        <f>IF(D1156&lt;C1156,D1156+1-C1156,D1156-C1156)*24</f>
        <v/>
      </c>
      <c r="H1156" s="18">
        <f>MAX(0,G1156-8)</f>
        <v/>
      </c>
    </row>
    <row r="1157">
      <c r="A1157" t="n">
        <v>1108</v>
      </c>
      <c r="B1157" s="14" t="n">
        <v>46234</v>
      </c>
      <c r="C1157" s="17" t="n">
        <v>0.01041666666666667</v>
      </c>
      <c r="D1157" s="17" t="n">
        <v>0.4270833333333333</v>
      </c>
      <c r="E1157" t="inlineStr">
        <is>
          <t>Night</t>
        </is>
      </c>
      <c r="F1157" t="inlineStr">
        <is>
          <t>Jul</t>
        </is>
      </c>
      <c r="G1157" s="18">
        <f>IF(D1157&lt;C1157,D1157+1-C1157,D1157-C1157)*24</f>
        <v/>
      </c>
      <c r="H1157" s="18">
        <f>MAX(0,G1157-8)</f>
        <v/>
      </c>
    </row>
    <row r="1158">
      <c r="A1158" t="n">
        <v>1113</v>
      </c>
      <c r="B1158" s="14" t="n">
        <v>46234</v>
      </c>
      <c r="C1158" s="17" t="n">
        <v>0.02083333333333333</v>
      </c>
      <c r="D1158" s="17" t="n">
        <v>0.4166666666666667</v>
      </c>
      <c r="E1158" t="inlineStr">
        <is>
          <t>Night</t>
        </is>
      </c>
      <c r="F1158" t="inlineStr">
        <is>
          <t>Jul</t>
        </is>
      </c>
      <c r="G1158" s="18">
        <f>IF(D1158&lt;C1158,D1158+1-C1158,D1158-C1158)*24</f>
        <v/>
      </c>
      <c r="H1158" s="18">
        <f>MAX(0,G1158-8)</f>
        <v/>
      </c>
    </row>
    <row r="1159">
      <c r="A1159" t="n">
        <v>1128</v>
      </c>
      <c r="B1159" s="14" t="n">
        <v>46234</v>
      </c>
      <c r="C1159" s="17" t="n">
        <v>0.02083333333333333</v>
      </c>
      <c r="D1159" s="17" t="n">
        <v>0.4583333333333333</v>
      </c>
      <c r="E1159" t="inlineStr">
        <is>
          <t>Night</t>
        </is>
      </c>
      <c r="F1159" t="inlineStr">
        <is>
          <t>Jul</t>
        </is>
      </c>
      <c r="G1159" s="18">
        <f>IF(D1159&lt;C1159,D1159+1-C1159,D1159-C1159)*24</f>
        <v/>
      </c>
      <c r="H1159" s="18">
        <f>MAX(0,G1159-8)</f>
        <v/>
      </c>
    </row>
    <row r="1160">
      <c r="A1160" t="n">
        <v>1129</v>
      </c>
      <c r="B1160" s="14" t="n">
        <v>46234</v>
      </c>
      <c r="C1160" s="17" t="n">
        <v>0.02083333333333333</v>
      </c>
      <c r="D1160" s="17" t="n">
        <v>0.3541666666666667</v>
      </c>
      <c r="E1160" t="inlineStr">
        <is>
          <t>Night</t>
        </is>
      </c>
      <c r="F1160" t="inlineStr">
        <is>
          <t>Jul</t>
        </is>
      </c>
      <c r="G1160" s="18">
        <f>IF(D1160&lt;C1160,D1160+1-C1160,D1160-C1160)*24</f>
        <v/>
      </c>
      <c r="H1160" s="18">
        <f>MAX(0,G1160-8)</f>
        <v/>
      </c>
    </row>
    <row r="1161">
      <c r="A1161" t="n">
        <v>1132</v>
      </c>
      <c r="B1161" s="14" t="n">
        <v>46234</v>
      </c>
      <c r="C1161" s="17" t="n">
        <v>0.01041666666666667</v>
      </c>
      <c r="D1161" s="17" t="n">
        <v>0.34375</v>
      </c>
      <c r="E1161" t="inlineStr">
        <is>
          <t>Night</t>
        </is>
      </c>
      <c r="F1161" t="inlineStr">
        <is>
          <t>Jul</t>
        </is>
      </c>
      <c r="G1161" s="18">
        <f>IF(D1161&lt;C1161,D1161+1-C1161,D1161-C1161)*24</f>
        <v/>
      </c>
      <c r="H1161" s="18">
        <f>MAX(0,G1161-8)</f>
        <v/>
      </c>
    </row>
    <row r="1162">
      <c r="A1162" t="n">
        <v>1133</v>
      </c>
      <c r="B1162" s="14" t="n">
        <v>46234</v>
      </c>
      <c r="C1162" s="17" t="n">
        <v>0.01041666666666667</v>
      </c>
      <c r="D1162" s="17" t="n">
        <v>0.3645833333333333</v>
      </c>
      <c r="E1162" t="inlineStr">
        <is>
          <t>Night</t>
        </is>
      </c>
      <c r="F1162" t="inlineStr">
        <is>
          <t>Jul</t>
        </is>
      </c>
      <c r="G1162" s="18">
        <f>IF(D1162&lt;C1162,D1162+1-C1162,D1162-C1162)*24</f>
        <v/>
      </c>
      <c r="H1162" s="18">
        <f>MAX(0,G1162-8)</f>
        <v/>
      </c>
    </row>
    <row r="1163">
      <c r="A1163" t="n">
        <v>1202</v>
      </c>
      <c r="B1163" s="14" t="n">
        <v>46234</v>
      </c>
      <c r="C1163" s="17" t="n">
        <v>0.25</v>
      </c>
      <c r="D1163" s="17" t="n">
        <v>0.625</v>
      </c>
      <c r="E1163" t="inlineStr">
        <is>
          <t>Day</t>
        </is>
      </c>
      <c r="F1163" t="inlineStr">
        <is>
          <t>Jul</t>
        </is>
      </c>
      <c r="G1163" s="18">
        <f>IF(D1163&lt;C1163,D1163+1-C1163,D1163-C1163)*24</f>
        <v/>
      </c>
      <c r="H1163" s="18">
        <f>MAX(0,G1163-8)</f>
        <v/>
      </c>
    </row>
    <row r="1164">
      <c r="A1164" t="n">
        <v>1203</v>
      </c>
      <c r="B1164" s="14" t="n">
        <v>46234</v>
      </c>
      <c r="C1164" s="17" t="n">
        <v>0.25</v>
      </c>
      <c r="D1164" s="17" t="n">
        <v>0.5833333333333334</v>
      </c>
      <c r="E1164" t="inlineStr">
        <is>
          <t>Day</t>
        </is>
      </c>
      <c r="F1164" t="inlineStr">
        <is>
          <t>Jul</t>
        </is>
      </c>
      <c r="G1164" s="18">
        <f>IF(D1164&lt;C1164,D1164+1-C1164,D1164-C1164)*24</f>
        <v/>
      </c>
      <c r="H1164" s="18">
        <f>MAX(0,G1164-8)</f>
        <v/>
      </c>
    </row>
    <row r="1165">
      <c r="A1165" t="n">
        <v>1204</v>
      </c>
      <c r="B1165" s="14" t="n">
        <v>46234</v>
      </c>
      <c r="C1165" s="17" t="n">
        <v>0.25</v>
      </c>
      <c r="D1165" s="17" t="n">
        <v>0.5833333333333334</v>
      </c>
      <c r="E1165" t="inlineStr">
        <is>
          <t>Day</t>
        </is>
      </c>
      <c r="F1165" t="inlineStr">
        <is>
          <t>Jul</t>
        </is>
      </c>
      <c r="G1165" s="18">
        <f>IF(D1165&lt;C1165,D1165+1-C1165,D1165-C1165)*24</f>
        <v/>
      </c>
      <c r="H1165" s="18">
        <f>MAX(0,G1165-8)</f>
        <v/>
      </c>
    </row>
    <row r="1166">
      <c r="A1166" t="n">
        <v>1205</v>
      </c>
      <c r="B1166" s="14" t="n">
        <v>46234</v>
      </c>
      <c r="C1166" s="17" t="n">
        <v>0.25</v>
      </c>
      <c r="D1166" s="17" t="n">
        <v>0.5833333333333334</v>
      </c>
      <c r="E1166" t="inlineStr">
        <is>
          <t>Day</t>
        </is>
      </c>
      <c r="F1166" t="inlineStr">
        <is>
          <t>Jul</t>
        </is>
      </c>
      <c r="G1166" s="18">
        <f>IF(D1166&lt;C1166,D1166+1-C1166,D1166-C1166)*24</f>
        <v/>
      </c>
      <c r="H1166" s="18">
        <f>MAX(0,G1166-8)</f>
        <v/>
      </c>
    </row>
    <row r="1167">
      <c r="A1167" t="n">
        <v>1206</v>
      </c>
      <c r="B1167" s="14" t="n">
        <v>46234</v>
      </c>
      <c r="C1167" s="17" t="n">
        <v>0.2708333333333333</v>
      </c>
      <c r="D1167" s="17" t="n">
        <v>0.625</v>
      </c>
      <c r="E1167" t="inlineStr">
        <is>
          <t>Day</t>
        </is>
      </c>
      <c r="F1167" t="inlineStr">
        <is>
          <t>Jul</t>
        </is>
      </c>
      <c r="G1167" s="18">
        <f>IF(D1167&lt;C1167,D1167+1-C1167,D1167-C1167)*24</f>
        <v/>
      </c>
      <c r="H1167" s="18">
        <f>MAX(0,G1167-8)</f>
        <v/>
      </c>
    </row>
    <row r="1168">
      <c r="A1168" t="n">
        <v>1207</v>
      </c>
      <c r="B1168" s="14" t="n">
        <v>46234</v>
      </c>
      <c r="C1168" s="17" t="n">
        <v>0.25</v>
      </c>
      <c r="D1168" s="17" t="n">
        <v>0.6041666666666666</v>
      </c>
      <c r="E1168" t="inlineStr">
        <is>
          <t>Day</t>
        </is>
      </c>
      <c r="F1168" t="inlineStr">
        <is>
          <t>Jul</t>
        </is>
      </c>
      <c r="G1168" s="18">
        <f>IF(D1168&lt;C1168,D1168+1-C1168,D1168-C1168)*24</f>
        <v/>
      </c>
      <c r="H1168" s="18">
        <f>MAX(0,G1168-8)</f>
        <v/>
      </c>
    </row>
    <row r="1169">
      <c r="A1169" t="n">
        <v>1208</v>
      </c>
      <c r="B1169" s="14" t="n">
        <v>46234</v>
      </c>
      <c r="C1169" s="17" t="n">
        <v>0.25</v>
      </c>
      <c r="D1169" s="17" t="n">
        <v>0.5833333333333334</v>
      </c>
      <c r="E1169" t="inlineStr">
        <is>
          <t>Day</t>
        </is>
      </c>
      <c r="F1169" t="inlineStr">
        <is>
          <t>Jul</t>
        </is>
      </c>
      <c r="G1169" s="18">
        <f>IF(D1169&lt;C1169,D1169+1-C1169,D1169-C1169)*24</f>
        <v/>
      </c>
      <c r="H1169" s="18">
        <f>MAX(0,G1169-8)</f>
        <v/>
      </c>
    </row>
    <row r="1170">
      <c r="A1170" t="n">
        <v>1210</v>
      </c>
      <c r="B1170" s="14" t="n">
        <v>46234</v>
      </c>
      <c r="C1170" s="17" t="n">
        <v>0.2708333333333333</v>
      </c>
      <c r="D1170" s="17" t="n">
        <v>0.625</v>
      </c>
      <c r="E1170" t="inlineStr">
        <is>
          <t>Day</t>
        </is>
      </c>
      <c r="F1170" t="inlineStr">
        <is>
          <t>Jul</t>
        </is>
      </c>
      <c r="G1170" s="18">
        <f>IF(D1170&lt;C1170,D1170+1-C1170,D1170-C1170)*24</f>
        <v/>
      </c>
      <c r="H1170" s="18">
        <f>MAX(0,G1170-8)</f>
        <v/>
      </c>
    </row>
    <row r="1171">
      <c r="A1171" t="n">
        <v>1211</v>
      </c>
      <c r="B1171" s="14" t="n">
        <v>46234</v>
      </c>
      <c r="C1171" s="17" t="n">
        <v>0.2708333333333333</v>
      </c>
      <c r="D1171" s="17" t="n">
        <v>0.6875</v>
      </c>
      <c r="E1171" t="inlineStr">
        <is>
          <t>Day</t>
        </is>
      </c>
      <c r="F1171" t="inlineStr">
        <is>
          <t>Jul</t>
        </is>
      </c>
      <c r="G1171" s="18">
        <f>IF(D1171&lt;C1171,D1171+1-C1171,D1171-C1171)*24</f>
        <v/>
      </c>
      <c r="H1171" s="18">
        <f>MAX(0,G1171-8)</f>
        <v/>
      </c>
    </row>
    <row r="1172">
      <c r="A1172" t="n">
        <v>1212</v>
      </c>
      <c r="B1172" s="14" t="n">
        <v>46234</v>
      </c>
      <c r="C1172" s="17" t="n">
        <v>0.2708333333333333</v>
      </c>
      <c r="D1172" s="17" t="n">
        <v>0.6041666666666666</v>
      </c>
      <c r="E1172" t="inlineStr">
        <is>
          <t>Day</t>
        </is>
      </c>
      <c r="F1172" t="inlineStr">
        <is>
          <t>Jul</t>
        </is>
      </c>
      <c r="G1172" s="18">
        <f>IF(D1172&lt;C1172,D1172+1-C1172,D1172-C1172)*24</f>
        <v/>
      </c>
      <c r="H1172" s="18">
        <f>MAX(0,G1172-8)</f>
        <v/>
      </c>
    </row>
    <row r="1173">
      <c r="A1173" t="n">
        <v>1213</v>
      </c>
      <c r="B1173" s="14" t="n">
        <v>46234</v>
      </c>
      <c r="C1173" s="17" t="n">
        <v>0.25</v>
      </c>
      <c r="D1173" s="17" t="n">
        <v>0.6666666666666666</v>
      </c>
      <c r="E1173" t="inlineStr">
        <is>
          <t>Day</t>
        </is>
      </c>
      <c r="F1173" t="inlineStr">
        <is>
          <t>Jul</t>
        </is>
      </c>
      <c r="G1173" s="18">
        <f>IF(D1173&lt;C1173,D1173+1-C1173,D1173-C1173)*24</f>
        <v/>
      </c>
      <c r="H1173" s="18">
        <f>MAX(0,G1173-8)</f>
        <v/>
      </c>
    </row>
    <row r="1174">
      <c r="A1174" t="n">
        <v>1214</v>
      </c>
      <c r="B1174" s="14" t="n">
        <v>46234</v>
      </c>
      <c r="C1174" s="17" t="n">
        <v>0.2708333333333333</v>
      </c>
      <c r="D1174" s="17" t="n">
        <v>0.6875</v>
      </c>
      <c r="E1174" t="inlineStr">
        <is>
          <t>Day</t>
        </is>
      </c>
      <c r="F1174" t="inlineStr">
        <is>
          <t>Jul</t>
        </is>
      </c>
      <c r="G1174" s="18">
        <f>IF(D1174&lt;C1174,D1174+1-C1174,D1174-C1174)*24</f>
        <v/>
      </c>
      <c r="H1174" s="18">
        <f>MAX(0,G1174-8)</f>
        <v/>
      </c>
    </row>
    <row r="1175">
      <c r="A1175" t="n">
        <v>1215</v>
      </c>
      <c r="B1175" s="14" t="n">
        <v>46234</v>
      </c>
      <c r="C1175" s="17" t="n">
        <v>0.25</v>
      </c>
      <c r="D1175" s="17" t="n">
        <v>0.6041666666666666</v>
      </c>
      <c r="E1175" t="inlineStr">
        <is>
          <t>Day</t>
        </is>
      </c>
      <c r="F1175" t="inlineStr">
        <is>
          <t>Jul</t>
        </is>
      </c>
      <c r="G1175" s="18">
        <f>IF(D1175&lt;C1175,D1175+1-C1175,D1175-C1175)*24</f>
        <v/>
      </c>
      <c r="H1175" s="18">
        <f>MAX(0,G1175-8)</f>
        <v/>
      </c>
    </row>
    <row r="1176">
      <c r="A1176" t="n">
        <v>1216</v>
      </c>
      <c r="B1176" s="14" t="n">
        <v>46234</v>
      </c>
      <c r="C1176" s="17" t="n">
        <v>0.2708333333333333</v>
      </c>
      <c r="D1176" s="17" t="n">
        <v>0.6875</v>
      </c>
      <c r="E1176" t="inlineStr">
        <is>
          <t>Day</t>
        </is>
      </c>
      <c r="F1176" t="inlineStr">
        <is>
          <t>Jul</t>
        </is>
      </c>
      <c r="G1176" s="18">
        <f>IF(D1176&lt;C1176,D1176+1-C1176,D1176-C1176)*24</f>
        <v/>
      </c>
      <c r="H1176" s="18">
        <f>MAX(0,G1176-8)</f>
        <v/>
      </c>
    </row>
    <row r="1177">
      <c r="A1177" t="n">
        <v>1217</v>
      </c>
      <c r="B1177" s="14" t="n">
        <v>46234</v>
      </c>
      <c r="C1177" s="17" t="n">
        <v>0.25</v>
      </c>
      <c r="D1177" s="17" t="n">
        <v>0.6666666666666666</v>
      </c>
      <c r="E1177" t="inlineStr">
        <is>
          <t>Day</t>
        </is>
      </c>
      <c r="F1177" t="inlineStr">
        <is>
          <t>Jul</t>
        </is>
      </c>
      <c r="G1177" s="18">
        <f>IF(D1177&lt;C1177,D1177+1-C1177,D1177-C1177)*24</f>
        <v/>
      </c>
      <c r="H1177" s="18">
        <f>MAX(0,G1177-8)</f>
        <v/>
      </c>
    </row>
    <row r="1178">
      <c r="A1178" t="n">
        <v>1218</v>
      </c>
      <c r="B1178" s="14" t="n">
        <v>46234</v>
      </c>
      <c r="C1178" s="17" t="n">
        <v>0.25</v>
      </c>
      <c r="D1178" s="17" t="n">
        <v>0.5833333333333334</v>
      </c>
      <c r="E1178" t="inlineStr">
        <is>
          <t>Day</t>
        </is>
      </c>
      <c r="F1178" t="inlineStr">
        <is>
          <t>Jul</t>
        </is>
      </c>
      <c r="G1178" s="18">
        <f>IF(D1178&lt;C1178,D1178+1-C1178,D1178-C1178)*24</f>
        <v/>
      </c>
      <c r="H1178" s="18">
        <f>MAX(0,G1178-8)</f>
        <v/>
      </c>
    </row>
    <row r="1179">
      <c r="A1179" t="n">
        <v>1219</v>
      </c>
      <c r="B1179" s="14" t="n">
        <v>46234</v>
      </c>
      <c r="C1179" s="17" t="n">
        <v>0.25</v>
      </c>
      <c r="D1179" s="17" t="n">
        <v>0.6666666666666666</v>
      </c>
      <c r="E1179" t="inlineStr">
        <is>
          <t>Day</t>
        </is>
      </c>
      <c r="F1179" t="inlineStr">
        <is>
          <t>Jul</t>
        </is>
      </c>
      <c r="G1179" s="18">
        <f>IF(D1179&lt;C1179,D1179+1-C1179,D1179-C1179)*24</f>
        <v/>
      </c>
      <c r="H1179" s="18">
        <f>MAX(0,G1179-8)</f>
        <v/>
      </c>
    </row>
    <row r="1180">
      <c r="A1180" t="n">
        <v>1220</v>
      </c>
      <c r="B1180" s="14" t="n">
        <v>46234</v>
      </c>
      <c r="C1180" s="17" t="n">
        <v>0.2708333333333333</v>
      </c>
      <c r="D1180" s="17" t="n">
        <v>0.625</v>
      </c>
      <c r="E1180" t="inlineStr">
        <is>
          <t>Day</t>
        </is>
      </c>
      <c r="F1180" t="inlineStr">
        <is>
          <t>Jul</t>
        </is>
      </c>
      <c r="G1180" s="18">
        <f>IF(D1180&lt;C1180,D1180+1-C1180,D1180-C1180)*24</f>
        <v/>
      </c>
      <c r="H1180" s="18">
        <f>MAX(0,G1180-8)</f>
        <v/>
      </c>
    </row>
    <row r="1181">
      <c r="A1181" t="n">
        <v>1101</v>
      </c>
      <c r="B1181" s="14" t="n">
        <v>46237</v>
      </c>
      <c r="C1181" s="17" t="n">
        <v>0.9166666666666666</v>
      </c>
      <c r="D1181" s="17" t="n">
        <v>0.25</v>
      </c>
      <c r="E1181" t="inlineStr">
        <is>
          <t>Night</t>
        </is>
      </c>
      <c r="F1181" t="inlineStr">
        <is>
          <t>Aug</t>
        </is>
      </c>
      <c r="G1181" s="18">
        <f>IF(D1181&lt;C1181,D1181+1-C1181,D1181-C1181)*24</f>
        <v/>
      </c>
      <c r="H1181" s="18">
        <f>MAX(0,G1181-8)</f>
        <v/>
      </c>
    </row>
    <row r="1182">
      <c r="A1182" t="n">
        <v>1102</v>
      </c>
      <c r="B1182" s="14" t="n">
        <v>46237</v>
      </c>
      <c r="C1182" s="17" t="n">
        <v>0.9166666666666666</v>
      </c>
      <c r="D1182" s="17" t="n">
        <v>0.25</v>
      </c>
      <c r="E1182" t="inlineStr">
        <is>
          <t>Night</t>
        </is>
      </c>
      <c r="F1182" t="inlineStr">
        <is>
          <t>Aug</t>
        </is>
      </c>
      <c r="G1182" s="18">
        <f>IF(D1182&lt;C1182,D1182+1-C1182,D1182-C1182)*24</f>
        <v/>
      </c>
      <c r="H1182" s="18">
        <f>MAX(0,G1182-8)</f>
        <v/>
      </c>
    </row>
    <row r="1183">
      <c r="A1183" t="n">
        <v>1103</v>
      </c>
      <c r="B1183" s="14" t="n">
        <v>46237</v>
      </c>
      <c r="C1183" s="17" t="n">
        <v>0.9375</v>
      </c>
      <c r="D1183" s="17" t="n">
        <v>0.3125</v>
      </c>
      <c r="E1183" t="inlineStr">
        <is>
          <t>Night</t>
        </is>
      </c>
      <c r="F1183" t="inlineStr">
        <is>
          <t>Aug</t>
        </is>
      </c>
      <c r="G1183" s="18">
        <f>IF(D1183&lt;C1183,D1183+1-C1183,D1183-C1183)*24</f>
        <v/>
      </c>
      <c r="H1183" s="18">
        <f>MAX(0,G1183-8)</f>
        <v/>
      </c>
    </row>
    <row r="1184">
      <c r="A1184" t="n">
        <v>1104</v>
      </c>
      <c r="B1184" s="14" t="n">
        <v>46237</v>
      </c>
      <c r="C1184" s="17" t="n">
        <v>0.9166666666666666</v>
      </c>
      <c r="D1184" s="17" t="n">
        <v>0.2916666666666667</v>
      </c>
      <c r="E1184" t="inlineStr">
        <is>
          <t>Night</t>
        </is>
      </c>
      <c r="F1184" t="inlineStr">
        <is>
          <t>Aug</t>
        </is>
      </c>
      <c r="G1184" s="18">
        <f>IF(D1184&lt;C1184,D1184+1-C1184,D1184-C1184)*24</f>
        <v/>
      </c>
      <c r="H1184" s="18">
        <f>MAX(0,G1184-8)</f>
        <v/>
      </c>
    </row>
    <row r="1185">
      <c r="A1185" t="n">
        <v>1107</v>
      </c>
      <c r="B1185" s="14" t="n">
        <v>46237</v>
      </c>
      <c r="C1185" s="17" t="n">
        <v>0.9375</v>
      </c>
      <c r="D1185" s="17" t="n">
        <v>0.2916666666666667</v>
      </c>
      <c r="E1185" t="inlineStr">
        <is>
          <t>Night</t>
        </is>
      </c>
      <c r="F1185" t="inlineStr">
        <is>
          <t>Aug</t>
        </is>
      </c>
      <c r="G1185" s="18">
        <f>IF(D1185&lt;C1185,D1185+1-C1185,D1185-C1185)*24</f>
        <v/>
      </c>
      <c r="H1185" s="18">
        <f>MAX(0,G1185-8)</f>
        <v/>
      </c>
    </row>
    <row r="1186">
      <c r="A1186" t="n">
        <v>1110</v>
      </c>
      <c r="B1186" s="14" t="n">
        <v>46237</v>
      </c>
      <c r="C1186" s="17" t="n">
        <v>0.9166666666666666</v>
      </c>
      <c r="D1186" s="17" t="n">
        <v>0.2708333333333333</v>
      </c>
      <c r="E1186" t="inlineStr">
        <is>
          <t>Night</t>
        </is>
      </c>
      <c r="F1186" t="inlineStr">
        <is>
          <t>Aug</t>
        </is>
      </c>
      <c r="G1186" s="18">
        <f>IF(D1186&lt;C1186,D1186+1-C1186,D1186-C1186)*24</f>
        <v/>
      </c>
      <c r="H1186" s="18">
        <f>MAX(0,G1186-8)</f>
        <v/>
      </c>
    </row>
    <row r="1187">
      <c r="A1187" t="n">
        <v>1111</v>
      </c>
      <c r="B1187" s="14" t="n">
        <v>46237</v>
      </c>
      <c r="C1187" s="17" t="n">
        <v>0.9270833333333334</v>
      </c>
      <c r="D1187" s="17" t="n">
        <v>0.2604166666666667</v>
      </c>
      <c r="E1187" t="inlineStr">
        <is>
          <t>Night</t>
        </is>
      </c>
      <c r="F1187" t="inlineStr">
        <is>
          <t>Aug</t>
        </is>
      </c>
      <c r="G1187" s="18">
        <f>IF(D1187&lt;C1187,D1187+1-C1187,D1187-C1187)*24</f>
        <v/>
      </c>
      <c r="H1187" s="18">
        <f>MAX(0,G1187-8)</f>
        <v/>
      </c>
    </row>
    <row r="1188">
      <c r="A1188" t="n">
        <v>1112</v>
      </c>
      <c r="B1188" s="14" t="n">
        <v>46237</v>
      </c>
      <c r="C1188" s="17" t="n">
        <v>0.9166666666666666</v>
      </c>
      <c r="D1188" s="17" t="n">
        <v>0.3958333333333333</v>
      </c>
      <c r="E1188" t="inlineStr">
        <is>
          <t>Night</t>
        </is>
      </c>
      <c r="F1188" t="inlineStr">
        <is>
          <t>Aug</t>
        </is>
      </c>
      <c r="G1188" s="18">
        <f>IF(D1188&lt;C1188,D1188+1-C1188,D1188-C1188)*24</f>
        <v/>
      </c>
      <c r="H1188" s="18">
        <f>MAX(0,G1188-8)</f>
        <v/>
      </c>
    </row>
    <row r="1189">
      <c r="A1189" t="n">
        <v>1113</v>
      </c>
      <c r="B1189" s="14" t="n">
        <v>46237</v>
      </c>
      <c r="C1189" s="17" t="n">
        <v>0.9375</v>
      </c>
      <c r="D1189" s="17" t="n">
        <v>0.3333333333333333</v>
      </c>
      <c r="E1189" t="inlineStr">
        <is>
          <t>Night</t>
        </is>
      </c>
      <c r="F1189" t="inlineStr">
        <is>
          <t>Aug</t>
        </is>
      </c>
      <c r="G1189" s="18">
        <f>IF(D1189&lt;C1189,D1189+1-C1189,D1189-C1189)*24</f>
        <v/>
      </c>
      <c r="H1189" s="18">
        <f>MAX(0,G1189-8)</f>
        <v/>
      </c>
    </row>
    <row r="1190">
      <c r="A1190" t="n">
        <v>1114</v>
      </c>
      <c r="B1190" s="14" t="n">
        <v>46237</v>
      </c>
      <c r="C1190" s="17" t="n">
        <v>0.9166666666666666</v>
      </c>
      <c r="D1190" s="17" t="n">
        <v>0.375</v>
      </c>
      <c r="E1190" t="inlineStr">
        <is>
          <t>Night</t>
        </is>
      </c>
      <c r="F1190" t="inlineStr">
        <is>
          <t>Aug</t>
        </is>
      </c>
      <c r="G1190" s="18">
        <f>IF(D1190&lt;C1190,D1190+1-C1190,D1190-C1190)*24</f>
        <v/>
      </c>
      <c r="H1190" s="18">
        <f>MAX(0,G1190-8)</f>
        <v/>
      </c>
    </row>
    <row r="1191">
      <c r="A1191" t="n">
        <v>1115</v>
      </c>
      <c r="B1191" s="14" t="n">
        <v>46237</v>
      </c>
      <c r="C1191" s="17" t="n">
        <v>0.9166666666666666</v>
      </c>
      <c r="D1191" s="17" t="n">
        <v>0.3125</v>
      </c>
      <c r="E1191" t="inlineStr">
        <is>
          <t>Night</t>
        </is>
      </c>
      <c r="F1191" t="inlineStr">
        <is>
          <t>Aug</t>
        </is>
      </c>
      <c r="G1191" s="18">
        <f>IF(D1191&lt;C1191,D1191+1-C1191,D1191-C1191)*24</f>
        <v/>
      </c>
      <c r="H1191" s="18">
        <f>MAX(0,G1191-8)</f>
        <v/>
      </c>
    </row>
    <row r="1192">
      <c r="A1192" t="n">
        <v>1116</v>
      </c>
      <c r="B1192" s="14" t="n">
        <v>46237</v>
      </c>
      <c r="C1192" s="17" t="n">
        <v>0.9375</v>
      </c>
      <c r="D1192" s="17" t="n">
        <v>0.2708333333333333</v>
      </c>
      <c r="E1192" t="inlineStr">
        <is>
          <t>Night</t>
        </is>
      </c>
      <c r="F1192" t="inlineStr">
        <is>
          <t>Aug</t>
        </is>
      </c>
      <c r="G1192" s="18">
        <f>IF(D1192&lt;C1192,D1192+1-C1192,D1192-C1192)*24</f>
        <v/>
      </c>
      <c r="H1192" s="18">
        <f>MAX(0,G1192-8)</f>
        <v/>
      </c>
    </row>
    <row r="1193">
      <c r="A1193" t="n">
        <v>1117</v>
      </c>
      <c r="B1193" s="14" t="n">
        <v>46237</v>
      </c>
      <c r="C1193" s="17" t="n">
        <v>0.9375</v>
      </c>
      <c r="D1193" s="17" t="n">
        <v>0.375</v>
      </c>
      <c r="E1193" t="inlineStr">
        <is>
          <t>Night</t>
        </is>
      </c>
      <c r="F1193" t="inlineStr">
        <is>
          <t>Aug</t>
        </is>
      </c>
      <c r="G1193" s="18">
        <f>IF(D1193&lt;C1193,D1193+1-C1193,D1193-C1193)*24</f>
        <v/>
      </c>
      <c r="H1193" s="18">
        <f>MAX(0,G1193-8)</f>
        <v/>
      </c>
    </row>
    <row r="1194">
      <c r="A1194" t="n">
        <v>1119</v>
      </c>
      <c r="B1194" s="14" t="n">
        <v>46237</v>
      </c>
      <c r="C1194" s="17" t="n">
        <v>0.9375</v>
      </c>
      <c r="D1194" s="17" t="n">
        <v>0.3125</v>
      </c>
      <c r="E1194" t="inlineStr">
        <is>
          <t>Night</t>
        </is>
      </c>
      <c r="F1194" t="inlineStr">
        <is>
          <t>Aug</t>
        </is>
      </c>
      <c r="G1194" s="18">
        <f>IF(D1194&lt;C1194,D1194+1-C1194,D1194-C1194)*24</f>
        <v/>
      </c>
      <c r="H1194" s="18">
        <f>MAX(0,G1194-8)</f>
        <v/>
      </c>
    </row>
    <row r="1195">
      <c r="A1195" t="n">
        <v>1120</v>
      </c>
      <c r="B1195" s="14" t="n">
        <v>46237</v>
      </c>
      <c r="C1195" s="17" t="n">
        <v>0.9166666666666666</v>
      </c>
      <c r="D1195" s="17" t="n">
        <v>0.2708333333333333</v>
      </c>
      <c r="E1195" t="inlineStr">
        <is>
          <t>Night</t>
        </is>
      </c>
      <c r="F1195" t="inlineStr">
        <is>
          <t>Aug</t>
        </is>
      </c>
      <c r="G1195" s="18">
        <f>IF(D1195&lt;C1195,D1195+1-C1195,D1195-C1195)*24</f>
        <v/>
      </c>
      <c r="H1195" s="18">
        <f>MAX(0,G1195-8)</f>
        <v/>
      </c>
    </row>
    <row r="1196">
      <c r="A1196" t="n">
        <v>1121</v>
      </c>
      <c r="B1196" s="14" t="n">
        <v>46237</v>
      </c>
      <c r="C1196" s="17" t="n">
        <v>0.9166666666666666</v>
      </c>
      <c r="D1196" s="17" t="n">
        <v>0.3541666666666667</v>
      </c>
      <c r="E1196" t="inlineStr">
        <is>
          <t>Night</t>
        </is>
      </c>
      <c r="F1196" t="inlineStr">
        <is>
          <t>Aug</t>
        </is>
      </c>
      <c r="G1196" s="18">
        <f>IF(D1196&lt;C1196,D1196+1-C1196,D1196-C1196)*24</f>
        <v/>
      </c>
      <c r="H1196" s="18">
        <f>MAX(0,G1196-8)</f>
        <v/>
      </c>
    </row>
    <row r="1197">
      <c r="A1197" t="n">
        <v>1122</v>
      </c>
      <c r="B1197" s="14" t="n">
        <v>46237</v>
      </c>
      <c r="C1197" s="17" t="n">
        <v>0.9166666666666666</v>
      </c>
      <c r="D1197" s="17" t="n">
        <v>0.3333333333333333</v>
      </c>
      <c r="E1197" t="inlineStr">
        <is>
          <t>Night</t>
        </is>
      </c>
      <c r="F1197" t="inlineStr">
        <is>
          <t>Aug</t>
        </is>
      </c>
      <c r="G1197" s="18">
        <f>IF(D1197&lt;C1197,D1197+1-C1197,D1197-C1197)*24</f>
        <v/>
      </c>
      <c r="H1197" s="18">
        <f>MAX(0,G1197-8)</f>
        <v/>
      </c>
    </row>
    <row r="1198">
      <c r="A1198" t="n">
        <v>1124</v>
      </c>
      <c r="B1198" s="14" t="n">
        <v>46237</v>
      </c>
      <c r="C1198" s="17" t="n">
        <v>0.9166666666666666</v>
      </c>
      <c r="D1198" s="17" t="n">
        <v>0.2708333333333333</v>
      </c>
      <c r="E1198" t="inlineStr">
        <is>
          <t>Night</t>
        </is>
      </c>
      <c r="F1198" t="inlineStr">
        <is>
          <t>Aug</t>
        </is>
      </c>
      <c r="G1198" s="18">
        <f>IF(D1198&lt;C1198,D1198+1-C1198,D1198-C1198)*24</f>
        <v/>
      </c>
      <c r="H1198" s="18">
        <f>MAX(0,G1198-8)</f>
        <v/>
      </c>
    </row>
    <row r="1199">
      <c r="A1199" t="n">
        <v>1125</v>
      </c>
      <c r="B1199" s="14" t="n">
        <v>46237</v>
      </c>
      <c r="C1199" s="17" t="n">
        <v>0.9375</v>
      </c>
      <c r="D1199" s="17" t="n">
        <v>0.2708333333333333</v>
      </c>
      <c r="E1199" t="inlineStr">
        <is>
          <t>Night</t>
        </is>
      </c>
      <c r="F1199" t="inlineStr">
        <is>
          <t>Aug</t>
        </is>
      </c>
      <c r="G1199" s="18">
        <f>IF(D1199&lt;C1199,D1199+1-C1199,D1199-C1199)*24</f>
        <v/>
      </c>
      <c r="H1199" s="18">
        <f>MAX(0,G1199-8)</f>
        <v/>
      </c>
    </row>
    <row r="1200">
      <c r="A1200" t="n">
        <v>1126</v>
      </c>
      <c r="B1200" s="14" t="n">
        <v>46237</v>
      </c>
      <c r="C1200" s="17" t="n">
        <v>0.9166666666666666</v>
      </c>
      <c r="D1200" s="17" t="n">
        <v>0.375</v>
      </c>
      <c r="E1200" t="inlineStr">
        <is>
          <t>Night</t>
        </is>
      </c>
      <c r="F1200" t="inlineStr">
        <is>
          <t>Aug</t>
        </is>
      </c>
      <c r="G1200" s="18">
        <f>IF(D1200&lt;C1200,D1200+1-C1200,D1200-C1200)*24</f>
        <v/>
      </c>
      <c r="H1200" s="18">
        <f>MAX(0,G1200-8)</f>
        <v/>
      </c>
    </row>
    <row r="1201">
      <c r="A1201" t="n">
        <v>1127</v>
      </c>
      <c r="B1201" s="14" t="n">
        <v>46237</v>
      </c>
      <c r="C1201" s="17" t="n">
        <v>0.9166666666666666</v>
      </c>
      <c r="D1201" s="17" t="n">
        <v>0.2708333333333333</v>
      </c>
      <c r="E1201" t="inlineStr">
        <is>
          <t>Night</t>
        </is>
      </c>
      <c r="F1201" t="inlineStr">
        <is>
          <t>Aug</t>
        </is>
      </c>
      <c r="G1201" s="18">
        <f>IF(D1201&lt;C1201,D1201+1-C1201,D1201-C1201)*24</f>
        <v/>
      </c>
      <c r="H1201" s="18">
        <f>MAX(0,G1201-8)</f>
        <v/>
      </c>
    </row>
    <row r="1202">
      <c r="A1202" t="n">
        <v>1128</v>
      </c>
      <c r="B1202" s="14" t="n">
        <v>46237</v>
      </c>
      <c r="C1202" s="17" t="n">
        <v>0.9166666666666666</v>
      </c>
      <c r="D1202" s="17" t="n">
        <v>0.25</v>
      </c>
      <c r="E1202" t="inlineStr">
        <is>
          <t>Night</t>
        </is>
      </c>
      <c r="F1202" t="inlineStr">
        <is>
          <t>Aug</t>
        </is>
      </c>
      <c r="G1202" s="18">
        <f>IF(D1202&lt;C1202,D1202+1-C1202,D1202-C1202)*24</f>
        <v/>
      </c>
      <c r="H1202" s="18">
        <f>MAX(0,G1202-8)</f>
        <v/>
      </c>
    </row>
    <row r="1203">
      <c r="A1203" t="n">
        <v>1130</v>
      </c>
      <c r="B1203" s="14" t="n">
        <v>46237</v>
      </c>
      <c r="C1203" s="17" t="n">
        <v>0.9166666666666666</v>
      </c>
      <c r="D1203" s="17" t="n">
        <v>0.3958333333333333</v>
      </c>
      <c r="E1203" t="inlineStr">
        <is>
          <t>Night</t>
        </is>
      </c>
      <c r="F1203" t="inlineStr">
        <is>
          <t>Aug</t>
        </is>
      </c>
      <c r="G1203" s="18">
        <f>IF(D1203&lt;C1203,D1203+1-C1203,D1203-C1203)*24</f>
        <v/>
      </c>
      <c r="H1203" s="18">
        <f>MAX(0,G1203-8)</f>
        <v/>
      </c>
    </row>
    <row r="1204">
      <c r="A1204" t="n">
        <v>1131</v>
      </c>
      <c r="B1204" s="14" t="n">
        <v>46237</v>
      </c>
      <c r="C1204" s="17" t="n">
        <v>0.9166666666666666</v>
      </c>
      <c r="D1204" s="17" t="n">
        <v>0.25</v>
      </c>
      <c r="E1204" t="inlineStr">
        <is>
          <t>Night</t>
        </is>
      </c>
      <c r="F1204" t="inlineStr">
        <is>
          <t>Aug</t>
        </is>
      </c>
      <c r="G1204" s="18">
        <f>IF(D1204&lt;C1204,D1204+1-C1204,D1204-C1204)*24</f>
        <v/>
      </c>
      <c r="H1204" s="18">
        <f>MAX(0,G1204-8)</f>
        <v/>
      </c>
    </row>
    <row r="1205">
      <c r="A1205" t="n">
        <v>1132</v>
      </c>
      <c r="B1205" s="14" t="n">
        <v>46237</v>
      </c>
      <c r="C1205" s="17" t="n">
        <v>0.9270833333333334</v>
      </c>
      <c r="D1205" s="17" t="n">
        <v>0.34375</v>
      </c>
      <c r="E1205" t="inlineStr">
        <is>
          <t>Night</t>
        </is>
      </c>
      <c r="F1205" t="inlineStr">
        <is>
          <t>Aug</t>
        </is>
      </c>
      <c r="G1205" s="18">
        <f>IF(D1205&lt;C1205,D1205+1-C1205,D1205-C1205)*24</f>
        <v/>
      </c>
      <c r="H1205" s="18">
        <f>MAX(0,G1205-8)</f>
        <v/>
      </c>
    </row>
    <row r="1206">
      <c r="A1206" t="n">
        <v>1133</v>
      </c>
      <c r="B1206" s="14" t="n">
        <v>46237</v>
      </c>
      <c r="C1206" s="17" t="n">
        <v>0.9166666666666666</v>
      </c>
      <c r="D1206" s="17" t="n">
        <v>0.2708333333333333</v>
      </c>
      <c r="E1206" t="inlineStr">
        <is>
          <t>Night</t>
        </is>
      </c>
      <c r="F1206" t="inlineStr">
        <is>
          <t>Aug</t>
        </is>
      </c>
      <c r="G1206" s="18">
        <f>IF(D1206&lt;C1206,D1206+1-C1206,D1206-C1206)*24</f>
        <v/>
      </c>
      <c r="H1206" s="18">
        <f>MAX(0,G1206-8)</f>
        <v/>
      </c>
    </row>
    <row r="1207">
      <c r="A1207" t="n">
        <v>1134</v>
      </c>
      <c r="B1207" s="14" t="n">
        <v>46237</v>
      </c>
      <c r="C1207" s="17" t="n">
        <v>0.9166666666666666</v>
      </c>
      <c r="D1207" s="17" t="n">
        <v>0.3125</v>
      </c>
      <c r="E1207" t="inlineStr">
        <is>
          <t>Night</t>
        </is>
      </c>
      <c r="F1207" t="inlineStr">
        <is>
          <t>Aug</t>
        </is>
      </c>
      <c r="G1207" s="18">
        <f>IF(D1207&lt;C1207,D1207+1-C1207,D1207-C1207)*24</f>
        <v/>
      </c>
      <c r="H1207" s="18">
        <f>MAX(0,G1207-8)</f>
        <v/>
      </c>
    </row>
    <row r="1208">
      <c r="A1208" t="n">
        <v>1135</v>
      </c>
      <c r="B1208" s="14" t="n">
        <v>46237</v>
      </c>
      <c r="C1208" s="17" t="n">
        <v>0.9166666666666666</v>
      </c>
      <c r="D1208" s="17" t="n">
        <v>0.3958333333333333</v>
      </c>
      <c r="E1208" t="inlineStr">
        <is>
          <t>Night</t>
        </is>
      </c>
      <c r="F1208" t="inlineStr">
        <is>
          <t>Aug</t>
        </is>
      </c>
      <c r="G1208" s="18">
        <f>IF(D1208&lt;C1208,D1208+1-C1208,D1208-C1208)*24</f>
        <v/>
      </c>
      <c r="H1208" s="18">
        <f>MAX(0,G1208-8)</f>
        <v/>
      </c>
    </row>
    <row r="1209">
      <c r="A1209" t="n">
        <v>1136</v>
      </c>
      <c r="B1209" s="14" t="n">
        <v>46237</v>
      </c>
      <c r="C1209" s="17" t="n">
        <v>0.9270833333333334</v>
      </c>
      <c r="D1209" s="17" t="n">
        <v>0.28125</v>
      </c>
      <c r="E1209" t="inlineStr">
        <is>
          <t>Night</t>
        </is>
      </c>
      <c r="F1209" t="inlineStr">
        <is>
          <t>Aug</t>
        </is>
      </c>
      <c r="G1209" s="18">
        <f>IF(D1209&lt;C1209,D1209+1-C1209,D1209-C1209)*24</f>
        <v/>
      </c>
      <c r="H1209" s="18">
        <f>MAX(0,G1209-8)</f>
        <v/>
      </c>
    </row>
    <row r="1210">
      <c r="A1210" t="n">
        <v>1137</v>
      </c>
      <c r="B1210" s="14" t="n">
        <v>46237</v>
      </c>
      <c r="C1210" s="17" t="n">
        <v>0.9270833333333334</v>
      </c>
      <c r="D1210" s="17" t="n">
        <v>0.3645833333333333</v>
      </c>
      <c r="E1210" t="inlineStr">
        <is>
          <t>Night</t>
        </is>
      </c>
      <c r="F1210" t="inlineStr">
        <is>
          <t>Aug</t>
        </is>
      </c>
      <c r="G1210" s="18">
        <f>IF(D1210&lt;C1210,D1210+1-C1210,D1210-C1210)*24</f>
        <v/>
      </c>
      <c r="H1210" s="18">
        <f>MAX(0,G1210-8)</f>
        <v/>
      </c>
    </row>
    <row r="1211">
      <c r="A1211" t="n">
        <v>1147</v>
      </c>
      <c r="B1211" s="14" t="n">
        <v>46237</v>
      </c>
      <c r="C1211" s="17" t="n">
        <v>0.9166666666666666</v>
      </c>
      <c r="D1211" s="17" t="n">
        <v>0.3541666666666667</v>
      </c>
      <c r="E1211" t="inlineStr">
        <is>
          <t>Night</t>
        </is>
      </c>
      <c r="F1211" t="inlineStr">
        <is>
          <t>Aug</t>
        </is>
      </c>
      <c r="G1211" s="18">
        <f>IF(D1211&lt;C1211,D1211+1-C1211,D1211-C1211)*24</f>
        <v/>
      </c>
      <c r="H1211" s="18">
        <f>MAX(0,G1211-8)</f>
        <v/>
      </c>
    </row>
    <row r="1212">
      <c r="A1212" t="n">
        <v>1106</v>
      </c>
      <c r="B1212" s="14" t="n">
        <v>46237</v>
      </c>
      <c r="C1212" s="17" t="n">
        <v>0.01041666666666667</v>
      </c>
      <c r="D1212" s="17" t="n">
        <v>0.3854166666666667</v>
      </c>
      <c r="E1212" t="inlineStr">
        <is>
          <t>Night</t>
        </is>
      </c>
      <c r="F1212" t="inlineStr">
        <is>
          <t>Aug</t>
        </is>
      </c>
      <c r="G1212" s="18">
        <f>IF(D1212&lt;C1212,D1212+1-C1212,D1212-C1212)*24</f>
        <v/>
      </c>
      <c r="H1212" s="18">
        <f>MAX(0,G1212-8)</f>
        <v/>
      </c>
    </row>
    <row r="1213">
      <c r="A1213" t="n">
        <v>1108</v>
      </c>
      <c r="B1213" s="14" t="n">
        <v>46237</v>
      </c>
      <c r="C1213" s="17" t="n">
        <v>0.02083333333333333</v>
      </c>
      <c r="D1213" s="17" t="n">
        <v>0.4375</v>
      </c>
      <c r="E1213" t="inlineStr">
        <is>
          <t>Night</t>
        </is>
      </c>
      <c r="F1213" t="inlineStr">
        <is>
          <t>Aug</t>
        </is>
      </c>
      <c r="G1213" s="18">
        <f>IF(D1213&lt;C1213,D1213+1-C1213,D1213-C1213)*24</f>
        <v/>
      </c>
      <c r="H1213" s="18">
        <f>MAX(0,G1213-8)</f>
        <v/>
      </c>
    </row>
    <row r="1214">
      <c r="A1214" t="n">
        <v>1118</v>
      </c>
      <c r="B1214" s="14" t="n">
        <v>46237</v>
      </c>
      <c r="C1214" s="17" t="n">
        <v>0.02083333333333333</v>
      </c>
      <c r="D1214" s="17" t="n">
        <v>0.4791666666666667</v>
      </c>
      <c r="E1214" t="inlineStr">
        <is>
          <t>Night</t>
        </is>
      </c>
      <c r="F1214" t="inlineStr">
        <is>
          <t>Aug</t>
        </is>
      </c>
      <c r="G1214" s="18">
        <f>IF(D1214&lt;C1214,D1214+1-C1214,D1214-C1214)*24</f>
        <v/>
      </c>
      <c r="H1214" s="18">
        <f>MAX(0,G1214-8)</f>
        <v/>
      </c>
    </row>
    <row r="1215">
      <c r="A1215" t="n">
        <v>1201</v>
      </c>
      <c r="B1215" s="14" t="n">
        <v>46237</v>
      </c>
      <c r="C1215" s="17" t="n">
        <v>0.25</v>
      </c>
      <c r="D1215" s="17" t="n">
        <v>0.5833333333333334</v>
      </c>
      <c r="E1215" t="inlineStr">
        <is>
          <t>Day</t>
        </is>
      </c>
      <c r="F1215" t="inlineStr">
        <is>
          <t>Aug</t>
        </is>
      </c>
      <c r="G1215" s="18">
        <f>IF(D1215&lt;C1215,D1215+1-C1215,D1215-C1215)*24</f>
        <v/>
      </c>
      <c r="H1215" s="18">
        <f>MAX(0,G1215-8)</f>
        <v/>
      </c>
    </row>
    <row r="1216">
      <c r="A1216" t="n">
        <v>1202</v>
      </c>
      <c r="B1216" s="14" t="n">
        <v>46237</v>
      </c>
      <c r="C1216" s="17" t="n">
        <v>0.25</v>
      </c>
      <c r="D1216" s="17" t="n">
        <v>0.6041666666666666</v>
      </c>
      <c r="E1216" t="inlineStr">
        <is>
          <t>Day</t>
        </is>
      </c>
      <c r="F1216" t="inlineStr">
        <is>
          <t>Aug</t>
        </is>
      </c>
      <c r="G1216" s="18">
        <f>IF(D1216&lt;C1216,D1216+1-C1216,D1216-C1216)*24</f>
        <v/>
      </c>
      <c r="H1216" s="18">
        <f>MAX(0,G1216-8)</f>
        <v/>
      </c>
    </row>
    <row r="1217">
      <c r="A1217" t="n">
        <v>1203</v>
      </c>
      <c r="B1217" s="14" t="n">
        <v>46237</v>
      </c>
      <c r="C1217" s="17" t="n">
        <v>0.25</v>
      </c>
      <c r="D1217" s="17" t="n">
        <v>0.5833333333333334</v>
      </c>
      <c r="E1217" t="inlineStr">
        <is>
          <t>Day</t>
        </is>
      </c>
      <c r="F1217" t="inlineStr">
        <is>
          <t>Aug</t>
        </is>
      </c>
      <c r="G1217" s="18">
        <f>IF(D1217&lt;C1217,D1217+1-C1217,D1217-C1217)*24</f>
        <v/>
      </c>
      <c r="H1217" s="18">
        <f>MAX(0,G1217-8)</f>
        <v/>
      </c>
    </row>
    <row r="1218">
      <c r="A1218" t="n">
        <v>1204</v>
      </c>
      <c r="B1218" s="14" t="n">
        <v>46237</v>
      </c>
      <c r="C1218" s="17" t="n">
        <v>0.2708333333333333</v>
      </c>
      <c r="D1218" s="17" t="n">
        <v>0.6458333333333334</v>
      </c>
      <c r="E1218" t="inlineStr">
        <is>
          <t>Day</t>
        </is>
      </c>
      <c r="F1218" t="inlineStr">
        <is>
          <t>Aug</t>
        </is>
      </c>
      <c r="G1218" s="18">
        <f>IF(D1218&lt;C1218,D1218+1-C1218,D1218-C1218)*24</f>
        <v/>
      </c>
      <c r="H1218" s="18">
        <f>MAX(0,G1218-8)</f>
        <v/>
      </c>
    </row>
    <row r="1219">
      <c r="A1219" t="n">
        <v>1205</v>
      </c>
      <c r="B1219" s="14" t="n">
        <v>46237</v>
      </c>
      <c r="C1219" s="17" t="n">
        <v>0.25</v>
      </c>
      <c r="D1219" s="17" t="n">
        <v>0.5833333333333334</v>
      </c>
      <c r="E1219" t="inlineStr">
        <is>
          <t>Day</t>
        </is>
      </c>
      <c r="F1219" t="inlineStr">
        <is>
          <t>Aug</t>
        </is>
      </c>
      <c r="G1219" s="18">
        <f>IF(D1219&lt;C1219,D1219+1-C1219,D1219-C1219)*24</f>
        <v/>
      </c>
      <c r="H1219" s="18">
        <f>MAX(0,G1219-8)</f>
        <v/>
      </c>
    </row>
    <row r="1220">
      <c r="A1220" t="n">
        <v>1206</v>
      </c>
      <c r="B1220" s="14" t="n">
        <v>46237</v>
      </c>
      <c r="C1220" s="17" t="n">
        <v>0.25</v>
      </c>
      <c r="D1220" s="17" t="n">
        <v>0.6041666666666666</v>
      </c>
      <c r="E1220" t="inlineStr">
        <is>
          <t>Day</t>
        </is>
      </c>
      <c r="F1220" t="inlineStr">
        <is>
          <t>Aug</t>
        </is>
      </c>
      <c r="G1220" s="18">
        <f>IF(D1220&lt;C1220,D1220+1-C1220,D1220-C1220)*24</f>
        <v/>
      </c>
      <c r="H1220" s="18">
        <f>MAX(0,G1220-8)</f>
        <v/>
      </c>
    </row>
    <row r="1221">
      <c r="A1221" t="n">
        <v>1207</v>
      </c>
      <c r="B1221" s="14" t="n">
        <v>46237</v>
      </c>
      <c r="C1221" s="17" t="n">
        <v>0.25</v>
      </c>
      <c r="D1221" s="17" t="n">
        <v>0.6041666666666666</v>
      </c>
      <c r="E1221" t="inlineStr">
        <is>
          <t>Day</t>
        </is>
      </c>
      <c r="F1221" t="inlineStr">
        <is>
          <t>Aug</t>
        </is>
      </c>
      <c r="G1221" s="18">
        <f>IF(D1221&lt;C1221,D1221+1-C1221,D1221-C1221)*24</f>
        <v/>
      </c>
      <c r="H1221" s="18">
        <f>MAX(0,G1221-8)</f>
        <v/>
      </c>
    </row>
    <row r="1222">
      <c r="A1222" t="n">
        <v>1208</v>
      </c>
      <c r="B1222" s="14" t="n">
        <v>46237</v>
      </c>
      <c r="C1222" s="17" t="n">
        <v>0.25</v>
      </c>
      <c r="D1222" s="17" t="n">
        <v>0.6666666666666666</v>
      </c>
      <c r="E1222" t="inlineStr">
        <is>
          <t>Day</t>
        </is>
      </c>
      <c r="F1222" t="inlineStr">
        <is>
          <t>Aug</t>
        </is>
      </c>
      <c r="G1222" s="18">
        <f>IF(D1222&lt;C1222,D1222+1-C1222,D1222-C1222)*24</f>
        <v/>
      </c>
      <c r="H1222" s="18">
        <f>MAX(0,G1222-8)</f>
        <v/>
      </c>
    </row>
    <row r="1223">
      <c r="A1223" t="n">
        <v>1209</v>
      </c>
      <c r="B1223" s="14" t="n">
        <v>46237</v>
      </c>
      <c r="C1223" s="17" t="n">
        <v>0.2708333333333333</v>
      </c>
      <c r="D1223" s="17" t="n">
        <v>0.6875</v>
      </c>
      <c r="E1223" t="inlineStr">
        <is>
          <t>Day</t>
        </is>
      </c>
      <c r="F1223" t="inlineStr">
        <is>
          <t>Aug</t>
        </is>
      </c>
      <c r="G1223" s="18">
        <f>IF(D1223&lt;C1223,D1223+1-C1223,D1223-C1223)*24</f>
        <v/>
      </c>
      <c r="H1223" s="18">
        <f>MAX(0,G1223-8)</f>
        <v/>
      </c>
    </row>
    <row r="1224">
      <c r="A1224" t="n">
        <v>1210</v>
      </c>
      <c r="B1224" s="14" t="n">
        <v>46237</v>
      </c>
      <c r="C1224" s="17" t="n">
        <v>0.2708333333333333</v>
      </c>
      <c r="D1224" s="17" t="n">
        <v>0.6458333333333334</v>
      </c>
      <c r="E1224" t="inlineStr">
        <is>
          <t>Day</t>
        </is>
      </c>
      <c r="F1224" t="inlineStr">
        <is>
          <t>Aug</t>
        </is>
      </c>
      <c r="G1224" s="18">
        <f>IF(D1224&lt;C1224,D1224+1-C1224,D1224-C1224)*24</f>
        <v/>
      </c>
      <c r="H1224" s="18">
        <f>MAX(0,G1224-8)</f>
        <v/>
      </c>
    </row>
    <row r="1225">
      <c r="A1225" t="n">
        <v>1211</v>
      </c>
      <c r="B1225" s="14" t="n">
        <v>46237</v>
      </c>
      <c r="C1225" s="17" t="n">
        <v>0.2708333333333333</v>
      </c>
      <c r="D1225" s="17" t="n">
        <v>0.6458333333333334</v>
      </c>
      <c r="E1225" t="inlineStr">
        <is>
          <t>Day</t>
        </is>
      </c>
      <c r="F1225" t="inlineStr">
        <is>
          <t>Aug</t>
        </is>
      </c>
      <c r="G1225" s="18">
        <f>IF(D1225&lt;C1225,D1225+1-C1225,D1225-C1225)*24</f>
        <v/>
      </c>
      <c r="H1225" s="18">
        <f>MAX(0,G1225-8)</f>
        <v/>
      </c>
    </row>
    <row r="1226">
      <c r="A1226" t="n">
        <v>1212</v>
      </c>
      <c r="B1226" s="14" t="n">
        <v>46237</v>
      </c>
      <c r="C1226" s="17" t="n">
        <v>0.25</v>
      </c>
      <c r="D1226" s="17" t="n">
        <v>0.625</v>
      </c>
      <c r="E1226" t="inlineStr">
        <is>
          <t>Day</t>
        </is>
      </c>
      <c r="F1226" t="inlineStr">
        <is>
          <t>Aug</t>
        </is>
      </c>
      <c r="G1226" s="18">
        <f>IF(D1226&lt;C1226,D1226+1-C1226,D1226-C1226)*24</f>
        <v/>
      </c>
      <c r="H1226" s="18">
        <f>MAX(0,G1226-8)</f>
        <v/>
      </c>
    </row>
    <row r="1227">
      <c r="A1227" t="n">
        <v>1213</v>
      </c>
      <c r="B1227" s="14" t="n">
        <v>46237</v>
      </c>
      <c r="C1227" s="17" t="n">
        <v>0.25</v>
      </c>
      <c r="D1227" s="17" t="n">
        <v>0.5833333333333334</v>
      </c>
      <c r="E1227" t="inlineStr">
        <is>
          <t>Day</t>
        </is>
      </c>
      <c r="F1227" t="inlineStr">
        <is>
          <t>Aug</t>
        </is>
      </c>
      <c r="G1227" s="18">
        <f>IF(D1227&lt;C1227,D1227+1-C1227,D1227-C1227)*24</f>
        <v/>
      </c>
      <c r="H1227" s="18">
        <f>MAX(0,G1227-8)</f>
        <v/>
      </c>
    </row>
    <row r="1228">
      <c r="A1228" t="n">
        <v>1214</v>
      </c>
      <c r="B1228" s="14" t="n">
        <v>46237</v>
      </c>
      <c r="C1228" s="17" t="n">
        <v>0.25</v>
      </c>
      <c r="D1228" s="17" t="n">
        <v>0.625</v>
      </c>
      <c r="E1228" t="inlineStr">
        <is>
          <t>Day</t>
        </is>
      </c>
      <c r="F1228" t="inlineStr">
        <is>
          <t>Aug</t>
        </is>
      </c>
      <c r="G1228" s="18">
        <f>IF(D1228&lt;C1228,D1228+1-C1228,D1228-C1228)*24</f>
        <v/>
      </c>
      <c r="H1228" s="18">
        <f>MAX(0,G1228-8)</f>
        <v/>
      </c>
    </row>
    <row r="1229">
      <c r="A1229" t="n">
        <v>1215</v>
      </c>
      <c r="B1229" s="14" t="n">
        <v>46237</v>
      </c>
      <c r="C1229" s="17" t="n">
        <v>0.25</v>
      </c>
      <c r="D1229" s="17" t="n">
        <v>0.6666666666666666</v>
      </c>
      <c r="E1229" t="inlineStr">
        <is>
          <t>Day</t>
        </is>
      </c>
      <c r="F1229" t="inlineStr">
        <is>
          <t>Aug</t>
        </is>
      </c>
      <c r="G1229" s="18">
        <f>IF(D1229&lt;C1229,D1229+1-C1229,D1229-C1229)*24</f>
        <v/>
      </c>
      <c r="H1229" s="18">
        <f>MAX(0,G1229-8)</f>
        <v/>
      </c>
    </row>
    <row r="1230">
      <c r="A1230" t="n">
        <v>1216</v>
      </c>
      <c r="B1230" s="14" t="n">
        <v>46237</v>
      </c>
      <c r="C1230" s="17" t="n">
        <v>0.2708333333333333</v>
      </c>
      <c r="D1230" s="17" t="n">
        <v>0.6041666666666666</v>
      </c>
      <c r="E1230" t="inlineStr">
        <is>
          <t>Day</t>
        </is>
      </c>
      <c r="F1230" t="inlineStr">
        <is>
          <t>Aug</t>
        </is>
      </c>
      <c r="G1230" s="18">
        <f>IF(D1230&lt;C1230,D1230+1-C1230,D1230-C1230)*24</f>
        <v/>
      </c>
      <c r="H1230" s="18">
        <f>MAX(0,G1230-8)</f>
        <v/>
      </c>
    </row>
    <row r="1231">
      <c r="A1231" t="n">
        <v>1217</v>
      </c>
      <c r="B1231" s="14" t="n">
        <v>46237</v>
      </c>
      <c r="C1231" s="17" t="n">
        <v>0.25</v>
      </c>
      <c r="D1231" s="17" t="n">
        <v>0.6041666666666666</v>
      </c>
      <c r="E1231" t="inlineStr">
        <is>
          <t>Day</t>
        </is>
      </c>
      <c r="F1231" t="inlineStr">
        <is>
          <t>Aug</t>
        </is>
      </c>
      <c r="G1231" s="18">
        <f>IF(D1231&lt;C1231,D1231+1-C1231,D1231-C1231)*24</f>
        <v/>
      </c>
      <c r="H1231" s="18">
        <f>MAX(0,G1231-8)</f>
        <v/>
      </c>
    </row>
    <row r="1232">
      <c r="A1232" t="n">
        <v>1218</v>
      </c>
      <c r="B1232" s="14" t="n">
        <v>46237</v>
      </c>
      <c r="C1232" s="17" t="n">
        <v>0.25</v>
      </c>
      <c r="D1232" s="17" t="n">
        <v>0.6666666666666666</v>
      </c>
      <c r="E1232" t="inlineStr">
        <is>
          <t>Day</t>
        </is>
      </c>
      <c r="F1232" t="inlineStr">
        <is>
          <t>Aug</t>
        </is>
      </c>
      <c r="G1232" s="18">
        <f>IF(D1232&lt;C1232,D1232+1-C1232,D1232-C1232)*24</f>
        <v/>
      </c>
      <c r="H1232" s="18">
        <f>MAX(0,G1232-8)</f>
        <v/>
      </c>
    </row>
    <row r="1233">
      <c r="A1233" t="n">
        <v>1219</v>
      </c>
      <c r="B1233" s="14" t="n">
        <v>46237</v>
      </c>
      <c r="C1233" s="17" t="n">
        <v>0.25</v>
      </c>
      <c r="D1233" s="17" t="n">
        <v>0.5833333333333334</v>
      </c>
      <c r="E1233" t="inlineStr">
        <is>
          <t>Day</t>
        </is>
      </c>
      <c r="F1233" t="inlineStr">
        <is>
          <t>Aug</t>
        </is>
      </c>
      <c r="G1233" s="18">
        <f>IF(D1233&lt;C1233,D1233+1-C1233,D1233-C1233)*24</f>
        <v/>
      </c>
      <c r="H1233" s="18">
        <f>MAX(0,G1233-8)</f>
        <v/>
      </c>
    </row>
    <row r="1234">
      <c r="A1234" t="n">
        <v>1220</v>
      </c>
      <c r="B1234" s="14" t="n">
        <v>46237</v>
      </c>
      <c r="C1234" s="17" t="n">
        <v>0.25</v>
      </c>
      <c r="D1234" s="17" t="n">
        <v>0.5833333333333334</v>
      </c>
      <c r="E1234" t="inlineStr">
        <is>
          <t>Day</t>
        </is>
      </c>
      <c r="F1234" t="inlineStr">
        <is>
          <t>Aug</t>
        </is>
      </c>
      <c r="G1234" s="18">
        <f>IF(D1234&lt;C1234,D1234+1-C1234,D1234-C1234)*24</f>
        <v/>
      </c>
      <c r="H1234" s="18">
        <f>MAX(0,G1234-8)</f>
        <v/>
      </c>
    </row>
    <row r="1235">
      <c r="A1235" t="n">
        <v>1101</v>
      </c>
      <c r="B1235" s="14" t="n">
        <v>46238</v>
      </c>
      <c r="C1235" s="17" t="n">
        <v>0.9166666666666666</v>
      </c>
      <c r="D1235" s="17" t="n">
        <v>0.25</v>
      </c>
      <c r="E1235" t="inlineStr">
        <is>
          <t>Night</t>
        </is>
      </c>
      <c r="F1235" t="inlineStr">
        <is>
          <t>Aug</t>
        </is>
      </c>
      <c r="G1235" s="18">
        <f>IF(D1235&lt;C1235,D1235+1-C1235,D1235-C1235)*24</f>
        <v/>
      </c>
      <c r="H1235" s="18">
        <f>MAX(0,G1235-8)</f>
        <v/>
      </c>
    </row>
    <row r="1236">
      <c r="A1236" t="n">
        <v>1102</v>
      </c>
      <c r="B1236" s="14" t="n">
        <v>46238</v>
      </c>
      <c r="C1236" s="17" t="n">
        <v>0.9270833333333334</v>
      </c>
      <c r="D1236" s="17" t="n">
        <v>0.3020833333333333</v>
      </c>
      <c r="E1236" t="inlineStr">
        <is>
          <t>Night</t>
        </is>
      </c>
      <c r="F1236" t="inlineStr">
        <is>
          <t>Aug</t>
        </is>
      </c>
      <c r="G1236" s="18">
        <f>IF(D1236&lt;C1236,D1236+1-C1236,D1236-C1236)*24</f>
        <v/>
      </c>
      <c r="H1236" s="18">
        <f>MAX(0,G1236-8)</f>
        <v/>
      </c>
    </row>
    <row r="1237">
      <c r="A1237" t="n">
        <v>1104</v>
      </c>
      <c r="B1237" s="14" t="n">
        <v>46238</v>
      </c>
      <c r="C1237" s="17" t="n">
        <v>0.9166666666666666</v>
      </c>
      <c r="D1237" s="17" t="n">
        <v>0.3125</v>
      </c>
      <c r="E1237" t="inlineStr">
        <is>
          <t>Night</t>
        </is>
      </c>
      <c r="F1237" t="inlineStr">
        <is>
          <t>Aug</t>
        </is>
      </c>
      <c r="G1237" s="18">
        <f>IF(D1237&lt;C1237,D1237+1-C1237,D1237-C1237)*24</f>
        <v/>
      </c>
      <c r="H1237" s="18">
        <f>MAX(0,G1237-8)</f>
        <v/>
      </c>
    </row>
    <row r="1238">
      <c r="A1238" t="n">
        <v>1107</v>
      </c>
      <c r="B1238" s="14" t="n">
        <v>46238</v>
      </c>
      <c r="C1238" s="17" t="n">
        <v>0.9375</v>
      </c>
      <c r="D1238" s="17" t="n">
        <v>0.2708333333333333</v>
      </c>
      <c r="E1238" t="inlineStr">
        <is>
          <t>Night</t>
        </is>
      </c>
      <c r="F1238" t="inlineStr">
        <is>
          <t>Aug</t>
        </is>
      </c>
      <c r="G1238" s="18">
        <f>IF(D1238&lt;C1238,D1238+1-C1238,D1238-C1238)*24</f>
        <v/>
      </c>
      <c r="H1238" s="18">
        <f>MAX(0,G1238-8)</f>
        <v/>
      </c>
    </row>
    <row r="1239">
      <c r="A1239" t="n">
        <v>1109</v>
      </c>
      <c r="B1239" s="14" t="n">
        <v>46238</v>
      </c>
      <c r="C1239" s="17" t="n">
        <v>0.9270833333333334</v>
      </c>
      <c r="D1239" s="17" t="n">
        <v>0.3020833333333333</v>
      </c>
      <c r="E1239" t="inlineStr">
        <is>
          <t>Night</t>
        </is>
      </c>
      <c r="F1239" t="inlineStr">
        <is>
          <t>Aug</t>
        </is>
      </c>
      <c r="G1239" s="18">
        <f>IF(D1239&lt;C1239,D1239+1-C1239,D1239-C1239)*24</f>
        <v/>
      </c>
      <c r="H1239" s="18">
        <f>MAX(0,G1239-8)</f>
        <v/>
      </c>
    </row>
    <row r="1240">
      <c r="A1240" t="n">
        <v>1110</v>
      </c>
      <c r="B1240" s="14" t="n">
        <v>46238</v>
      </c>
      <c r="C1240" s="17" t="n">
        <v>0.9166666666666666</v>
      </c>
      <c r="D1240" s="17" t="n">
        <v>0.3541666666666667</v>
      </c>
      <c r="E1240" t="inlineStr">
        <is>
          <t>Night</t>
        </is>
      </c>
      <c r="F1240" t="inlineStr">
        <is>
          <t>Aug</t>
        </is>
      </c>
      <c r="G1240" s="18">
        <f>IF(D1240&lt;C1240,D1240+1-C1240,D1240-C1240)*24</f>
        <v/>
      </c>
      <c r="H1240" s="18">
        <f>MAX(0,G1240-8)</f>
        <v/>
      </c>
    </row>
    <row r="1241">
      <c r="A1241" t="n">
        <v>1111</v>
      </c>
      <c r="B1241" s="14" t="n">
        <v>46238</v>
      </c>
      <c r="C1241" s="17" t="n">
        <v>0.9166666666666666</v>
      </c>
      <c r="D1241" s="17" t="n">
        <v>0.3541666666666667</v>
      </c>
      <c r="E1241" t="inlineStr">
        <is>
          <t>Night</t>
        </is>
      </c>
      <c r="F1241" t="inlineStr">
        <is>
          <t>Aug</t>
        </is>
      </c>
      <c r="G1241" s="18">
        <f>IF(D1241&lt;C1241,D1241+1-C1241,D1241-C1241)*24</f>
        <v/>
      </c>
      <c r="H1241" s="18">
        <f>MAX(0,G1241-8)</f>
        <v/>
      </c>
    </row>
    <row r="1242">
      <c r="A1242" t="n">
        <v>1112</v>
      </c>
      <c r="B1242" s="14" t="n">
        <v>46238</v>
      </c>
      <c r="C1242" s="17" t="n">
        <v>0.9166666666666666</v>
      </c>
      <c r="D1242" s="17" t="n">
        <v>0.3541666666666667</v>
      </c>
      <c r="E1242" t="inlineStr">
        <is>
          <t>Night</t>
        </is>
      </c>
      <c r="F1242" t="inlineStr">
        <is>
          <t>Aug</t>
        </is>
      </c>
      <c r="G1242" s="18">
        <f>IF(D1242&lt;C1242,D1242+1-C1242,D1242-C1242)*24</f>
        <v/>
      </c>
      <c r="H1242" s="18">
        <f>MAX(0,G1242-8)</f>
        <v/>
      </c>
    </row>
    <row r="1243">
      <c r="A1243" t="n">
        <v>1113</v>
      </c>
      <c r="B1243" s="14" t="n">
        <v>46238</v>
      </c>
      <c r="C1243" s="17" t="n">
        <v>0.9375</v>
      </c>
      <c r="D1243" s="17" t="n">
        <v>0.2916666666666667</v>
      </c>
      <c r="E1243" t="inlineStr">
        <is>
          <t>Night</t>
        </is>
      </c>
      <c r="F1243" t="inlineStr">
        <is>
          <t>Aug</t>
        </is>
      </c>
      <c r="G1243" s="18">
        <f>IF(D1243&lt;C1243,D1243+1-C1243,D1243-C1243)*24</f>
        <v/>
      </c>
      <c r="H1243" s="18">
        <f>MAX(0,G1243-8)</f>
        <v/>
      </c>
    </row>
    <row r="1244">
      <c r="A1244" t="n">
        <v>1114</v>
      </c>
      <c r="B1244" s="14" t="n">
        <v>46238</v>
      </c>
      <c r="C1244" s="17" t="n">
        <v>0.9270833333333334</v>
      </c>
      <c r="D1244" s="17" t="n">
        <v>0.3020833333333333</v>
      </c>
      <c r="E1244" t="inlineStr">
        <is>
          <t>Night</t>
        </is>
      </c>
      <c r="F1244" t="inlineStr">
        <is>
          <t>Aug</t>
        </is>
      </c>
      <c r="G1244" s="18">
        <f>IF(D1244&lt;C1244,D1244+1-C1244,D1244-C1244)*24</f>
        <v/>
      </c>
      <c r="H1244" s="18">
        <f>MAX(0,G1244-8)</f>
        <v/>
      </c>
    </row>
    <row r="1245">
      <c r="A1245" t="n">
        <v>1115</v>
      </c>
      <c r="B1245" s="14" t="n">
        <v>46238</v>
      </c>
      <c r="C1245" s="17" t="n">
        <v>0.9166666666666666</v>
      </c>
      <c r="D1245" s="17" t="n">
        <v>0.2708333333333333</v>
      </c>
      <c r="E1245" t="inlineStr">
        <is>
          <t>Night</t>
        </is>
      </c>
      <c r="F1245" t="inlineStr">
        <is>
          <t>Aug</t>
        </is>
      </c>
      <c r="G1245" s="18">
        <f>IF(D1245&lt;C1245,D1245+1-C1245,D1245-C1245)*24</f>
        <v/>
      </c>
      <c r="H1245" s="18">
        <f>MAX(0,G1245-8)</f>
        <v/>
      </c>
    </row>
    <row r="1246">
      <c r="A1246" t="n">
        <v>1116</v>
      </c>
      <c r="B1246" s="14" t="n">
        <v>46238</v>
      </c>
      <c r="C1246" s="17" t="n">
        <v>0.9166666666666666</v>
      </c>
      <c r="D1246" s="17" t="n">
        <v>0.2708333333333333</v>
      </c>
      <c r="E1246" t="inlineStr">
        <is>
          <t>Night</t>
        </is>
      </c>
      <c r="F1246" t="inlineStr">
        <is>
          <t>Aug</t>
        </is>
      </c>
      <c r="G1246" s="18">
        <f>IF(D1246&lt;C1246,D1246+1-C1246,D1246-C1246)*24</f>
        <v/>
      </c>
      <c r="H1246" s="18">
        <f>MAX(0,G1246-8)</f>
        <v/>
      </c>
    </row>
    <row r="1247">
      <c r="A1247" t="n">
        <v>1117</v>
      </c>
      <c r="B1247" s="14" t="n">
        <v>46238</v>
      </c>
      <c r="C1247" s="17" t="n">
        <v>0.9166666666666666</v>
      </c>
      <c r="D1247" s="17" t="n">
        <v>0.3125</v>
      </c>
      <c r="E1247" t="inlineStr">
        <is>
          <t>Night</t>
        </is>
      </c>
      <c r="F1247" t="inlineStr">
        <is>
          <t>Aug</t>
        </is>
      </c>
      <c r="G1247" s="18">
        <f>IF(D1247&lt;C1247,D1247+1-C1247,D1247-C1247)*24</f>
        <v/>
      </c>
      <c r="H1247" s="18">
        <f>MAX(0,G1247-8)</f>
        <v/>
      </c>
    </row>
    <row r="1248">
      <c r="A1248" t="n">
        <v>1119</v>
      </c>
      <c r="B1248" s="14" t="n">
        <v>46238</v>
      </c>
      <c r="C1248" s="17" t="n">
        <v>0.9166666666666666</v>
      </c>
      <c r="D1248" s="17" t="n">
        <v>0.3333333333333333</v>
      </c>
      <c r="E1248" t="inlineStr">
        <is>
          <t>Night</t>
        </is>
      </c>
      <c r="F1248" t="inlineStr">
        <is>
          <t>Aug</t>
        </is>
      </c>
      <c r="G1248" s="18">
        <f>IF(D1248&lt;C1248,D1248+1-C1248,D1248-C1248)*24</f>
        <v/>
      </c>
      <c r="H1248" s="18">
        <f>MAX(0,G1248-8)</f>
        <v/>
      </c>
    </row>
    <row r="1249">
      <c r="A1249" t="n">
        <v>1120</v>
      </c>
      <c r="B1249" s="14" t="n">
        <v>46238</v>
      </c>
      <c r="C1249" s="17" t="n">
        <v>0.9166666666666666</v>
      </c>
      <c r="D1249" s="17" t="n">
        <v>0.375</v>
      </c>
      <c r="E1249" t="inlineStr">
        <is>
          <t>Night</t>
        </is>
      </c>
      <c r="F1249" t="inlineStr">
        <is>
          <t>Aug</t>
        </is>
      </c>
      <c r="G1249" s="18">
        <f>IF(D1249&lt;C1249,D1249+1-C1249,D1249-C1249)*24</f>
        <v/>
      </c>
      <c r="H1249" s="18">
        <f>MAX(0,G1249-8)</f>
        <v/>
      </c>
    </row>
    <row r="1250">
      <c r="A1250" t="n">
        <v>1121</v>
      </c>
      <c r="B1250" s="14" t="n">
        <v>46238</v>
      </c>
      <c r="C1250" s="17" t="n">
        <v>0.9166666666666666</v>
      </c>
      <c r="D1250" s="17" t="n">
        <v>0.3125</v>
      </c>
      <c r="E1250" t="inlineStr">
        <is>
          <t>Night</t>
        </is>
      </c>
      <c r="F1250" t="inlineStr">
        <is>
          <t>Aug</t>
        </is>
      </c>
      <c r="G1250" s="18">
        <f>IF(D1250&lt;C1250,D1250+1-C1250,D1250-C1250)*24</f>
        <v/>
      </c>
      <c r="H1250" s="18">
        <f>MAX(0,G1250-8)</f>
        <v/>
      </c>
    </row>
    <row r="1251">
      <c r="A1251" t="n">
        <v>1122</v>
      </c>
      <c r="B1251" s="14" t="n">
        <v>46238</v>
      </c>
      <c r="C1251" s="17" t="n">
        <v>0.9166666666666666</v>
      </c>
      <c r="D1251" s="17" t="n">
        <v>0.25</v>
      </c>
      <c r="E1251" t="inlineStr">
        <is>
          <t>Night</t>
        </is>
      </c>
      <c r="F1251" t="inlineStr">
        <is>
          <t>Aug</t>
        </is>
      </c>
      <c r="G1251" s="18">
        <f>IF(D1251&lt;C1251,D1251+1-C1251,D1251-C1251)*24</f>
        <v/>
      </c>
      <c r="H1251" s="18">
        <f>MAX(0,G1251-8)</f>
        <v/>
      </c>
    </row>
    <row r="1252">
      <c r="A1252" t="n">
        <v>1123</v>
      </c>
      <c r="B1252" s="14" t="n">
        <v>46238</v>
      </c>
      <c r="C1252" s="17" t="n">
        <v>0.9166666666666666</v>
      </c>
      <c r="D1252" s="17" t="n">
        <v>0.2916666666666667</v>
      </c>
      <c r="E1252" t="inlineStr">
        <is>
          <t>Night</t>
        </is>
      </c>
      <c r="F1252" t="inlineStr">
        <is>
          <t>Aug</t>
        </is>
      </c>
      <c r="G1252" s="18">
        <f>IF(D1252&lt;C1252,D1252+1-C1252,D1252-C1252)*24</f>
        <v/>
      </c>
      <c r="H1252" s="18">
        <f>MAX(0,G1252-8)</f>
        <v/>
      </c>
    </row>
    <row r="1253">
      <c r="A1253" t="n">
        <v>1124</v>
      </c>
      <c r="B1253" s="14" t="n">
        <v>46238</v>
      </c>
      <c r="C1253" s="17" t="n">
        <v>0.9270833333333334</v>
      </c>
      <c r="D1253" s="17" t="n">
        <v>0.28125</v>
      </c>
      <c r="E1253" t="inlineStr">
        <is>
          <t>Night</t>
        </is>
      </c>
      <c r="F1253" t="inlineStr">
        <is>
          <t>Aug</t>
        </is>
      </c>
      <c r="G1253" s="18">
        <f>IF(D1253&lt;C1253,D1253+1-C1253,D1253-C1253)*24</f>
        <v/>
      </c>
      <c r="H1253" s="18">
        <f>MAX(0,G1253-8)</f>
        <v/>
      </c>
    </row>
    <row r="1254">
      <c r="A1254" t="n">
        <v>1125</v>
      </c>
      <c r="B1254" s="14" t="n">
        <v>46238</v>
      </c>
      <c r="C1254" s="17" t="n">
        <v>0.9375</v>
      </c>
      <c r="D1254" s="17" t="n">
        <v>0.3541666666666667</v>
      </c>
      <c r="E1254" t="inlineStr">
        <is>
          <t>Night</t>
        </is>
      </c>
      <c r="F1254" t="inlineStr">
        <is>
          <t>Aug</t>
        </is>
      </c>
      <c r="G1254" s="18">
        <f>IF(D1254&lt;C1254,D1254+1-C1254,D1254-C1254)*24</f>
        <v/>
      </c>
      <c r="H1254" s="18">
        <f>MAX(0,G1254-8)</f>
        <v/>
      </c>
    </row>
    <row r="1255">
      <c r="A1255" t="n">
        <v>1126</v>
      </c>
      <c r="B1255" s="14" t="n">
        <v>46238</v>
      </c>
      <c r="C1255" s="17" t="n">
        <v>0.9166666666666666</v>
      </c>
      <c r="D1255" s="17" t="n">
        <v>0.25</v>
      </c>
      <c r="E1255" t="inlineStr">
        <is>
          <t>Night</t>
        </is>
      </c>
      <c r="F1255" t="inlineStr">
        <is>
          <t>Aug</t>
        </is>
      </c>
      <c r="G1255" s="18">
        <f>IF(D1255&lt;C1255,D1255+1-C1255,D1255-C1255)*24</f>
        <v/>
      </c>
      <c r="H1255" s="18">
        <f>MAX(0,G1255-8)</f>
        <v/>
      </c>
    </row>
    <row r="1256">
      <c r="A1256" t="n">
        <v>1127</v>
      </c>
      <c r="B1256" s="14" t="n">
        <v>46238</v>
      </c>
      <c r="C1256" s="17" t="n">
        <v>0.9166666666666666</v>
      </c>
      <c r="D1256" s="17" t="n">
        <v>0.25</v>
      </c>
      <c r="E1256" t="inlineStr">
        <is>
          <t>Night</t>
        </is>
      </c>
      <c r="F1256" t="inlineStr">
        <is>
          <t>Aug</t>
        </is>
      </c>
      <c r="G1256" s="18">
        <f>IF(D1256&lt;C1256,D1256+1-C1256,D1256-C1256)*24</f>
        <v/>
      </c>
      <c r="H1256" s="18">
        <f>MAX(0,G1256-8)</f>
        <v/>
      </c>
    </row>
    <row r="1257">
      <c r="A1257" t="n">
        <v>1128</v>
      </c>
      <c r="B1257" s="14" t="n">
        <v>46238</v>
      </c>
      <c r="C1257" s="17" t="n">
        <v>0.9166666666666666</v>
      </c>
      <c r="D1257" s="17" t="n">
        <v>0.3125</v>
      </c>
      <c r="E1257" t="inlineStr">
        <is>
          <t>Night</t>
        </is>
      </c>
      <c r="F1257" t="inlineStr">
        <is>
          <t>Aug</t>
        </is>
      </c>
      <c r="G1257" s="18">
        <f>IF(D1257&lt;C1257,D1257+1-C1257,D1257-C1257)*24</f>
        <v/>
      </c>
      <c r="H1257" s="18">
        <f>MAX(0,G1257-8)</f>
        <v/>
      </c>
    </row>
    <row r="1258">
      <c r="A1258" t="n">
        <v>1129</v>
      </c>
      <c r="B1258" s="14" t="n">
        <v>46238</v>
      </c>
      <c r="C1258" s="17" t="n">
        <v>0.9166666666666666</v>
      </c>
      <c r="D1258" s="17" t="n">
        <v>0.2708333333333333</v>
      </c>
      <c r="E1258" t="inlineStr">
        <is>
          <t>Night</t>
        </is>
      </c>
      <c r="F1258" t="inlineStr">
        <is>
          <t>Aug</t>
        </is>
      </c>
      <c r="G1258" s="18">
        <f>IF(D1258&lt;C1258,D1258+1-C1258,D1258-C1258)*24</f>
        <v/>
      </c>
      <c r="H1258" s="18">
        <f>MAX(0,G1258-8)</f>
        <v/>
      </c>
    </row>
    <row r="1259">
      <c r="A1259" t="n">
        <v>1130</v>
      </c>
      <c r="B1259" s="14" t="n">
        <v>46238</v>
      </c>
      <c r="C1259" s="17" t="n">
        <v>0.9166666666666666</v>
      </c>
      <c r="D1259" s="17" t="n">
        <v>0.25</v>
      </c>
      <c r="E1259" t="inlineStr">
        <is>
          <t>Night</t>
        </is>
      </c>
      <c r="F1259" t="inlineStr">
        <is>
          <t>Aug</t>
        </is>
      </c>
      <c r="G1259" s="18">
        <f>IF(D1259&lt;C1259,D1259+1-C1259,D1259-C1259)*24</f>
        <v/>
      </c>
      <c r="H1259" s="18">
        <f>MAX(0,G1259-8)</f>
        <v/>
      </c>
    </row>
    <row r="1260">
      <c r="A1260" t="n">
        <v>1131</v>
      </c>
      <c r="B1260" s="14" t="n">
        <v>46238</v>
      </c>
      <c r="C1260" s="17" t="n">
        <v>0.9166666666666666</v>
      </c>
      <c r="D1260" s="17" t="n">
        <v>0.2708333333333333</v>
      </c>
      <c r="E1260" t="inlineStr">
        <is>
          <t>Night</t>
        </is>
      </c>
      <c r="F1260" t="inlineStr">
        <is>
          <t>Aug</t>
        </is>
      </c>
      <c r="G1260" s="18">
        <f>IF(D1260&lt;C1260,D1260+1-C1260,D1260-C1260)*24</f>
        <v/>
      </c>
      <c r="H1260" s="18">
        <f>MAX(0,G1260-8)</f>
        <v/>
      </c>
    </row>
    <row r="1261">
      <c r="A1261" t="n">
        <v>1132</v>
      </c>
      <c r="B1261" s="14" t="n">
        <v>46238</v>
      </c>
      <c r="C1261" s="17" t="n">
        <v>0.9375</v>
      </c>
      <c r="D1261" s="17" t="n">
        <v>0.3958333333333333</v>
      </c>
      <c r="E1261" t="inlineStr">
        <is>
          <t>Night</t>
        </is>
      </c>
      <c r="F1261" t="inlineStr">
        <is>
          <t>Aug</t>
        </is>
      </c>
      <c r="G1261" s="18">
        <f>IF(D1261&lt;C1261,D1261+1-C1261,D1261-C1261)*24</f>
        <v/>
      </c>
      <c r="H1261" s="18">
        <f>MAX(0,G1261-8)</f>
        <v/>
      </c>
    </row>
    <row r="1262">
      <c r="A1262" t="n">
        <v>1133</v>
      </c>
      <c r="B1262" s="14" t="n">
        <v>46238</v>
      </c>
      <c r="C1262" s="17" t="n">
        <v>0.9166666666666666</v>
      </c>
      <c r="D1262" s="17" t="n">
        <v>0.3958333333333333</v>
      </c>
      <c r="E1262" t="inlineStr">
        <is>
          <t>Night</t>
        </is>
      </c>
      <c r="F1262" t="inlineStr">
        <is>
          <t>Aug</t>
        </is>
      </c>
      <c r="G1262" s="18">
        <f>IF(D1262&lt;C1262,D1262+1-C1262,D1262-C1262)*24</f>
        <v/>
      </c>
      <c r="H1262" s="18">
        <f>MAX(0,G1262-8)</f>
        <v/>
      </c>
    </row>
    <row r="1263">
      <c r="A1263" t="n">
        <v>1135</v>
      </c>
      <c r="B1263" s="14" t="n">
        <v>46238</v>
      </c>
      <c r="C1263" s="17" t="n">
        <v>0.9375</v>
      </c>
      <c r="D1263" s="17" t="n">
        <v>0.3958333333333333</v>
      </c>
      <c r="E1263" t="inlineStr">
        <is>
          <t>Night</t>
        </is>
      </c>
      <c r="F1263" t="inlineStr">
        <is>
          <t>Aug</t>
        </is>
      </c>
      <c r="G1263" s="18">
        <f>IF(D1263&lt;C1263,D1263+1-C1263,D1263-C1263)*24</f>
        <v/>
      </c>
      <c r="H1263" s="18">
        <f>MAX(0,G1263-8)</f>
        <v/>
      </c>
    </row>
    <row r="1264">
      <c r="A1264" t="n">
        <v>1136</v>
      </c>
      <c r="B1264" s="14" t="n">
        <v>46238</v>
      </c>
      <c r="C1264" s="17" t="n">
        <v>0.9166666666666666</v>
      </c>
      <c r="D1264" s="17" t="n">
        <v>0.2708333333333333</v>
      </c>
      <c r="E1264" t="inlineStr">
        <is>
          <t>Night</t>
        </is>
      </c>
      <c r="F1264" t="inlineStr">
        <is>
          <t>Aug</t>
        </is>
      </c>
      <c r="G1264" s="18">
        <f>IF(D1264&lt;C1264,D1264+1-C1264,D1264-C1264)*24</f>
        <v/>
      </c>
      <c r="H1264" s="18">
        <f>MAX(0,G1264-8)</f>
        <v/>
      </c>
    </row>
    <row r="1265">
      <c r="A1265" t="n">
        <v>1137</v>
      </c>
      <c r="B1265" s="14" t="n">
        <v>46238</v>
      </c>
      <c r="C1265" s="17" t="n">
        <v>0.9375</v>
      </c>
      <c r="D1265" s="17" t="n">
        <v>0.4166666666666667</v>
      </c>
      <c r="E1265" t="inlineStr">
        <is>
          <t>Night</t>
        </is>
      </c>
      <c r="F1265" t="inlineStr">
        <is>
          <t>Aug</t>
        </is>
      </c>
      <c r="G1265" s="18">
        <f>IF(D1265&lt;C1265,D1265+1-C1265,D1265-C1265)*24</f>
        <v/>
      </c>
      <c r="H1265" s="18">
        <f>MAX(0,G1265-8)</f>
        <v/>
      </c>
    </row>
    <row r="1266">
      <c r="A1266" t="n">
        <v>1147</v>
      </c>
      <c r="B1266" s="14" t="n">
        <v>46238</v>
      </c>
      <c r="C1266" s="17" t="n">
        <v>0.9166666666666666</v>
      </c>
      <c r="D1266" s="17" t="n">
        <v>0.3541666666666667</v>
      </c>
      <c r="E1266" t="inlineStr">
        <is>
          <t>Night</t>
        </is>
      </c>
      <c r="F1266" t="inlineStr">
        <is>
          <t>Aug</t>
        </is>
      </c>
      <c r="G1266" s="18">
        <f>IF(D1266&lt;C1266,D1266+1-C1266,D1266-C1266)*24</f>
        <v/>
      </c>
      <c r="H1266" s="18">
        <f>MAX(0,G1266-8)</f>
        <v/>
      </c>
    </row>
    <row r="1267">
      <c r="A1267" t="n">
        <v>1106</v>
      </c>
      <c r="B1267" s="14" t="n">
        <v>46238</v>
      </c>
      <c r="C1267" s="17" t="n">
        <v>0.01041666666666667</v>
      </c>
      <c r="D1267" s="17" t="n">
        <v>0.3645833333333333</v>
      </c>
      <c r="E1267" t="inlineStr">
        <is>
          <t>Night</t>
        </is>
      </c>
      <c r="F1267" t="inlineStr">
        <is>
          <t>Aug</t>
        </is>
      </c>
      <c r="G1267" s="18">
        <f>IF(D1267&lt;C1267,D1267+1-C1267,D1267-C1267)*24</f>
        <v/>
      </c>
      <c r="H1267" s="18">
        <f>MAX(0,G1267-8)</f>
        <v/>
      </c>
    </row>
    <row r="1268">
      <c r="A1268" t="n">
        <v>1118</v>
      </c>
      <c r="B1268" s="14" t="n">
        <v>46238</v>
      </c>
      <c r="C1268" s="17" t="n">
        <v>0.01041666666666667</v>
      </c>
      <c r="D1268" s="17" t="n">
        <v>0.3854166666666667</v>
      </c>
      <c r="E1268" t="inlineStr">
        <is>
          <t>Night</t>
        </is>
      </c>
      <c r="F1268" t="inlineStr">
        <is>
          <t>Aug</t>
        </is>
      </c>
      <c r="G1268" s="18">
        <f>IF(D1268&lt;C1268,D1268+1-C1268,D1268-C1268)*24</f>
        <v/>
      </c>
      <c r="H1268" s="18">
        <f>MAX(0,G1268-8)</f>
        <v/>
      </c>
    </row>
    <row r="1269">
      <c r="A1269" t="n">
        <v>1201</v>
      </c>
      <c r="B1269" s="14" t="n">
        <v>46238</v>
      </c>
      <c r="C1269" s="17" t="n">
        <v>0.25</v>
      </c>
      <c r="D1269" s="17" t="n">
        <v>0.5833333333333334</v>
      </c>
      <c r="E1269" t="inlineStr">
        <is>
          <t>Day</t>
        </is>
      </c>
      <c r="F1269" t="inlineStr">
        <is>
          <t>Aug</t>
        </is>
      </c>
      <c r="G1269" s="18">
        <f>IF(D1269&lt;C1269,D1269+1-C1269,D1269-C1269)*24</f>
        <v/>
      </c>
      <c r="H1269" s="18">
        <f>MAX(0,G1269-8)</f>
        <v/>
      </c>
    </row>
    <row r="1270">
      <c r="A1270" t="n">
        <v>1202</v>
      </c>
      <c r="B1270" s="14" t="n">
        <v>46238</v>
      </c>
      <c r="C1270" s="17" t="n">
        <v>0.2708333333333333</v>
      </c>
      <c r="D1270" s="17" t="n">
        <v>0.6041666666666666</v>
      </c>
      <c r="E1270" t="inlineStr">
        <is>
          <t>Day</t>
        </is>
      </c>
      <c r="F1270" t="inlineStr">
        <is>
          <t>Aug</t>
        </is>
      </c>
      <c r="G1270" s="18">
        <f>IF(D1270&lt;C1270,D1270+1-C1270,D1270-C1270)*24</f>
        <v/>
      </c>
      <c r="H1270" s="18">
        <f>MAX(0,G1270-8)</f>
        <v/>
      </c>
    </row>
    <row r="1271">
      <c r="A1271" t="n">
        <v>1203</v>
      </c>
      <c r="B1271" s="14" t="n">
        <v>46238</v>
      </c>
      <c r="C1271" s="17" t="n">
        <v>0.2708333333333333</v>
      </c>
      <c r="D1271" s="17" t="n">
        <v>0.6041666666666666</v>
      </c>
      <c r="E1271" t="inlineStr">
        <is>
          <t>Day</t>
        </is>
      </c>
      <c r="F1271" t="inlineStr">
        <is>
          <t>Aug</t>
        </is>
      </c>
      <c r="G1271" s="18">
        <f>IF(D1271&lt;C1271,D1271+1-C1271,D1271-C1271)*24</f>
        <v/>
      </c>
      <c r="H1271" s="18">
        <f>MAX(0,G1271-8)</f>
        <v/>
      </c>
    </row>
    <row r="1272">
      <c r="A1272" t="n">
        <v>1204</v>
      </c>
      <c r="B1272" s="14" t="n">
        <v>46238</v>
      </c>
      <c r="C1272" s="17" t="n">
        <v>0.25</v>
      </c>
      <c r="D1272" s="17" t="n">
        <v>0.5833333333333334</v>
      </c>
      <c r="E1272" t="inlineStr">
        <is>
          <t>Day</t>
        </is>
      </c>
      <c r="F1272" t="inlineStr">
        <is>
          <t>Aug</t>
        </is>
      </c>
      <c r="G1272" s="18">
        <f>IF(D1272&lt;C1272,D1272+1-C1272,D1272-C1272)*24</f>
        <v/>
      </c>
      <c r="H1272" s="18">
        <f>MAX(0,G1272-8)</f>
        <v/>
      </c>
    </row>
    <row r="1273">
      <c r="A1273" t="n">
        <v>1205</v>
      </c>
      <c r="B1273" s="14" t="n">
        <v>46238</v>
      </c>
      <c r="C1273" s="17" t="n">
        <v>0.25</v>
      </c>
      <c r="D1273" s="17" t="n">
        <v>0.5833333333333334</v>
      </c>
      <c r="E1273" t="inlineStr">
        <is>
          <t>Day</t>
        </is>
      </c>
      <c r="F1273" t="inlineStr">
        <is>
          <t>Aug</t>
        </is>
      </c>
      <c r="G1273" s="18">
        <f>IF(D1273&lt;C1273,D1273+1-C1273,D1273-C1273)*24</f>
        <v/>
      </c>
      <c r="H1273" s="18">
        <f>MAX(0,G1273-8)</f>
        <v/>
      </c>
    </row>
    <row r="1274">
      <c r="A1274" t="n">
        <v>1207</v>
      </c>
      <c r="B1274" s="14" t="n">
        <v>46238</v>
      </c>
      <c r="C1274" s="17" t="n">
        <v>0.2708333333333333</v>
      </c>
      <c r="D1274" s="17" t="n">
        <v>0.6458333333333334</v>
      </c>
      <c r="E1274" t="inlineStr">
        <is>
          <t>Day</t>
        </is>
      </c>
      <c r="F1274" t="inlineStr">
        <is>
          <t>Aug</t>
        </is>
      </c>
      <c r="G1274" s="18">
        <f>IF(D1274&lt;C1274,D1274+1-C1274,D1274-C1274)*24</f>
        <v/>
      </c>
      <c r="H1274" s="18">
        <f>MAX(0,G1274-8)</f>
        <v/>
      </c>
    </row>
    <row r="1275">
      <c r="A1275" t="n">
        <v>1208</v>
      </c>
      <c r="B1275" s="14" t="n">
        <v>46238</v>
      </c>
      <c r="C1275" s="17" t="n">
        <v>0.2708333333333333</v>
      </c>
      <c r="D1275" s="17" t="n">
        <v>0.625</v>
      </c>
      <c r="E1275" t="inlineStr">
        <is>
          <t>Day</t>
        </is>
      </c>
      <c r="F1275" t="inlineStr">
        <is>
          <t>Aug</t>
        </is>
      </c>
      <c r="G1275" s="18">
        <f>IF(D1275&lt;C1275,D1275+1-C1275,D1275-C1275)*24</f>
        <v/>
      </c>
      <c r="H1275" s="18">
        <f>MAX(0,G1275-8)</f>
        <v/>
      </c>
    </row>
    <row r="1276">
      <c r="A1276" t="n">
        <v>1209</v>
      </c>
      <c r="B1276" s="14" t="n">
        <v>46238</v>
      </c>
      <c r="C1276" s="17" t="n">
        <v>0.25</v>
      </c>
      <c r="D1276" s="17" t="n">
        <v>0.6041666666666666</v>
      </c>
      <c r="E1276" t="inlineStr">
        <is>
          <t>Day</t>
        </is>
      </c>
      <c r="F1276" t="inlineStr">
        <is>
          <t>Aug</t>
        </is>
      </c>
      <c r="G1276" s="18">
        <f>IF(D1276&lt;C1276,D1276+1-C1276,D1276-C1276)*24</f>
        <v/>
      </c>
      <c r="H1276" s="18">
        <f>MAX(0,G1276-8)</f>
        <v/>
      </c>
    </row>
    <row r="1277">
      <c r="A1277" t="n">
        <v>1210</v>
      </c>
      <c r="B1277" s="14" t="n">
        <v>46238</v>
      </c>
      <c r="C1277" s="17" t="n">
        <v>0.25</v>
      </c>
      <c r="D1277" s="17" t="n">
        <v>0.6041666666666666</v>
      </c>
      <c r="E1277" t="inlineStr">
        <is>
          <t>Day</t>
        </is>
      </c>
      <c r="F1277" t="inlineStr">
        <is>
          <t>Aug</t>
        </is>
      </c>
      <c r="G1277" s="18">
        <f>IF(D1277&lt;C1277,D1277+1-C1277,D1277-C1277)*24</f>
        <v/>
      </c>
      <c r="H1277" s="18">
        <f>MAX(0,G1277-8)</f>
        <v/>
      </c>
    </row>
    <row r="1278">
      <c r="A1278" t="n">
        <v>1211</v>
      </c>
      <c r="B1278" s="14" t="n">
        <v>46238</v>
      </c>
      <c r="C1278" s="17" t="n">
        <v>0.25</v>
      </c>
      <c r="D1278" s="17" t="n">
        <v>0.6041666666666666</v>
      </c>
      <c r="E1278" t="inlineStr">
        <is>
          <t>Day</t>
        </is>
      </c>
      <c r="F1278" t="inlineStr">
        <is>
          <t>Aug</t>
        </is>
      </c>
      <c r="G1278" s="18">
        <f>IF(D1278&lt;C1278,D1278+1-C1278,D1278-C1278)*24</f>
        <v/>
      </c>
      <c r="H1278" s="18">
        <f>MAX(0,G1278-8)</f>
        <v/>
      </c>
    </row>
    <row r="1279">
      <c r="A1279" t="n">
        <v>1212</v>
      </c>
      <c r="B1279" s="14" t="n">
        <v>46238</v>
      </c>
      <c r="C1279" s="17" t="n">
        <v>0.25</v>
      </c>
      <c r="D1279" s="17" t="n">
        <v>0.625</v>
      </c>
      <c r="E1279" t="inlineStr">
        <is>
          <t>Day</t>
        </is>
      </c>
      <c r="F1279" t="inlineStr">
        <is>
          <t>Aug</t>
        </is>
      </c>
      <c r="G1279" s="18">
        <f>IF(D1279&lt;C1279,D1279+1-C1279,D1279-C1279)*24</f>
        <v/>
      </c>
      <c r="H1279" s="18">
        <f>MAX(0,G1279-8)</f>
        <v/>
      </c>
    </row>
    <row r="1280">
      <c r="A1280" t="n">
        <v>1213</v>
      </c>
      <c r="B1280" s="14" t="n">
        <v>46238</v>
      </c>
      <c r="C1280" s="17" t="n">
        <v>0.2708333333333333</v>
      </c>
      <c r="D1280" s="17" t="n">
        <v>0.6041666666666666</v>
      </c>
      <c r="E1280" t="inlineStr">
        <is>
          <t>Day</t>
        </is>
      </c>
      <c r="F1280" t="inlineStr">
        <is>
          <t>Aug</t>
        </is>
      </c>
      <c r="G1280" s="18">
        <f>IF(D1280&lt;C1280,D1280+1-C1280,D1280-C1280)*24</f>
        <v/>
      </c>
      <c r="H1280" s="18">
        <f>MAX(0,G1280-8)</f>
        <v/>
      </c>
    </row>
    <row r="1281">
      <c r="A1281" t="n">
        <v>1214</v>
      </c>
      <c r="B1281" s="14" t="n">
        <v>46238</v>
      </c>
      <c r="C1281" s="17" t="n">
        <v>0.25</v>
      </c>
      <c r="D1281" s="17" t="n">
        <v>0.6041666666666666</v>
      </c>
      <c r="E1281" t="inlineStr">
        <is>
          <t>Day</t>
        </is>
      </c>
      <c r="F1281" t="inlineStr">
        <is>
          <t>Aug</t>
        </is>
      </c>
      <c r="G1281" s="18">
        <f>IF(D1281&lt;C1281,D1281+1-C1281,D1281-C1281)*24</f>
        <v/>
      </c>
      <c r="H1281" s="18">
        <f>MAX(0,G1281-8)</f>
        <v/>
      </c>
    </row>
    <row r="1282">
      <c r="A1282" t="n">
        <v>1215</v>
      </c>
      <c r="B1282" s="14" t="n">
        <v>46238</v>
      </c>
      <c r="C1282" s="17" t="n">
        <v>0.25</v>
      </c>
      <c r="D1282" s="17" t="n">
        <v>0.5833333333333334</v>
      </c>
      <c r="E1282" t="inlineStr">
        <is>
          <t>Day</t>
        </is>
      </c>
      <c r="F1282" t="inlineStr">
        <is>
          <t>Aug</t>
        </is>
      </c>
      <c r="G1282" s="18">
        <f>IF(D1282&lt;C1282,D1282+1-C1282,D1282-C1282)*24</f>
        <v/>
      </c>
      <c r="H1282" s="18">
        <f>MAX(0,G1282-8)</f>
        <v/>
      </c>
    </row>
    <row r="1283">
      <c r="A1283" t="n">
        <v>1216</v>
      </c>
      <c r="B1283" s="14" t="n">
        <v>46238</v>
      </c>
      <c r="C1283" s="17" t="n">
        <v>0.2708333333333333</v>
      </c>
      <c r="D1283" s="17" t="n">
        <v>0.6458333333333334</v>
      </c>
      <c r="E1283" t="inlineStr">
        <is>
          <t>Day</t>
        </is>
      </c>
      <c r="F1283" t="inlineStr">
        <is>
          <t>Aug</t>
        </is>
      </c>
      <c r="G1283" s="18">
        <f>IF(D1283&lt;C1283,D1283+1-C1283,D1283-C1283)*24</f>
        <v/>
      </c>
      <c r="H1283" s="18">
        <f>MAX(0,G1283-8)</f>
        <v/>
      </c>
    </row>
    <row r="1284">
      <c r="A1284" t="n">
        <v>1217</v>
      </c>
      <c r="B1284" s="14" t="n">
        <v>46238</v>
      </c>
      <c r="C1284" s="17" t="n">
        <v>0.25</v>
      </c>
      <c r="D1284" s="17" t="n">
        <v>0.6666666666666666</v>
      </c>
      <c r="E1284" t="inlineStr">
        <is>
          <t>Day</t>
        </is>
      </c>
      <c r="F1284" t="inlineStr">
        <is>
          <t>Aug</t>
        </is>
      </c>
      <c r="G1284" s="18">
        <f>IF(D1284&lt;C1284,D1284+1-C1284,D1284-C1284)*24</f>
        <v/>
      </c>
      <c r="H1284" s="18">
        <f>MAX(0,G1284-8)</f>
        <v/>
      </c>
    </row>
    <row r="1285">
      <c r="A1285" t="n">
        <v>1218</v>
      </c>
      <c r="B1285" s="14" t="n">
        <v>46238</v>
      </c>
      <c r="C1285" s="17" t="n">
        <v>0.25</v>
      </c>
      <c r="D1285" s="17" t="n">
        <v>0.6666666666666666</v>
      </c>
      <c r="E1285" t="inlineStr">
        <is>
          <t>Day</t>
        </is>
      </c>
      <c r="F1285" t="inlineStr">
        <is>
          <t>Aug</t>
        </is>
      </c>
      <c r="G1285" s="18">
        <f>IF(D1285&lt;C1285,D1285+1-C1285,D1285-C1285)*24</f>
        <v/>
      </c>
      <c r="H1285" s="18">
        <f>MAX(0,G1285-8)</f>
        <v/>
      </c>
    </row>
    <row r="1286">
      <c r="A1286" t="n">
        <v>1219</v>
      </c>
      <c r="B1286" s="14" t="n">
        <v>46238</v>
      </c>
      <c r="C1286" s="17" t="n">
        <v>0.25</v>
      </c>
      <c r="D1286" s="17" t="n">
        <v>0.6041666666666666</v>
      </c>
      <c r="E1286" t="inlineStr">
        <is>
          <t>Day</t>
        </is>
      </c>
      <c r="F1286" t="inlineStr">
        <is>
          <t>Aug</t>
        </is>
      </c>
      <c r="G1286" s="18">
        <f>IF(D1286&lt;C1286,D1286+1-C1286,D1286-C1286)*24</f>
        <v/>
      </c>
      <c r="H1286" s="18">
        <f>MAX(0,G1286-8)</f>
        <v/>
      </c>
    </row>
    <row r="1287">
      <c r="A1287" t="n">
        <v>1220</v>
      </c>
      <c r="B1287" s="14" t="n">
        <v>46238</v>
      </c>
      <c r="C1287" s="17" t="n">
        <v>0.2708333333333333</v>
      </c>
      <c r="D1287" s="17" t="n">
        <v>0.625</v>
      </c>
      <c r="E1287" t="inlineStr">
        <is>
          <t>Day</t>
        </is>
      </c>
      <c r="F1287" t="inlineStr">
        <is>
          <t>Aug</t>
        </is>
      </c>
      <c r="G1287" s="18">
        <f>IF(D1287&lt;C1287,D1287+1-C1287,D1287-C1287)*24</f>
        <v/>
      </c>
      <c r="H1287" s="18">
        <f>MAX(0,G1287-8)</f>
        <v/>
      </c>
    </row>
    <row r="1288">
      <c r="A1288" t="n">
        <v>1101</v>
      </c>
      <c r="B1288" s="14" t="n">
        <v>46239</v>
      </c>
      <c r="C1288" s="17" t="n">
        <v>0.9270833333333334</v>
      </c>
      <c r="D1288" s="17" t="n">
        <v>0.3854166666666667</v>
      </c>
      <c r="E1288" t="inlineStr">
        <is>
          <t>Night</t>
        </is>
      </c>
      <c r="F1288" t="inlineStr">
        <is>
          <t>Aug</t>
        </is>
      </c>
      <c r="G1288" s="18">
        <f>IF(D1288&lt;C1288,D1288+1-C1288,D1288-C1288)*24</f>
        <v/>
      </c>
      <c r="H1288" s="18">
        <f>MAX(0,G1288-8)</f>
        <v/>
      </c>
    </row>
    <row r="1289">
      <c r="A1289" t="n">
        <v>1103</v>
      </c>
      <c r="B1289" s="14" t="n">
        <v>46239</v>
      </c>
      <c r="C1289" s="17" t="n">
        <v>0.9166666666666666</v>
      </c>
      <c r="D1289" s="17" t="n">
        <v>0.25</v>
      </c>
      <c r="E1289" t="inlineStr">
        <is>
          <t>Night</t>
        </is>
      </c>
      <c r="F1289" t="inlineStr">
        <is>
          <t>Aug</t>
        </is>
      </c>
      <c r="G1289" s="18">
        <f>IF(D1289&lt;C1289,D1289+1-C1289,D1289-C1289)*24</f>
        <v/>
      </c>
      <c r="H1289" s="18">
        <f>MAX(0,G1289-8)</f>
        <v/>
      </c>
    </row>
    <row r="1290">
      <c r="A1290" t="n">
        <v>1106</v>
      </c>
      <c r="B1290" s="14" t="n">
        <v>46239</v>
      </c>
      <c r="C1290" s="17" t="n">
        <v>0.9166666666666666</v>
      </c>
      <c r="D1290" s="17" t="n">
        <v>0.25</v>
      </c>
      <c r="E1290" t="inlineStr">
        <is>
          <t>Night</t>
        </is>
      </c>
      <c r="F1290" t="inlineStr">
        <is>
          <t>Aug</t>
        </is>
      </c>
      <c r="G1290" s="18">
        <f>IF(D1290&lt;C1290,D1290+1-C1290,D1290-C1290)*24</f>
        <v/>
      </c>
      <c r="H1290" s="18">
        <f>MAX(0,G1290-8)</f>
        <v/>
      </c>
    </row>
    <row r="1291">
      <c r="A1291" t="n">
        <v>1107</v>
      </c>
      <c r="B1291" s="14" t="n">
        <v>46239</v>
      </c>
      <c r="C1291" s="17" t="n">
        <v>0.9166666666666666</v>
      </c>
      <c r="D1291" s="17" t="n">
        <v>0.3541666666666667</v>
      </c>
      <c r="E1291" t="inlineStr">
        <is>
          <t>Night</t>
        </is>
      </c>
      <c r="F1291" t="inlineStr">
        <is>
          <t>Aug</t>
        </is>
      </c>
      <c r="G1291" s="18">
        <f>IF(D1291&lt;C1291,D1291+1-C1291,D1291-C1291)*24</f>
        <v/>
      </c>
      <c r="H1291" s="18">
        <f>MAX(0,G1291-8)</f>
        <v/>
      </c>
    </row>
    <row r="1292">
      <c r="A1292" t="n">
        <v>1108</v>
      </c>
      <c r="B1292" s="14" t="n">
        <v>46239</v>
      </c>
      <c r="C1292" s="17" t="n">
        <v>0.9166666666666666</v>
      </c>
      <c r="D1292" s="17" t="n">
        <v>0.25</v>
      </c>
      <c r="E1292" t="inlineStr">
        <is>
          <t>Night</t>
        </is>
      </c>
      <c r="F1292" t="inlineStr">
        <is>
          <t>Aug</t>
        </is>
      </c>
      <c r="G1292" s="18">
        <f>IF(D1292&lt;C1292,D1292+1-C1292,D1292-C1292)*24</f>
        <v/>
      </c>
      <c r="H1292" s="18">
        <f>MAX(0,G1292-8)</f>
        <v/>
      </c>
    </row>
    <row r="1293">
      <c r="A1293" t="n">
        <v>1109</v>
      </c>
      <c r="B1293" s="14" t="n">
        <v>46239</v>
      </c>
      <c r="C1293" s="17" t="n">
        <v>0.9270833333333334</v>
      </c>
      <c r="D1293" s="17" t="n">
        <v>0.3020833333333333</v>
      </c>
      <c r="E1293" t="inlineStr">
        <is>
          <t>Night</t>
        </is>
      </c>
      <c r="F1293" t="inlineStr">
        <is>
          <t>Aug</t>
        </is>
      </c>
      <c r="G1293" s="18">
        <f>IF(D1293&lt;C1293,D1293+1-C1293,D1293-C1293)*24</f>
        <v/>
      </c>
      <c r="H1293" s="18">
        <f>MAX(0,G1293-8)</f>
        <v/>
      </c>
    </row>
    <row r="1294">
      <c r="A1294" t="n">
        <v>1110</v>
      </c>
      <c r="B1294" s="14" t="n">
        <v>46239</v>
      </c>
      <c r="C1294" s="17" t="n">
        <v>0.9270833333333334</v>
      </c>
      <c r="D1294" s="17" t="n">
        <v>0.3229166666666667</v>
      </c>
      <c r="E1294" t="inlineStr">
        <is>
          <t>Night</t>
        </is>
      </c>
      <c r="F1294" t="inlineStr">
        <is>
          <t>Aug</t>
        </is>
      </c>
      <c r="G1294" s="18">
        <f>IF(D1294&lt;C1294,D1294+1-C1294,D1294-C1294)*24</f>
        <v/>
      </c>
      <c r="H1294" s="18">
        <f>MAX(0,G1294-8)</f>
        <v/>
      </c>
    </row>
    <row r="1295">
      <c r="A1295" t="n">
        <v>1111</v>
      </c>
      <c r="B1295" s="14" t="n">
        <v>46239</v>
      </c>
      <c r="C1295" s="17" t="n">
        <v>0.9166666666666666</v>
      </c>
      <c r="D1295" s="17" t="n">
        <v>0.3125</v>
      </c>
      <c r="E1295" t="inlineStr">
        <is>
          <t>Night</t>
        </is>
      </c>
      <c r="F1295" t="inlineStr">
        <is>
          <t>Aug</t>
        </is>
      </c>
      <c r="G1295" s="18">
        <f>IF(D1295&lt;C1295,D1295+1-C1295,D1295-C1295)*24</f>
        <v/>
      </c>
      <c r="H1295" s="18">
        <f>MAX(0,G1295-8)</f>
        <v/>
      </c>
    </row>
    <row r="1296">
      <c r="A1296" t="n">
        <v>1112</v>
      </c>
      <c r="B1296" s="14" t="n">
        <v>46239</v>
      </c>
      <c r="C1296" s="17" t="n">
        <v>0.9375</v>
      </c>
      <c r="D1296" s="17" t="n">
        <v>0.2916666666666667</v>
      </c>
      <c r="E1296" t="inlineStr">
        <is>
          <t>Night</t>
        </is>
      </c>
      <c r="F1296" t="inlineStr">
        <is>
          <t>Aug</t>
        </is>
      </c>
      <c r="G1296" s="18">
        <f>IF(D1296&lt;C1296,D1296+1-C1296,D1296-C1296)*24</f>
        <v/>
      </c>
      <c r="H1296" s="18">
        <f>MAX(0,G1296-8)</f>
        <v/>
      </c>
    </row>
    <row r="1297">
      <c r="A1297" t="n">
        <v>1113</v>
      </c>
      <c r="B1297" s="14" t="n">
        <v>46239</v>
      </c>
      <c r="C1297" s="17" t="n">
        <v>0.9270833333333334</v>
      </c>
      <c r="D1297" s="17" t="n">
        <v>0.2604166666666667</v>
      </c>
      <c r="E1297" t="inlineStr">
        <is>
          <t>Night</t>
        </is>
      </c>
      <c r="F1297" t="inlineStr">
        <is>
          <t>Aug</t>
        </is>
      </c>
      <c r="G1297" s="18">
        <f>IF(D1297&lt;C1297,D1297+1-C1297,D1297-C1297)*24</f>
        <v/>
      </c>
      <c r="H1297" s="18">
        <f>MAX(0,G1297-8)</f>
        <v/>
      </c>
    </row>
    <row r="1298">
      <c r="A1298" t="n">
        <v>1115</v>
      </c>
      <c r="B1298" s="14" t="n">
        <v>46239</v>
      </c>
      <c r="C1298" s="17" t="n">
        <v>0.9270833333333334</v>
      </c>
      <c r="D1298" s="17" t="n">
        <v>0.28125</v>
      </c>
      <c r="E1298" t="inlineStr">
        <is>
          <t>Night</t>
        </is>
      </c>
      <c r="F1298" t="inlineStr">
        <is>
          <t>Aug</t>
        </is>
      </c>
      <c r="G1298" s="18">
        <f>IF(D1298&lt;C1298,D1298+1-C1298,D1298-C1298)*24</f>
        <v/>
      </c>
      <c r="H1298" s="18">
        <f>MAX(0,G1298-8)</f>
        <v/>
      </c>
    </row>
    <row r="1299">
      <c r="A1299" t="n">
        <v>1116</v>
      </c>
      <c r="B1299" s="14" t="n">
        <v>46239</v>
      </c>
      <c r="C1299" s="17" t="n">
        <v>0.9166666666666666</v>
      </c>
      <c r="D1299" s="17" t="n">
        <v>0.3958333333333333</v>
      </c>
      <c r="E1299" t="inlineStr">
        <is>
          <t>Night</t>
        </is>
      </c>
      <c r="F1299" t="inlineStr">
        <is>
          <t>Aug</t>
        </is>
      </c>
      <c r="G1299" s="18">
        <f>IF(D1299&lt;C1299,D1299+1-C1299,D1299-C1299)*24</f>
        <v/>
      </c>
      <c r="H1299" s="18">
        <f>MAX(0,G1299-8)</f>
        <v/>
      </c>
    </row>
    <row r="1300">
      <c r="A1300" t="n">
        <v>1119</v>
      </c>
      <c r="B1300" s="14" t="n">
        <v>46239</v>
      </c>
      <c r="C1300" s="17" t="n">
        <v>0.9166666666666666</v>
      </c>
      <c r="D1300" s="17" t="n">
        <v>0.375</v>
      </c>
      <c r="E1300" t="inlineStr">
        <is>
          <t>Night</t>
        </is>
      </c>
      <c r="F1300" t="inlineStr">
        <is>
          <t>Aug</t>
        </is>
      </c>
      <c r="G1300" s="18">
        <f>IF(D1300&lt;C1300,D1300+1-C1300,D1300-C1300)*24</f>
        <v/>
      </c>
      <c r="H1300" s="18">
        <f>MAX(0,G1300-8)</f>
        <v/>
      </c>
    </row>
    <row r="1301">
      <c r="A1301" t="n">
        <v>1120</v>
      </c>
      <c r="B1301" s="14" t="n">
        <v>46239</v>
      </c>
      <c r="C1301" s="17" t="n">
        <v>0.9375</v>
      </c>
      <c r="D1301" s="17" t="n">
        <v>0.375</v>
      </c>
      <c r="E1301" t="inlineStr">
        <is>
          <t>Night</t>
        </is>
      </c>
      <c r="F1301" t="inlineStr">
        <is>
          <t>Aug</t>
        </is>
      </c>
      <c r="G1301" s="18">
        <f>IF(D1301&lt;C1301,D1301+1-C1301,D1301-C1301)*24</f>
        <v/>
      </c>
      <c r="H1301" s="18">
        <f>MAX(0,G1301-8)</f>
        <v/>
      </c>
    </row>
    <row r="1302">
      <c r="A1302" t="n">
        <v>1121</v>
      </c>
      <c r="B1302" s="14" t="n">
        <v>46239</v>
      </c>
      <c r="C1302" s="17" t="n">
        <v>0.9375</v>
      </c>
      <c r="D1302" s="17" t="n">
        <v>0.2916666666666667</v>
      </c>
      <c r="E1302" t="inlineStr">
        <is>
          <t>Night</t>
        </is>
      </c>
      <c r="F1302" t="inlineStr">
        <is>
          <t>Aug</t>
        </is>
      </c>
      <c r="G1302" s="18">
        <f>IF(D1302&lt;C1302,D1302+1-C1302,D1302-C1302)*24</f>
        <v/>
      </c>
      <c r="H1302" s="18">
        <f>MAX(0,G1302-8)</f>
        <v/>
      </c>
    </row>
    <row r="1303">
      <c r="A1303" t="n">
        <v>1123</v>
      </c>
      <c r="B1303" s="14" t="n">
        <v>46239</v>
      </c>
      <c r="C1303" s="17" t="n">
        <v>0.9375</v>
      </c>
      <c r="D1303" s="17" t="n">
        <v>0.4166666666666667</v>
      </c>
      <c r="E1303" t="inlineStr">
        <is>
          <t>Night</t>
        </is>
      </c>
      <c r="F1303" t="inlineStr">
        <is>
          <t>Aug</t>
        </is>
      </c>
      <c r="G1303" s="18">
        <f>IF(D1303&lt;C1303,D1303+1-C1303,D1303-C1303)*24</f>
        <v/>
      </c>
      <c r="H1303" s="18">
        <f>MAX(0,G1303-8)</f>
        <v/>
      </c>
    </row>
    <row r="1304">
      <c r="A1304" t="n">
        <v>1124</v>
      </c>
      <c r="B1304" s="14" t="n">
        <v>46239</v>
      </c>
      <c r="C1304" s="17" t="n">
        <v>0.9375</v>
      </c>
      <c r="D1304" s="17" t="n">
        <v>0.2708333333333333</v>
      </c>
      <c r="E1304" t="inlineStr">
        <is>
          <t>Night</t>
        </is>
      </c>
      <c r="F1304" t="inlineStr">
        <is>
          <t>Aug</t>
        </is>
      </c>
      <c r="G1304" s="18">
        <f>IF(D1304&lt;C1304,D1304+1-C1304,D1304-C1304)*24</f>
        <v/>
      </c>
      <c r="H1304" s="18">
        <f>MAX(0,G1304-8)</f>
        <v/>
      </c>
    </row>
    <row r="1305">
      <c r="A1305" t="n">
        <v>1126</v>
      </c>
      <c r="B1305" s="14" t="n">
        <v>46239</v>
      </c>
      <c r="C1305" s="17" t="n">
        <v>0.9166666666666666</v>
      </c>
      <c r="D1305" s="17" t="n">
        <v>0.3333333333333333</v>
      </c>
      <c r="E1305" t="inlineStr">
        <is>
          <t>Night</t>
        </is>
      </c>
      <c r="F1305" t="inlineStr">
        <is>
          <t>Aug</t>
        </is>
      </c>
      <c r="G1305" s="18">
        <f>IF(D1305&lt;C1305,D1305+1-C1305,D1305-C1305)*24</f>
        <v/>
      </c>
      <c r="H1305" s="18">
        <f>MAX(0,G1305-8)</f>
        <v/>
      </c>
    </row>
    <row r="1306">
      <c r="A1306" t="n">
        <v>1127</v>
      </c>
      <c r="B1306" s="14" t="n">
        <v>46239</v>
      </c>
      <c r="C1306" s="17" t="n">
        <v>0.9166666666666666</v>
      </c>
      <c r="D1306" s="17" t="n">
        <v>0.3541666666666667</v>
      </c>
      <c r="E1306" t="inlineStr">
        <is>
          <t>Night</t>
        </is>
      </c>
      <c r="F1306" t="inlineStr">
        <is>
          <t>Aug</t>
        </is>
      </c>
      <c r="G1306" s="18">
        <f>IF(D1306&lt;C1306,D1306+1-C1306,D1306-C1306)*24</f>
        <v/>
      </c>
      <c r="H1306" s="18">
        <f>MAX(0,G1306-8)</f>
        <v/>
      </c>
    </row>
    <row r="1307">
      <c r="A1307" t="n">
        <v>1128</v>
      </c>
      <c r="B1307" s="14" t="n">
        <v>46239</v>
      </c>
      <c r="C1307" s="17" t="n">
        <v>0.9166666666666666</v>
      </c>
      <c r="D1307" s="17" t="n">
        <v>0.3958333333333333</v>
      </c>
      <c r="E1307" t="inlineStr">
        <is>
          <t>Night</t>
        </is>
      </c>
      <c r="F1307" t="inlineStr">
        <is>
          <t>Aug</t>
        </is>
      </c>
      <c r="G1307" s="18">
        <f>IF(D1307&lt;C1307,D1307+1-C1307,D1307-C1307)*24</f>
        <v/>
      </c>
      <c r="H1307" s="18">
        <f>MAX(0,G1307-8)</f>
        <v/>
      </c>
    </row>
    <row r="1308">
      <c r="A1308" t="n">
        <v>1130</v>
      </c>
      <c r="B1308" s="14" t="n">
        <v>46239</v>
      </c>
      <c r="C1308" s="17" t="n">
        <v>0.9270833333333334</v>
      </c>
      <c r="D1308" s="17" t="n">
        <v>0.40625</v>
      </c>
      <c r="E1308" t="inlineStr">
        <is>
          <t>Night</t>
        </is>
      </c>
      <c r="F1308" t="inlineStr">
        <is>
          <t>Aug</t>
        </is>
      </c>
      <c r="G1308" s="18">
        <f>IF(D1308&lt;C1308,D1308+1-C1308,D1308-C1308)*24</f>
        <v/>
      </c>
      <c r="H1308" s="18">
        <f>MAX(0,G1308-8)</f>
        <v/>
      </c>
    </row>
    <row r="1309">
      <c r="A1309" t="n">
        <v>1131</v>
      </c>
      <c r="B1309" s="14" t="n">
        <v>46239</v>
      </c>
      <c r="C1309" s="17" t="n">
        <v>0.9166666666666666</v>
      </c>
      <c r="D1309" s="17" t="n">
        <v>0.375</v>
      </c>
      <c r="E1309" t="inlineStr">
        <is>
          <t>Night</t>
        </is>
      </c>
      <c r="F1309" t="inlineStr">
        <is>
          <t>Aug</t>
        </is>
      </c>
      <c r="G1309" s="18">
        <f>IF(D1309&lt;C1309,D1309+1-C1309,D1309-C1309)*24</f>
        <v/>
      </c>
      <c r="H1309" s="18">
        <f>MAX(0,G1309-8)</f>
        <v/>
      </c>
    </row>
    <row r="1310">
      <c r="A1310" t="n">
        <v>1133</v>
      </c>
      <c r="B1310" s="14" t="n">
        <v>46239</v>
      </c>
      <c r="C1310" s="17" t="n">
        <v>0.9166666666666666</v>
      </c>
      <c r="D1310" s="17" t="n">
        <v>0.375</v>
      </c>
      <c r="E1310" t="inlineStr">
        <is>
          <t>Night</t>
        </is>
      </c>
      <c r="F1310" t="inlineStr">
        <is>
          <t>Aug</t>
        </is>
      </c>
      <c r="G1310" s="18">
        <f>IF(D1310&lt;C1310,D1310+1-C1310,D1310-C1310)*24</f>
        <v/>
      </c>
      <c r="H1310" s="18">
        <f>MAX(0,G1310-8)</f>
        <v/>
      </c>
    </row>
    <row r="1311">
      <c r="A1311" t="n">
        <v>1134</v>
      </c>
      <c r="B1311" s="14" t="n">
        <v>46239</v>
      </c>
      <c r="C1311" s="17" t="n">
        <v>0.9166666666666666</v>
      </c>
      <c r="D1311" s="17" t="n">
        <v>0.3333333333333333</v>
      </c>
      <c r="E1311" t="inlineStr">
        <is>
          <t>Night</t>
        </is>
      </c>
      <c r="F1311" t="inlineStr">
        <is>
          <t>Aug</t>
        </is>
      </c>
      <c r="G1311" s="18">
        <f>IF(D1311&lt;C1311,D1311+1-C1311,D1311-C1311)*24</f>
        <v/>
      </c>
      <c r="H1311" s="18">
        <f>MAX(0,G1311-8)</f>
        <v/>
      </c>
    </row>
    <row r="1312">
      <c r="A1312" t="n">
        <v>1135</v>
      </c>
      <c r="B1312" s="14" t="n">
        <v>46239</v>
      </c>
      <c r="C1312" s="17" t="n">
        <v>0.9375</v>
      </c>
      <c r="D1312" s="17" t="n">
        <v>0.2916666666666667</v>
      </c>
      <c r="E1312" t="inlineStr">
        <is>
          <t>Night</t>
        </is>
      </c>
      <c r="F1312" t="inlineStr">
        <is>
          <t>Aug</t>
        </is>
      </c>
      <c r="G1312" s="18">
        <f>IF(D1312&lt;C1312,D1312+1-C1312,D1312-C1312)*24</f>
        <v/>
      </c>
      <c r="H1312" s="18">
        <f>MAX(0,G1312-8)</f>
        <v/>
      </c>
    </row>
    <row r="1313">
      <c r="A1313" t="n">
        <v>1136</v>
      </c>
      <c r="B1313" s="14" t="n">
        <v>46239</v>
      </c>
      <c r="C1313" s="17" t="n">
        <v>0.9375</v>
      </c>
      <c r="D1313" s="17" t="n">
        <v>0.3125</v>
      </c>
      <c r="E1313" t="inlineStr">
        <is>
          <t>Night</t>
        </is>
      </c>
      <c r="F1313" t="inlineStr">
        <is>
          <t>Aug</t>
        </is>
      </c>
      <c r="G1313" s="18">
        <f>IF(D1313&lt;C1313,D1313+1-C1313,D1313-C1313)*24</f>
        <v/>
      </c>
      <c r="H1313" s="18">
        <f>MAX(0,G1313-8)</f>
        <v/>
      </c>
    </row>
    <row r="1314">
      <c r="A1314" t="n">
        <v>1137</v>
      </c>
      <c r="B1314" s="14" t="n">
        <v>46239</v>
      </c>
      <c r="C1314" s="17" t="n">
        <v>0.9375</v>
      </c>
      <c r="D1314" s="17" t="n">
        <v>0.4166666666666667</v>
      </c>
      <c r="E1314" t="inlineStr">
        <is>
          <t>Night</t>
        </is>
      </c>
      <c r="F1314" t="inlineStr">
        <is>
          <t>Aug</t>
        </is>
      </c>
      <c r="G1314" s="18">
        <f>IF(D1314&lt;C1314,D1314+1-C1314,D1314-C1314)*24</f>
        <v/>
      </c>
      <c r="H1314" s="18">
        <f>MAX(0,G1314-8)</f>
        <v/>
      </c>
    </row>
    <row r="1315">
      <c r="A1315" t="n">
        <v>1147</v>
      </c>
      <c r="B1315" s="14" t="n">
        <v>46239</v>
      </c>
      <c r="C1315" s="17" t="n">
        <v>0.9166666666666666</v>
      </c>
      <c r="D1315" s="17" t="n">
        <v>0.3125</v>
      </c>
      <c r="E1315" t="inlineStr">
        <is>
          <t>Night</t>
        </is>
      </c>
      <c r="F1315" t="inlineStr">
        <is>
          <t>Aug</t>
        </is>
      </c>
      <c r="G1315" s="18">
        <f>IF(D1315&lt;C1315,D1315+1-C1315,D1315-C1315)*24</f>
        <v/>
      </c>
      <c r="H1315" s="18">
        <f>MAX(0,G1315-8)</f>
        <v/>
      </c>
    </row>
    <row r="1316">
      <c r="A1316" t="n">
        <v>1102</v>
      </c>
      <c r="B1316" s="14" t="n">
        <v>46239</v>
      </c>
      <c r="C1316" s="17" t="n">
        <v>0.01041666666666667</v>
      </c>
      <c r="D1316" s="17" t="n">
        <v>0.46875</v>
      </c>
      <c r="E1316" t="inlineStr">
        <is>
          <t>Night</t>
        </is>
      </c>
      <c r="F1316" t="inlineStr">
        <is>
          <t>Aug</t>
        </is>
      </c>
      <c r="G1316" s="18">
        <f>IF(D1316&lt;C1316,D1316+1-C1316,D1316-C1316)*24</f>
        <v/>
      </c>
      <c r="H1316" s="18">
        <f>MAX(0,G1316-8)</f>
        <v/>
      </c>
    </row>
    <row r="1317">
      <c r="A1317" t="n">
        <v>1114</v>
      </c>
      <c r="B1317" s="14" t="n">
        <v>46239</v>
      </c>
      <c r="C1317" s="17" t="n">
        <v>0.02083333333333333</v>
      </c>
      <c r="D1317" s="17" t="n">
        <v>0.3541666666666667</v>
      </c>
      <c r="E1317" t="inlineStr">
        <is>
          <t>Night</t>
        </is>
      </c>
      <c r="F1317" t="inlineStr">
        <is>
          <t>Aug</t>
        </is>
      </c>
      <c r="G1317" s="18">
        <f>IF(D1317&lt;C1317,D1317+1-C1317,D1317-C1317)*24</f>
        <v/>
      </c>
      <c r="H1317" s="18">
        <f>MAX(0,G1317-8)</f>
        <v/>
      </c>
    </row>
    <row r="1318">
      <c r="A1318" t="n">
        <v>1118</v>
      </c>
      <c r="B1318" s="14" t="n">
        <v>46239</v>
      </c>
      <c r="C1318" s="17" t="n">
        <v>0.01041666666666667</v>
      </c>
      <c r="D1318" s="17" t="n">
        <v>0.3645833333333333</v>
      </c>
      <c r="E1318" t="inlineStr">
        <is>
          <t>Night</t>
        </is>
      </c>
      <c r="F1318" t="inlineStr">
        <is>
          <t>Aug</t>
        </is>
      </c>
      <c r="G1318" s="18">
        <f>IF(D1318&lt;C1318,D1318+1-C1318,D1318-C1318)*24</f>
        <v/>
      </c>
      <c r="H1318" s="18">
        <f>MAX(0,G1318-8)</f>
        <v/>
      </c>
    </row>
    <row r="1319">
      <c r="A1319" t="n">
        <v>1122</v>
      </c>
      <c r="B1319" s="14" t="n">
        <v>46239</v>
      </c>
      <c r="C1319" s="17" t="n">
        <v>0.01041666666666667</v>
      </c>
      <c r="D1319" s="17" t="n">
        <v>0.46875</v>
      </c>
      <c r="E1319" t="inlineStr">
        <is>
          <t>Night</t>
        </is>
      </c>
      <c r="F1319" t="inlineStr">
        <is>
          <t>Aug</t>
        </is>
      </c>
      <c r="G1319" s="18">
        <f>IF(D1319&lt;C1319,D1319+1-C1319,D1319-C1319)*24</f>
        <v/>
      </c>
      <c r="H1319" s="18">
        <f>MAX(0,G1319-8)</f>
        <v/>
      </c>
    </row>
    <row r="1320">
      <c r="A1320" t="n">
        <v>1125</v>
      </c>
      <c r="B1320" s="14" t="n">
        <v>46239</v>
      </c>
      <c r="C1320" s="17" t="n">
        <v>0.02083333333333333</v>
      </c>
      <c r="D1320" s="17" t="n">
        <v>0.375</v>
      </c>
      <c r="E1320" t="inlineStr">
        <is>
          <t>Night</t>
        </is>
      </c>
      <c r="F1320" t="inlineStr">
        <is>
          <t>Aug</t>
        </is>
      </c>
      <c r="G1320" s="18">
        <f>IF(D1320&lt;C1320,D1320+1-C1320,D1320-C1320)*24</f>
        <v/>
      </c>
      <c r="H1320" s="18">
        <f>MAX(0,G1320-8)</f>
        <v/>
      </c>
    </row>
    <row r="1321">
      <c r="A1321" t="n">
        <v>1129</v>
      </c>
      <c r="B1321" s="14" t="n">
        <v>46239</v>
      </c>
      <c r="C1321" s="17" t="n">
        <v>0.01041666666666667</v>
      </c>
      <c r="D1321" s="17" t="n">
        <v>0.46875</v>
      </c>
      <c r="E1321" t="inlineStr">
        <is>
          <t>Night</t>
        </is>
      </c>
      <c r="F1321" t="inlineStr">
        <is>
          <t>Aug</t>
        </is>
      </c>
      <c r="G1321" s="18">
        <f>IF(D1321&lt;C1321,D1321+1-C1321,D1321-C1321)*24</f>
        <v/>
      </c>
      <c r="H1321" s="18">
        <f>MAX(0,G1321-8)</f>
        <v/>
      </c>
    </row>
    <row r="1322">
      <c r="A1322" t="n">
        <v>1132</v>
      </c>
      <c r="B1322" s="14" t="n">
        <v>46239</v>
      </c>
      <c r="C1322" s="17" t="n">
        <v>0.01041666666666667</v>
      </c>
      <c r="D1322" s="17" t="n">
        <v>0.3854166666666667</v>
      </c>
      <c r="E1322" t="inlineStr">
        <is>
          <t>Night</t>
        </is>
      </c>
      <c r="F1322" t="inlineStr">
        <is>
          <t>Aug</t>
        </is>
      </c>
      <c r="G1322" s="18">
        <f>IF(D1322&lt;C1322,D1322+1-C1322,D1322-C1322)*24</f>
        <v/>
      </c>
      <c r="H1322" s="18">
        <f>MAX(0,G1322-8)</f>
        <v/>
      </c>
    </row>
    <row r="1323">
      <c r="A1323" t="n">
        <v>1201</v>
      </c>
      <c r="B1323" s="14" t="n">
        <v>46239</v>
      </c>
      <c r="C1323" s="17" t="n">
        <v>0.2708333333333333</v>
      </c>
      <c r="D1323" s="17" t="n">
        <v>0.6875</v>
      </c>
      <c r="E1323" t="inlineStr">
        <is>
          <t>Day</t>
        </is>
      </c>
      <c r="F1323" t="inlineStr">
        <is>
          <t>Aug</t>
        </is>
      </c>
      <c r="G1323" s="18">
        <f>IF(D1323&lt;C1323,D1323+1-C1323,D1323-C1323)*24</f>
        <v/>
      </c>
      <c r="H1323" s="18">
        <f>MAX(0,G1323-8)</f>
        <v/>
      </c>
    </row>
    <row r="1324">
      <c r="A1324" t="n">
        <v>1202</v>
      </c>
      <c r="B1324" s="14" t="n">
        <v>46239</v>
      </c>
      <c r="C1324" s="17" t="n">
        <v>0.2708333333333333</v>
      </c>
      <c r="D1324" s="17" t="n">
        <v>0.6458333333333334</v>
      </c>
      <c r="E1324" t="inlineStr">
        <is>
          <t>Day</t>
        </is>
      </c>
      <c r="F1324" t="inlineStr">
        <is>
          <t>Aug</t>
        </is>
      </c>
      <c r="G1324" s="18">
        <f>IF(D1324&lt;C1324,D1324+1-C1324,D1324-C1324)*24</f>
        <v/>
      </c>
      <c r="H1324" s="18">
        <f>MAX(0,G1324-8)</f>
        <v/>
      </c>
    </row>
    <row r="1325">
      <c r="A1325" t="n">
        <v>1203</v>
      </c>
      <c r="B1325" s="14" t="n">
        <v>46239</v>
      </c>
      <c r="C1325" s="17" t="n">
        <v>0.2708333333333333</v>
      </c>
      <c r="D1325" s="17" t="n">
        <v>0.625</v>
      </c>
      <c r="E1325" t="inlineStr">
        <is>
          <t>Day</t>
        </is>
      </c>
      <c r="F1325" t="inlineStr">
        <is>
          <t>Aug</t>
        </is>
      </c>
      <c r="G1325" s="18">
        <f>IF(D1325&lt;C1325,D1325+1-C1325,D1325-C1325)*24</f>
        <v/>
      </c>
      <c r="H1325" s="18">
        <f>MAX(0,G1325-8)</f>
        <v/>
      </c>
    </row>
    <row r="1326">
      <c r="A1326" t="n">
        <v>1204</v>
      </c>
      <c r="B1326" s="14" t="n">
        <v>46239</v>
      </c>
      <c r="C1326" s="17" t="n">
        <v>0.25</v>
      </c>
      <c r="D1326" s="17" t="n">
        <v>0.625</v>
      </c>
      <c r="E1326" t="inlineStr">
        <is>
          <t>Day</t>
        </is>
      </c>
      <c r="F1326" t="inlineStr">
        <is>
          <t>Aug</t>
        </is>
      </c>
      <c r="G1326" s="18">
        <f>IF(D1326&lt;C1326,D1326+1-C1326,D1326-C1326)*24</f>
        <v/>
      </c>
      <c r="H1326" s="18">
        <f>MAX(0,G1326-8)</f>
        <v/>
      </c>
    </row>
    <row r="1327">
      <c r="A1327" t="n">
        <v>1205</v>
      </c>
      <c r="B1327" s="14" t="n">
        <v>46239</v>
      </c>
      <c r="C1327" s="17" t="n">
        <v>0.2708333333333333</v>
      </c>
      <c r="D1327" s="17" t="n">
        <v>0.6875</v>
      </c>
      <c r="E1327" t="inlineStr">
        <is>
          <t>Day</t>
        </is>
      </c>
      <c r="F1327" t="inlineStr">
        <is>
          <t>Aug</t>
        </is>
      </c>
      <c r="G1327" s="18">
        <f>IF(D1327&lt;C1327,D1327+1-C1327,D1327-C1327)*24</f>
        <v/>
      </c>
      <c r="H1327" s="18">
        <f>MAX(0,G1327-8)</f>
        <v/>
      </c>
    </row>
    <row r="1328">
      <c r="A1328" t="n">
        <v>1206</v>
      </c>
      <c r="B1328" s="14" t="n">
        <v>46239</v>
      </c>
      <c r="C1328" s="17" t="n">
        <v>0.2708333333333333</v>
      </c>
      <c r="D1328" s="17" t="n">
        <v>0.6458333333333334</v>
      </c>
      <c r="E1328" t="inlineStr">
        <is>
          <t>Day</t>
        </is>
      </c>
      <c r="F1328" t="inlineStr">
        <is>
          <t>Aug</t>
        </is>
      </c>
      <c r="G1328" s="18">
        <f>IF(D1328&lt;C1328,D1328+1-C1328,D1328-C1328)*24</f>
        <v/>
      </c>
      <c r="H1328" s="18">
        <f>MAX(0,G1328-8)</f>
        <v/>
      </c>
    </row>
    <row r="1329">
      <c r="A1329" t="n">
        <v>1207</v>
      </c>
      <c r="B1329" s="14" t="n">
        <v>46239</v>
      </c>
      <c r="C1329" s="17" t="n">
        <v>0.2708333333333333</v>
      </c>
      <c r="D1329" s="17" t="n">
        <v>0.6875</v>
      </c>
      <c r="E1329" t="inlineStr">
        <is>
          <t>Day</t>
        </is>
      </c>
      <c r="F1329" t="inlineStr">
        <is>
          <t>Aug</t>
        </is>
      </c>
      <c r="G1329" s="18">
        <f>IF(D1329&lt;C1329,D1329+1-C1329,D1329-C1329)*24</f>
        <v/>
      </c>
      <c r="H1329" s="18">
        <f>MAX(0,G1329-8)</f>
        <v/>
      </c>
    </row>
    <row r="1330">
      <c r="A1330" t="n">
        <v>1208</v>
      </c>
      <c r="B1330" s="14" t="n">
        <v>46239</v>
      </c>
      <c r="C1330" s="17" t="n">
        <v>0.25</v>
      </c>
      <c r="D1330" s="17" t="n">
        <v>0.5833333333333334</v>
      </c>
      <c r="E1330" t="inlineStr">
        <is>
          <t>Day</t>
        </is>
      </c>
      <c r="F1330" t="inlineStr">
        <is>
          <t>Aug</t>
        </is>
      </c>
      <c r="G1330" s="18">
        <f>IF(D1330&lt;C1330,D1330+1-C1330,D1330-C1330)*24</f>
        <v/>
      </c>
      <c r="H1330" s="18">
        <f>MAX(0,G1330-8)</f>
        <v/>
      </c>
    </row>
    <row r="1331">
      <c r="A1331" t="n">
        <v>1209</v>
      </c>
      <c r="B1331" s="14" t="n">
        <v>46239</v>
      </c>
      <c r="C1331" s="17" t="n">
        <v>0.25</v>
      </c>
      <c r="D1331" s="17" t="n">
        <v>0.6041666666666666</v>
      </c>
      <c r="E1331" t="inlineStr">
        <is>
          <t>Day</t>
        </is>
      </c>
      <c r="F1331" t="inlineStr">
        <is>
          <t>Aug</t>
        </is>
      </c>
      <c r="G1331" s="18">
        <f>IF(D1331&lt;C1331,D1331+1-C1331,D1331-C1331)*24</f>
        <v/>
      </c>
      <c r="H1331" s="18">
        <f>MAX(0,G1331-8)</f>
        <v/>
      </c>
    </row>
    <row r="1332">
      <c r="A1332" t="n">
        <v>1210</v>
      </c>
      <c r="B1332" s="14" t="n">
        <v>46239</v>
      </c>
      <c r="C1332" s="17" t="n">
        <v>0.2708333333333333</v>
      </c>
      <c r="D1332" s="17" t="n">
        <v>0.6041666666666666</v>
      </c>
      <c r="E1332" t="inlineStr">
        <is>
          <t>Day</t>
        </is>
      </c>
      <c r="F1332" t="inlineStr">
        <is>
          <t>Aug</t>
        </is>
      </c>
      <c r="G1332" s="18">
        <f>IF(D1332&lt;C1332,D1332+1-C1332,D1332-C1332)*24</f>
        <v/>
      </c>
      <c r="H1332" s="18">
        <f>MAX(0,G1332-8)</f>
        <v/>
      </c>
    </row>
    <row r="1333">
      <c r="A1333" t="n">
        <v>1211</v>
      </c>
      <c r="B1333" s="14" t="n">
        <v>46239</v>
      </c>
      <c r="C1333" s="17" t="n">
        <v>0.25</v>
      </c>
      <c r="D1333" s="17" t="n">
        <v>0.6041666666666666</v>
      </c>
      <c r="E1333" t="inlineStr">
        <is>
          <t>Day</t>
        </is>
      </c>
      <c r="F1333" t="inlineStr">
        <is>
          <t>Aug</t>
        </is>
      </c>
      <c r="G1333" s="18">
        <f>IF(D1333&lt;C1333,D1333+1-C1333,D1333-C1333)*24</f>
        <v/>
      </c>
      <c r="H1333" s="18">
        <f>MAX(0,G1333-8)</f>
        <v/>
      </c>
    </row>
    <row r="1334">
      <c r="A1334" t="n">
        <v>1213</v>
      </c>
      <c r="B1334" s="14" t="n">
        <v>46239</v>
      </c>
      <c r="C1334" s="17" t="n">
        <v>0.25</v>
      </c>
      <c r="D1334" s="17" t="n">
        <v>0.6041666666666666</v>
      </c>
      <c r="E1334" t="inlineStr">
        <is>
          <t>Day</t>
        </is>
      </c>
      <c r="F1334" t="inlineStr">
        <is>
          <t>Aug</t>
        </is>
      </c>
      <c r="G1334" s="18">
        <f>IF(D1334&lt;C1334,D1334+1-C1334,D1334-C1334)*24</f>
        <v/>
      </c>
      <c r="H1334" s="18">
        <f>MAX(0,G1334-8)</f>
        <v/>
      </c>
    </row>
    <row r="1335">
      <c r="A1335" t="n">
        <v>1214</v>
      </c>
      <c r="B1335" s="14" t="n">
        <v>46239</v>
      </c>
      <c r="C1335" s="17" t="n">
        <v>0.25</v>
      </c>
      <c r="D1335" s="17" t="n">
        <v>0.625</v>
      </c>
      <c r="E1335" t="inlineStr">
        <is>
          <t>Day</t>
        </is>
      </c>
      <c r="F1335" t="inlineStr">
        <is>
          <t>Aug</t>
        </is>
      </c>
      <c r="G1335" s="18">
        <f>IF(D1335&lt;C1335,D1335+1-C1335,D1335-C1335)*24</f>
        <v/>
      </c>
      <c r="H1335" s="18">
        <f>MAX(0,G1335-8)</f>
        <v/>
      </c>
    </row>
    <row r="1336">
      <c r="A1336" t="n">
        <v>1215</v>
      </c>
      <c r="B1336" s="14" t="n">
        <v>46239</v>
      </c>
      <c r="C1336" s="17" t="n">
        <v>0.25</v>
      </c>
      <c r="D1336" s="17" t="n">
        <v>0.6041666666666666</v>
      </c>
      <c r="E1336" t="inlineStr">
        <is>
          <t>Day</t>
        </is>
      </c>
      <c r="F1336" t="inlineStr">
        <is>
          <t>Aug</t>
        </is>
      </c>
      <c r="G1336" s="18">
        <f>IF(D1336&lt;C1336,D1336+1-C1336,D1336-C1336)*24</f>
        <v/>
      </c>
      <c r="H1336" s="18">
        <f>MAX(0,G1336-8)</f>
        <v/>
      </c>
    </row>
    <row r="1337">
      <c r="A1337" t="n">
        <v>1216</v>
      </c>
      <c r="B1337" s="14" t="n">
        <v>46239</v>
      </c>
      <c r="C1337" s="17" t="n">
        <v>0.2708333333333333</v>
      </c>
      <c r="D1337" s="17" t="n">
        <v>0.625</v>
      </c>
      <c r="E1337" t="inlineStr">
        <is>
          <t>Day</t>
        </is>
      </c>
      <c r="F1337" t="inlineStr">
        <is>
          <t>Aug</t>
        </is>
      </c>
      <c r="G1337" s="18">
        <f>IF(D1337&lt;C1337,D1337+1-C1337,D1337-C1337)*24</f>
        <v/>
      </c>
      <c r="H1337" s="18">
        <f>MAX(0,G1337-8)</f>
        <v/>
      </c>
    </row>
    <row r="1338">
      <c r="A1338" t="n">
        <v>1217</v>
      </c>
      <c r="B1338" s="14" t="n">
        <v>46239</v>
      </c>
      <c r="C1338" s="17" t="n">
        <v>0.25</v>
      </c>
      <c r="D1338" s="17" t="n">
        <v>0.625</v>
      </c>
      <c r="E1338" t="inlineStr">
        <is>
          <t>Day</t>
        </is>
      </c>
      <c r="F1338" t="inlineStr">
        <is>
          <t>Aug</t>
        </is>
      </c>
      <c r="G1338" s="18">
        <f>IF(D1338&lt;C1338,D1338+1-C1338,D1338-C1338)*24</f>
        <v/>
      </c>
      <c r="H1338" s="18">
        <f>MAX(0,G1338-8)</f>
        <v/>
      </c>
    </row>
    <row r="1339">
      <c r="A1339" t="n">
        <v>1218</v>
      </c>
      <c r="B1339" s="14" t="n">
        <v>46239</v>
      </c>
      <c r="C1339" s="17" t="n">
        <v>0.25</v>
      </c>
      <c r="D1339" s="17" t="n">
        <v>0.5833333333333334</v>
      </c>
      <c r="E1339" t="inlineStr">
        <is>
          <t>Day</t>
        </is>
      </c>
      <c r="F1339" t="inlineStr">
        <is>
          <t>Aug</t>
        </is>
      </c>
      <c r="G1339" s="18">
        <f>IF(D1339&lt;C1339,D1339+1-C1339,D1339-C1339)*24</f>
        <v/>
      </c>
      <c r="H1339" s="18">
        <f>MAX(0,G1339-8)</f>
        <v/>
      </c>
    </row>
    <row r="1340">
      <c r="A1340" t="n">
        <v>1219</v>
      </c>
      <c r="B1340" s="14" t="n">
        <v>46239</v>
      </c>
      <c r="C1340" s="17" t="n">
        <v>0.2708333333333333</v>
      </c>
      <c r="D1340" s="17" t="n">
        <v>0.6458333333333334</v>
      </c>
      <c r="E1340" t="inlineStr">
        <is>
          <t>Day</t>
        </is>
      </c>
      <c r="F1340" t="inlineStr">
        <is>
          <t>Aug</t>
        </is>
      </c>
      <c r="G1340" s="18">
        <f>IF(D1340&lt;C1340,D1340+1-C1340,D1340-C1340)*24</f>
        <v/>
      </c>
      <c r="H1340" s="18">
        <f>MAX(0,G1340-8)</f>
        <v/>
      </c>
    </row>
    <row r="1341">
      <c r="A1341" t="n">
        <v>1220</v>
      </c>
      <c r="B1341" s="14" t="n">
        <v>46239</v>
      </c>
      <c r="C1341" s="17" t="n">
        <v>0.2708333333333333</v>
      </c>
      <c r="D1341" s="17" t="n">
        <v>0.625</v>
      </c>
      <c r="E1341" t="inlineStr">
        <is>
          <t>Day</t>
        </is>
      </c>
      <c r="F1341" t="inlineStr">
        <is>
          <t>Aug</t>
        </is>
      </c>
      <c r="G1341" s="18">
        <f>IF(D1341&lt;C1341,D1341+1-C1341,D1341-C1341)*24</f>
        <v/>
      </c>
      <c r="H1341" s="18">
        <f>MAX(0,G1341-8)</f>
        <v/>
      </c>
    </row>
    <row r="1342">
      <c r="A1342" t="n">
        <v>1101</v>
      </c>
      <c r="B1342" s="14" t="n">
        <v>46240</v>
      </c>
      <c r="C1342" s="17" t="n">
        <v>0.9270833333333334</v>
      </c>
      <c r="D1342" s="17" t="n">
        <v>0.2604166666666667</v>
      </c>
      <c r="E1342" t="inlineStr">
        <is>
          <t>Night</t>
        </is>
      </c>
      <c r="F1342" t="inlineStr">
        <is>
          <t>Aug</t>
        </is>
      </c>
      <c r="G1342" s="18">
        <f>IF(D1342&lt;C1342,D1342+1-C1342,D1342-C1342)*24</f>
        <v/>
      </c>
      <c r="H1342" s="18">
        <f>MAX(0,G1342-8)</f>
        <v/>
      </c>
    </row>
    <row r="1343">
      <c r="A1343" t="n">
        <v>1102</v>
      </c>
      <c r="B1343" s="14" t="n">
        <v>46240</v>
      </c>
      <c r="C1343" s="17" t="n">
        <v>0.9166666666666666</v>
      </c>
      <c r="D1343" s="17" t="n">
        <v>0.375</v>
      </c>
      <c r="E1343" t="inlineStr">
        <is>
          <t>Night</t>
        </is>
      </c>
      <c r="F1343" t="inlineStr">
        <is>
          <t>Aug</t>
        </is>
      </c>
      <c r="G1343" s="18">
        <f>IF(D1343&lt;C1343,D1343+1-C1343,D1343-C1343)*24</f>
        <v/>
      </c>
      <c r="H1343" s="18">
        <f>MAX(0,G1343-8)</f>
        <v/>
      </c>
    </row>
    <row r="1344">
      <c r="A1344" t="n">
        <v>1103</v>
      </c>
      <c r="B1344" s="14" t="n">
        <v>46240</v>
      </c>
      <c r="C1344" s="17" t="n">
        <v>0.9166666666666666</v>
      </c>
      <c r="D1344" s="17" t="n">
        <v>0.25</v>
      </c>
      <c r="E1344" t="inlineStr">
        <is>
          <t>Night</t>
        </is>
      </c>
      <c r="F1344" t="inlineStr">
        <is>
          <t>Aug</t>
        </is>
      </c>
      <c r="G1344" s="18">
        <f>IF(D1344&lt;C1344,D1344+1-C1344,D1344-C1344)*24</f>
        <v/>
      </c>
      <c r="H1344" s="18">
        <f>MAX(0,G1344-8)</f>
        <v/>
      </c>
    </row>
    <row r="1345">
      <c r="A1345" t="n">
        <v>1104</v>
      </c>
      <c r="B1345" s="14" t="n">
        <v>46240</v>
      </c>
      <c r="C1345" s="17" t="n">
        <v>0.9270833333333334</v>
      </c>
      <c r="D1345" s="17" t="n">
        <v>0.28125</v>
      </c>
      <c r="E1345" t="inlineStr">
        <is>
          <t>Night</t>
        </is>
      </c>
      <c r="F1345" t="inlineStr">
        <is>
          <t>Aug</t>
        </is>
      </c>
      <c r="G1345" s="18">
        <f>IF(D1345&lt;C1345,D1345+1-C1345,D1345-C1345)*24</f>
        <v/>
      </c>
      <c r="H1345" s="18">
        <f>MAX(0,G1345-8)</f>
        <v/>
      </c>
    </row>
    <row r="1346">
      <c r="A1346" t="n">
        <v>1107</v>
      </c>
      <c r="B1346" s="14" t="n">
        <v>46240</v>
      </c>
      <c r="C1346" s="17" t="n">
        <v>0.9166666666666666</v>
      </c>
      <c r="D1346" s="17" t="n">
        <v>0.25</v>
      </c>
      <c r="E1346" t="inlineStr">
        <is>
          <t>Night</t>
        </is>
      </c>
      <c r="F1346" t="inlineStr">
        <is>
          <t>Aug</t>
        </is>
      </c>
      <c r="G1346" s="18">
        <f>IF(D1346&lt;C1346,D1346+1-C1346,D1346-C1346)*24</f>
        <v/>
      </c>
      <c r="H1346" s="18">
        <f>MAX(0,G1346-8)</f>
        <v/>
      </c>
    </row>
    <row r="1347">
      <c r="A1347" t="n">
        <v>1108</v>
      </c>
      <c r="B1347" s="14" t="n">
        <v>46240</v>
      </c>
      <c r="C1347" s="17" t="n">
        <v>0.9166666666666666</v>
      </c>
      <c r="D1347" s="17" t="n">
        <v>0.2708333333333333</v>
      </c>
      <c r="E1347" t="inlineStr">
        <is>
          <t>Night</t>
        </is>
      </c>
      <c r="F1347" t="inlineStr">
        <is>
          <t>Aug</t>
        </is>
      </c>
      <c r="G1347" s="18">
        <f>IF(D1347&lt;C1347,D1347+1-C1347,D1347-C1347)*24</f>
        <v/>
      </c>
      <c r="H1347" s="18">
        <f>MAX(0,G1347-8)</f>
        <v/>
      </c>
    </row>
    <row r="1348">
      <c r="A1348" t="n">
        <v>1109</v>
      </c>
      <c r="B1348" s="14" t="n">
        <v>46240</v>
      </c>
      <c r="C1348" s="17" t="n">
        <v>0.9166666666666666</v>
      </c>
      <c r="D1348" s="17" t="n">
        <v>0.2916666666666667</v>
      </c>
      <c r="E1348" t="inlineStr">
        <is>
          <t>Night</t>
        </is>
      </c>
      <c r="F1348" t="inlineStr">
        <is>
          <t>Aug</t>
        </is>
      </c>
      <c r="G1348" s="18">
        <f>IF(D1348&lt;C1348,D1348+1-C1348,D1348-C1348)*24</f>
        <v/>
      </c>
      <c r="H1348" s="18">
        <f>MAX(0,G1348-8)</f>
        <v/>
      </c>
    </row>
    <row r="1349">
      <c r="A1349" t="n">
        <v>1111</v>
      </c>
      <c r="B1349" s="14" t="n">
        <v>46240</v>
      </c>
      <c r="C1349" s="17" t="n">
        <v>0.9166666666666666</v>
      </c>
      <c r="D1349" s="17" t="n">
        <v>0.25</v>
      </c>
      <c r="E1349" t="inlineStr">
        <is>
          <t>Night</t>
        </is>
      </c>
      <c r="F1349" t="inlineStr">
        <is>
          <t>Aug</t>
        </is>
      </c>
      <c r="G1349" s="18">
        <f>IF(D1349&lt;C1349,D1349+1-C1349,D1349-C1349)*24</f>
        <v/>
      </c>
      <c r="H1349" s="18">
        <f>MAX(0,G1349-8)</f>
        <v/>
      </c>
    </row>
    <row r="1350">
      <c r="A1350" t="n">
        <v>1112</v>
      </c>
      <c r="B1350" s="14" t="n">
        <v>46240</v>
      </c>
      <c r="C1350" s="17" t="n">
        <v>0.9375</v>
      </c>
      <c r="D1350" s="17" t="n">
        <v>0.3541666666666667</v>
      </c>
      <c r="E1350" t="inlineStr">
        <is>
          <t>Night</t>
        </is>
      </c>
      <c r="F1350" t="inlineStr">
        <is>
          <t>Aug</t>
        </is>
      </c>
      <c r="G1350" s="18">
        <f>IF(D1350&lt;C1350,D1350+1-C1350,D1350-C1350)*24</f>
        <v/>
      </c>
      <c r="H1350" s="18">
        <f>MAX(0,G1350-8)</f>
        <v/>
      </c>
    </row>
    <row r="1351">
      <c r="A1351" t="n">
        <v>1113</v>
      </c>
      <c r="B1351" s="14" t="n">
        <v>46240</v>
      </c>
      <c r="C1351" s="17" t="n">
        <v>0.9270833333333334</v>
      </c>
      <c r="D1351" s="17" t="n">
        <v>0.2604166666666667</v>
      </c>
      <c r="E1351" t="inlineStr">
        <is>
          <t>Night</t>
        </is>
      </c>
      <c r="F1351" t="inlineStr">
        <is>
          <t>Aug</t>
        </is>
      </c>
      <c r="G1351" s="18">
        <f>IF(D1351&lt;C1351,D1351+1-C1351,D1351-C1351)*24</f>
        <v/>
      </c>
      <c r="H1351" s="18">
        <f>MAX(0,G1351-8)</f>
        <v/>
      </c>
    </row>
    <row r="1352">
      <c r="A1352" t="n">
        <v>1114</v>
      </c>
      <c r="B1352" s="14" t="n">
        <v>46240</v>
      </c>
      <c r="C1352" s="17" t="n">
        <v>0.9375</v>
      </c>
      <c r="D1352" s="17" t="n">
        <v>0.4166666666666667</v>
      </c>
      <c r="E1352" t="inlineStr">
        <is>
          <t>Night</t>
        </is>
      </c>
      <c r="F1352" t="inlineStr">
        <is>
          <t>Aug</t>
        </is>
      </c>
      <c r="G1352" s="18">
        <f>IF(D1352&lt;C1352,D1352+1-C1352,D1352-C1352)*24</f>
        <v/>
      </c>
      <c r="H1352" s="18">
        <f>MAX(0,G1352-8)</f>
        <v/>
      </c>
    </row>
    <row r="1353">
      <c r="A1353" t="n">
        <v>1115</v>
      </c>
      <c r="B1353" s="14" t="n">
        <v>46240</v>
      </c>
      <c r="C1353" s="17" t="n">
        <v>0.9375</v>
      </c>
      <c r="D1353" s="17" t="n">
        <v>0.375</v>
      </c>
      <c r="E1353" t="inlineStr">
        <is>
          <t>Night</t>
        </is>
      </c>
      <c r="F1353" t="inlineStr">
        <is>
          <t>Aug</t>
        </is>
      </c>
      <c r="G1353" s="18">
        <f>IF(D1353&lt;C1353,D1353+1-C1353,D1353-C1353)*24</f>
        <v/>
      </c>
      <c r="H1353" s="18">
        <f>MAX(0,G1353-8)</f>
        <v/>
      </c>
    </row>
    <row r="1354">
      <c r="A1354" t="n">
        <v>1116</v>
      </c>
      <c r="B1354" s="14" t="n">
        <v>46240</v>
      </c>
      <c r="C1354" s="17" t="n">
        <v>0.9166666666666666</v>
      </c>
      <c r="D1354" s="17" t="n">
        <v>0.25</v>
      </c>
      <c r="E1354" t="inlineStr">
        <is>
          <t>Night</t>
        </is>
      </c>
      <c r="F1354" t="inlineStr">
        <is>
          <t>Aug</t>
        </is>
      </c>
      <c r="G1354" s="18">
        <f>IF(D1354&lt;C1354,D1354+1-C1354,D1354-C1354)*24</f>
        <v/>
      </c>
      <c r="H1354" s="18">
        <f>MAX(0,G1354-8)</f>
        <v/>
      </c>
    </row>
    <row r="1355">
      <c r="A1355" t="n">
        <v>1117</v>
      </c>
      <c r="B1355" s="14" t="n">
        <v>46240</v>
      </c>
      <c r="C1355" s="17" t="n">
        <v>0.9166666666666666</v>
      </c>
      <c r="D1355" s="17" t="n">
        <v>0.3958333333333333</v>
      </c>
      <c r="E1355" t="inlineStr">
        <is>
          <t>Night</t>
        </is>
      </c>
      <c r="F1355" t="inlineStr">
        <is>
          <t>Aug</t>
        </is>
      </c>
      <c r="G1355" s="18">
        <f>IF(D1355&lt;C1355,D1355+1-C1355,D1355-C1355)*24</f>
        <v/>
      </c>
      <c r="H1355" s="18">
        <f>MAX(0,G1355-8)</f>
        <v/>
      </c>
    </row>
    <row r="1356">
      <c r="A1356" t="n">
        <v>1118</v>
      </c>
      <c r="B1356" s="14" t="n">
        <v>46240</v>
      </c>
      <c r="C1356" s="17" t="n">
        <v>0.9166666666666666</v>
      </c>
      <c r="D1356" s="17" t="n">
        <v>0.3541666666666667</v>
      </c>
      <c r="E1356" t="inlineStr">
        <is>
          <t>Night</t>
        </is>
      </c>
      <c r="F1356" t="inlineStr">
        <is>
          <t>Aug</t>
        </is>
      </c>
      <c r="G1356" s="18">
        <f>IF(D1356&lt;C1356,D1356+1-C1356,D1356-C1356)*24</f>
        <v/>
      </c>
      <c r="H1356" s="18">
        <f>MAX(0,G1356-8)</f>
        <v/>
      </c>
    </row>
    <row r="1357">
      <c r="A1357" t="n">
        <v>1119</v>
      </c>
      <c r="B1357" s="14" t="n">
        <v>46240</v>
      </c>
      <c r="C1357" s="17" t="n">
        <v>0.9270833333333334</v>
      </c>
      <c r="D1357" s="17" t="n">
        <v>0.3020833333333333</v>
      </c>
      <c r="E1357" t="inlineStr">
        <is>
          <t>Night</t>
        </is>
      </c>
      <c r="F1357" t="inlineStr">
        <is>
          <t>Aug</t>
        </is>
      </c>
      <c r="G1357" s="18">
        <f>IF(D1357&lt;C1357,D1357+1-C1357,D1357-C1357)*24</f>
        <v/>
      </c>
      <c r="H1357" s="18">
        <f>MAX(0,G1357-8)</f>
        <v/>
      </c>
    </row>
    <row r="1358">
      <c r="A1358" t="n">
        <v>1121</v>
      </c>
      <c r="B1358" s="14" t="n">
        <v>46240</v>
      </c>
      <c r="C1358" s="17" t="n">
        <v>0.9166666666666666</v>
      </c>
      <c r="D1358" s="17" t="n">
        <v>0.3125</v>
      </c>
      <c r="E1358" t="inlineStr">
        <is>
          <t>Night</t>
        </is>
      </c>
      <c r="F1358" t="inlineStr">
        <is>
          <t>Aug</t>
        </is>
      </c>
      <c r="G1358" s="18">
        <f>IF(D1358&lt;C1358,D1358+1-C1358,D1358-C1358)*24</f>
        <v/>
      </c>
      <c r="H1358" s="18">
        <f>MAX(0,G1358-8)</f>
        <v/>
      </c>
    </row>
    <row r="1359">
      <c r="A1359" t="n">
        <v>1122</v>
      </c>
      <c r="B1359" s="14" t="n">
        <v>46240</v>
      </c>
      <c r="C1359" s="17" t="n">
        <v>0.9166666666666666</v>
      </c>
      <c r="D1359" s="17" t="n">
        <v>0.2708333333333333</v>
      </c>
      <c r="E1359" t="inlineStr">
        <is>
          <t>Night</t>
        </is>
      </c>
      <c r="F1359" t="inlineStr">
        <is>
          <t>Aug</t>
        </is>
      </c>
      <c r="G1359" s="18">
        <f>IF(D1359&lt;C1359,D1359+1-C1359,D1359-C1359)*24</f>
        <v/>
      </c>
      <c r="H1359" s="18">
        <f>MAX(0,G1359-8)</f>
        <v/>
      </c>
    </row>
    <row r="1360">
      <c r="A1360" t="n">
        <v>1123</v>
      </c>
      <c r="B1360" s="14" t="n">
        <v>46240</v>
      </c>
      <c r="C1360" s="17" t="n">
        <v>0.9166666666666666</v>
      </c>
      <c r="D1360" s="17" t="n">
        <v>0.375</v>
      </c>
      <c r="E1360" t="inlineStr">
        <is>
          <t>Night</t>
        </is>
      </c>
      <c r="F1360" t="inlineStr">
        <is>
          <t>Aug</t>
        </is>
      </c>
      <c r="G1360" s="18">
        <f>IF(D1360&lt;C1360,D1360+1-C1360,D1360-C1360)*24</f>
        <v/>
      </c>
      <c r="H1360" s="18">
        <f>MAX(0,G1360-8)</f>
        <v/>
      </c>
    </row>
    <row r="1361">
      <c r="A1361" t="n">
        <v>1124</v>
      </c>
      <c r="B1361" s="14" t="n">
        <v>46240</v>
      </c>
      <c r="C1361" s="17" t="n">
        <v>0.9166666666666666</v>
      </c>
      <c r="D1361" s="17" t="n">
        <v>0.3541666666666667</v>
      </c>
      <c r="E1361" t="inlineStr">
        <is>
          <t>Night</t>
        </is>
      </c>
      <c r="F1361" t="inlineStr">
        <is>
          <t>Aug</t>
        </is>
      </c>
      <c r="G1361" s="18">
        <f>IF(D1361&lt;C1361,D1361+1-C1361,D1361-C1361)*24</f>
        <v/>
      </c>
      <c r="H1361" s="18">
        <f>MAX(0,G1361-8)</f>
        <v/>
      </c>
    </row>
    <row r="1362">
      <c r="A1362" t="n">
        <v>1125</v>
      </c>
      <c r="B1362" s="14" t="n">
        <v>46240</v>
      </c>
      <c r="C1362" s="17" t="n">
        <v>0.9375</v>
      </c>
      <c r="D1362" s="17" t="n">
        <v>0.3125</v>
      </c>
      <c r="E1362" t="inlineStr">
        <is>
          <t>Night</t>
        </is>
      </c>
      <c r="F1362" t="inlineStr">
        <is>
          <t>Aug</t>
        </is>
      </c>
      <c r="G1362" s="18">
        <f>IF(D1362&lt;C1362,D1362+1-C1362,D1362-C1362)*24</f>
        <v/>
      </c>
      <c r="H1362" s="18">
        <f>MAX(0,G1362-8)</f>
        <v/>
      </c>
    </row>
    <row r="1363">
      <c r="A1363" t="n">
        <v>1126</v>
      </c>
      <c r="B1363" s="14" t="n">
        <v>46240</v>
      </c>
      <c r="C1363" s="17" t="n">
        <v>0.9166666666666666</v>
      </c>
      <c r="D1363" s="17" t="n">
        <v>0.3125</v>
      </c>
      <c r="E1363" t="inlineStr">
        <is>
          <t>Night</t>
        </is>
      </c>
      <c r="F1363" t="inlineStr">
        <is>
          <t>Aug</t>
        </is>
      </c>
      <c r="G1363" s="18">
        <f>IF(D1363&lt;C1363,D1363+1-C1363,D1363-C1363)*24</f>
        <v/>
      </c>
      <c r="H1363" s="18">
        <f>MAX(0,G1363-8)</f>
        <v/>
      </c>
    </row>
    <row r="1364">
      <c r="A1364" t="n">
        <v>1127</v>
      </c>
      <c r="B1364" s="14" t="n">
        <v>46240</v>
      </c>
      <c r="C1364" s="17" t="n">
        <v>0.9166666666666666</v>
      </c>
      <c r="D1364" s="17" t="n">
        <v>0.25</v>
      </c>
      <c r="E1364" t="inlineStr">
        <is>
          <t>Night</t>
        </is>
      </c>
      <c r="F1364" t="inlineStr">
        <is>
          <t>Aug</t>
        </is>
      </c>
      <c r="G1364" s="18">
        <f>IF(D1364&lt;C1364,D1364+1-C1364,D1364-C1364)*24</f>
        <v/>
      </c>
      <c r="H1364" s="18">
        <f>MAX(0,G1364-8)</f>
        <v/>
      </c>
    </row>
    <row r="1365">
      <c r="A1365" t="n">
        <v>1128</v>
      </c>
      <c r="B1365" s="14" t="n">
        <v>46240</v>
      </c>
      <c r="C1365" s="17" t="n">
        <v>0.9270833333333334</v>
      </c>
      <c r="D1365" s="17" t="n">
        <v>0.28125</v>
      </c>
      <c r="E1365" t="inlineStr">
        <is>
          <t>Night</t>
        </is>
      </c>
      <c r="F1365" t="inlineStr">
        <is>
          <t>Aug</t>
        </is>
      </c>
      <c r="G1365" s="18">
        <f>IF(D1365&lt;C1365,D1365+1-C1365,D1365-C1365)*24</f>
        <v/>
      </c>
      <c r="H1365" s="18">
        <f>MAX(0,G1365-8)</f>
        <v/>
      </c>
    </row>
    <row r="1366">
      <c r="A1366" t="n">
        <v>1129</v>
      </c>
      <c r="B1366" s="14" t="n">
        <v>46240</v>
      </c>
      <c r="C1366" s="17" t="n">
        <v>0.9270833333333334</v>
      </c>
      <c r="D1366" s="17" t="n">
        <v>0.3229166666666667</v>
      </c>
      <c r="E1366" t="inlineStr">
        <is>
          <t>Night</t>
        </is>
      </c>
      <c r="F1366" t="inlineStr">
        <is>
          <t>Aug</t>
        </is>
      </c>
      <c r="G1366" s="18">
        <f>IF(D1366&lt;C1366,D1366+1-C1366,D1366-C1366)*24</f>
        <v/>
      </c>
      <c r="H1366" s="18">
        <f>MAX(0,G1366-8)</f>
        <v/>
      </c>
    </row>
    <row r="1367">
      <c r="A1367" t="n">
        <v>1130</v>
      </c>
      <c r="B1367" s="14" t="n">
        <v>46240</v>
      </c>
      <c r="C1367" s="17" t="n">
        <v>0.9166666666666666</v>
      </c>
      <c r="D1367" s="17" t="n">
        <v>0.375</v>
      </c>
      <c r="E1367" t="inlineStr">
        <is>
          <t>Night</t>
        </is>
      </c>
      <c r="F1367" t="inlineStr">
        <is>
          <t>Aug</t>
        </is>
      </c>
      <c r="G1367" s="18">
        <f>IF(D1367&lt;C1367,D1367+1-C1367,D1367-C1367)*24</f>
        <v/>
      </c>
      <c r="H1367" s="18">
        <f>MAX(0,G1367-8)</f>
        <v/>
      </c>
    </row>
    <row r="1368">
      <c r="A1368" t="n">
        <v>1131</v>
      </c>
      <c r="B1368" s="14" t="n">
        <v>46240</v>
      </c>
      <c r="C1368" s="17" t="n">
        <v>0.9166666666666666</v>
      </c>
      <c r="D1368" s="17" t="n">
        <v>0.375</v>
      </c>
      <c r="E1368" t="inlineStr">
        <is>
          <t>Night</t>
        </is>
      </c>
      <c r="F1368" t="inlineStr">
        <is>
          <t>Aug</t>
        </is>
      </c>
      <c r="G1368" s="18">
        <f>IF(D1368&lt;C1368,D1368+1-C1368,D1368-C1368)*24</f>
        <v/>
      </c>
      <c r="H1368" s="18">
        <f>MAX(0,G1368-8)</f>
        <v/>
      </c>
    </row>
    <row r="1369">
      <c r="A1369" t="n">
        <v>1132</v>
      </c>
      <c r="B1369" s="14" t="n">
        <v>46240</v>
      </c>
      <c r="C1369" s="17" t="n">
        <v>0.9166666666666666</v>
      </c>
      <c r="D1369" s="17" t="n">
        <v>0.3541666666666667</v>
      </c>
      <c r="E1369" t="inlineStr">
        <is>
          <t>Night</t>
        </is>
      </c>
      <c r="F1369" t="inlineStr">
        <is>
          <t>Aug</t>
        </is>
      </c>
      <c r="G1369" s="18">
        <f>IF(D1369&lt;C1369,D1369+1-C1369,D1369-C1369)*24</f>
        <v/>
      </c>
      <c r="H1369" s="18">
        <f>MAX(0,G1369-8)</f>
        <v/>
      </c>
    </row>
    <row r="1370">
      <c r="A1370" t="n">
        <v>1133</v>
      </c>
      <c r="B1370" s="14" t="n">
        <v>46240</v>
      </c>
      <c r="C1370" s="17" t="n">
        <v>0.9270833333333334</v>
      </c>
      <c r="D1370" s="17" t="n">
        <v>0.28125</v>
      </c>
      <c r="E1370" t="inlineStr">
        <is>
          <t>Night</t>
        </is>
      </c>
      <c r="F1370" t="inlineStr">
        <is>
          <t>Aug</t>
        </is>
      </c>
      <c r="G1370" s="18">
        <f>IF(D1370&lt;C1370,D1370+1-C1370,D1370-C1370)*24</f>
        <v/>
      </c>
      <c r="H1370" s="18">
        <f>MAX(0,G1370-8)</f>
        <v/>
      </c>
    </row>
    <row r="1371">
      <c r="A1371" t="n">
        <v>1135</v>
      </c>
      <c r="B1371" s="14" t="n">
        <v>46240</v>
      </c>
      <c r="C1371" s="17" t="n">
        <v>0.9270833333333334</v>
      </c>
      <c r="D1371" s="17" t="n">
        <v>0.40625</v>
      </c>
      <c r="E1371" t="inlineStr">
        <is>
          <t>Night</t>
        </is>
      </c>
      <c r="F1371" t="inlineStr">
        <is>
          <t>Aug</t>
        </is>
      </c>
      <c r="G1371" s="18">
        <f>IF(D1371&lt;C1371,D1371+1-C1371,D1371-C1371)*24</f>
        <v/>
      </c>
      <c r="H1371" s="18">
        <f>MAX(0,G1371-8)</f>
        <v/>
      </c>
    </row>
    <row r="1372">
      <c r="A1372" t="n">
        <v>1136</v>
      </c>
      <c r="B1372" s="14" t="n">
        <v>46240</v>
      </c>
      <c r="C1372" s="17" t="n">
        <v>0.9270833333333334</v>
      </c>
      <c r="D1372" s="17" t="n">
        <v>0.40625</v>
      </c>
      <c r="E1372" t="inlineStr">
        <is>
          <t>Night</t>
        </is>
      </c>
      <c r="F1372" t="inlineStr">
        <is>
          <t>Aug</t>
        </is>
      </c>
      <c r="G1372" s="18">
        <f>IF(D1372&lt;C1372,D1372+1-C1372,D1372-C1372)*24</f>
        <v/>
      </c>
      <c r="H1372" s="18">
        <f>MAX(0,G1372-8)</f>
        <v/>
      </c>
    </row>
    <row r="1373">
      <c r="A1373" t="n">
        <v>1137</v>
      </c>
      <c r="B1373" s="14" t="n">
        <v>46240</v>
      </c>
      <c r="C1373" s="17" t="n">
        <v>0.9166666666666666</v>
      </c>
      <c r="D1373" s="17" t="n">
        <v>0.2708333333333333</v>
      </c>
      <c r="E1373" t="inlineStr">
        <is>
          <t>Night</t>
        </is>
      </c>
      <c r="F1373" t="inlineStr">
        <is>
          <t>Aug</t>
        </is>
      </c>
      <c r="G1373" s="18">
        <f>IF(D1373&lt;C1373,D1373+1-C1373,D1373-C1373)*24</f>
        <v/>
      </c>
      <c r="H1373" s="18">
        <f>MAX(0,G1373-8)</f>
        <v/>
      </c>
    </row>
    <row r="1374">
      <c r="A1374" t="n">
        <v>1147</v>
      </c>
      <c r="B1374" s="14" t="n">
        <v>46240</v>
      </c>
      <c r="C1374" s="17" t="n">
        <v>0.9166666666666666</v>
      </c>
      <c r="D1374" s="17" t="n">
        <v>0.2708333333333333</v>
      </c>
      <c r="E1374" t="inlineStr">
        <is>
          <t>Night</t>
        </is>
      </c>
      <c r="F1374" t="inlineStr">
        <is>
          <t>Aug</t>
        </is>
      </c>
      <c r="G1374" s="18">
        <f>IF(D1374&lt;C1374,D1374+1-C1374,D1374-C1374)*24</f>
        <v/>
      </c>
      <c r="H1374" s="18">
        <f>MAX(0,G1374-8)</f>
        <v/>
      </c>
    </row>
    <row r="1375">
      <c r="A1375" t="n">
        <v>1106</v>
      </c>
      <c r="B1375" s="14" t="n">
        <v>46240</v>
      </c>
      <c r="C1375" s="17" t="n">
        <v>0.01041666666666667</v>
      </c>
      <c r="D1375" s="17" t="n">
        <v>0.3854166666666667</v>
      </c>
      <c r="E1375" t="inlineStr">
        <is>
          <t>Night</t>
        </is>
      </c>
      <c r="F1375" t="inlineStr">
        <is>
          <t>Aug</t>
        </is>
      </c>
      <c r="G1375" s="18">
        <f>IF(D1375&lt;C1375,D1375+1-C1375,D1375-C1375)*24</f>
        <v/>
      </c>
      <c r="H1375" s="18">
        <f>MAX(0,G1375-8)</f>
        <v/>
      </c>
    </row>
    <row r="1376">
      <c r="A1376" t="n">
        <v>1110</v>
      </c>
      <c r="B1376" s="14" t="n">
        <v>46240</v>
      </c>
      <c r="C1376" s="17" t="n">
        <v>0.02083333333333333</v>
      </c>
      <c r="D1376" s="17" t="n">
        <v>0.375</v>
      </c>
      <c r="E1376" t="inlineStr">
        <is>
          <t>Night</t>
        </is>
      </c>
      <c r="F1376" t="inlineStr">
        <is>
          <t>Aug</t>
        </is>
      </c>
      <c r="G1376" s="18">
        <f>IF(D1376&lt;C1376,D1376+1-C1376,D1376-C1376)*24</f>
        <v/>
      </c>
      <c r="H1376" s="18">
        <f>MAX(0,G1376-8)</f>
        <v/>
      </c>
    </row>
    <row r="1377">
      <c r="A1377" t="n">
        <v>1120</v>
      </c>
      <c r="B1377" s="14" t="n">
        <v>46240</v>
      </c>
      <c r="C1377" s="17" t="n">
        <v>0.02083333333333333</v>
      </c>
      <c r="D1377" s="17" t="n">
        <v>0.375</v>
      </c>
      <c r="E1377" t="inlineStr">
        <is>
          <t>Night</t>
        </is>
      </c>
      <c r="F1377" t="inlineStr">
        <is>
          <t>Aug</t>
        </is>
      </c>
      <c r="G1377" s="18">
        <f>IF(D1377&lt;C1377,D1377+1-C1377,D1377-C1377)*24</f>
        <v/>
      </c>
      <c r="H1377" s="18">
        <f>MAX(0,G1377-8)</f>
        <v/>
      </c>
    </row>
    <row r="1378">
      <c r="A1378" t="n">
        <v>1134</v>
      </c>
      <c r="B1378" s="14" t="n">
        <v>46240</v>
      </c>
      <c r="C1378" s="17" t="n">
        <v>0.02083333333333333</v>
      </c>
      <c r="D1378" s="17" t="n">
        <v>0.5</v>
      </c>
      <c r="E1378" t="inlineStr">
        <is>
          <t>Night</t>
        </is>
      </c>
      <c r="F1378" t="inlineStr">
        <is>
          <t>Aug</t>
        </is>
      </c>
      <c r="G1378" s="18">
        <f>IF(D1378&lt;C1378,D1378+1-C1378,D1378-C1378)*24</f>
        <v/>
      </c>
      <c r="H1378" s="18">
        <f>MAX(0,G1378-8)</f>
        <v/>
      </c>
    </row>
    <row r="1379">
      <c r="A1379" t="n">
        <v>1201</v>
      </c>
      <c r="B1379" s="14" t="n">
        <v>46240</v>
      </c>
      <c r="C1379" s="17" t="n">
        <v>0.25</v>
      </c>
      <c r="D1379" s="17" t="n">
        <v>0.625</v>
      </c>
      <c r="E1379" t="inlineStr">
        <is>
          <t>Day</t>
        </is>
      </c>
      <c r="F1379" t="inlineStr">
        <is>
          <t>Aug</t>
        </is>
      </c>
      <c r="G1379" s="18">
        <f>IF(D1379&lt;C1379,D1379+1-C1379,D1379-C1379)*24</f>
        <v/>
      </c>
      <c r="H1379" s="18">
        <f>MAX(0,G1379-8)</f>
        <v/>
      </c>
    </row>
    <row r="1380">
      <c r="A1380" t="n">
        <v>1202</v>
      </c>
      <c r="B1380" s="14" t="n">
        <v>46240</v>
      </c>
      <c r="C1380" s="17" t="n">
        <v>0.25</v>
      </c>
      <c r="D1380" s="17" t="n">
        <v>0.6666666666666666</v>
      </c>
      <c r="E1380" t="inlineStr">
        <is>
          <t>Day</t>
        </is>
      </c>
      <c r="F1380" t="inlineStr">
        <is>
          <t>Aug</t>
        </is>
      </c>
      <c r="G1380" s="18">
        <f>IF(D1380&lt;C1380,D1380+1-C1380,D1380-C1380)*24</f>
        <v/>
      </c>
      <c r="H1380" s="18">
        <f>MAX(0,G1380-8)</f>
        <v/>
      </c>
    </row>
    <row r="1381">
      <c r="A1381" t="n">
        <v>1203</v>
      </c>
      <c r="B1381" s="14" t="n">
        <v>46240</v>
      </c>
      <c r="C1381" s="17" t="n">
        <v>0.25</v>
      </c>
      <c r="D1381" s="17" t="n">
        <v>0.5833333333333334</v>
      </c>
      <c r="E1381" t="inlineStr">
        <is>
          <t>Day</t>
        </is>
      </c>
      <c r="F1381" t="inlineStr">
        <is>
          <t>Aug</t>
        </is>
      </c>
      <c r="G1381" s="18">
        <f>IF(D1381&lt;C1381,D1381+1-C1381,D1381-C1381)*24</f>
        <v/>
      </c>
      <c r="H1381" s="18">
        <f>MAX(0,G1381-8)</f>
        <v/>
      </c>
    </row>
    <row r="1382">
      <c r="A1382" t="n">
        <v>1204</v>
      </c>
      <c r="B1382" s="14" t="n">
        <v>46240</v>
      </c>
      <c r="C1382" s="17" t="n">
        <v>0.2708333333333333</v>
      </c>
      <c r="D1382" s="17" t="n">
        <v>0.6458333333333334</v>
      </c>
      <c r="E1382" t="inlineStr">
        <is>
          <t>Day</t>
        </is>
      </c>
      <c r="F1382" t="inlineStr">
        <is>
          <t>Aug</t>
        </is>
      </c>
      <c r="G1382" s="18">
        <f>IF(D1382&lt;C1382,D1382+1-C1382,D1382-C1382)*24</f>
        <v/>
      </c>
      <c r="H1382" s="18">
        <f>MAX(0,G1382-8)</f>
        <v/>
      </c>
    </row>
    <row r="1383">
      <c r="A1383" t="n">
        <v>1205</v>
      </c>
      <c r="B1383" s="14" t="n">
        <v>46240</v>
      </c>
      <c r="C1383" s="17" t="n">
        <v>0.2708333333333333</v>
      </c>
      <c r="D1383" s="17" t="n">
        <v>0.6041666666666666</v>
      </c>
      <c r="E1383" t="inlineStr">
        <is>
          <t>Day</t>
        </is>
      </c>
      <c r="F1383" t="inlineStr">
        <is>
          <t>Aug</t>
        </is>
      </c>
      <c r="G1383" s="18">
        <f>IF(D1383&lt;C1383,D1383+1-C1383,D1383-C1383)*24</f>
        <v/>
      </c>
      <c r="H1383" s="18">
        <f>MAX(0,G1383-8)</f>
        <v/>
      </c>
    </row>
    <row r="1384">
      <c r="A1384" t="n">
        <v>1206</v>
      </c>
      <c r="B1384" s="14" t="n">
        <v>46240</v>
      </c>
      <c r="C1384" s="17" t="n">
        <v>0.2708333333333333</v>
      </c>
      <c r="D1384" s="17" t="n">
        <v>0.6041666666666666</v>
      </c>
      <c r="E1384" t="inlineStr">
        <is>
          <t>Day</t>
        </is>
      </c>
      <c r="F1384" t="inlineStr">
        <is>
          <t>Aug</t>
        </is>
      </c>
      <c r="G1384" s="18">
        <f>IF(D1384&lt;C1384,D1384+1-C1384,D1384-C1384)*24</f>
        <v/>
      </c>
      <c r="H1384" s="18">
        <f>MAX(0,G1384-8)</f>
        <v/>
      </c>
    </row>
    <row r="1385">
      <c r="A1385" t="n">
        <v>1207</v>
      </c>
      <c r="B1385" s="14" t="n">
        <v>46240</v>
      </c>
      <c r="C1385" s="17" t="n">
        <v>0.25</v>
      </c>
      <c r="D1385" s="17" t="n">
        <v>0.6666666666666666</v>
      </c>
      <c r="E1385" t="inlineStr">
        <is>
          <t>Day</t>
        </is>
      </c>
      <c r="F1385" t="inlineStr">
        <is>
          <t>Aug</t>
        </is>
      </c>
      <c r="G1385" s="18">
        <f>IF(D1385&lt;C1385,D1385+1-C1385,D1385-C1385)*24</f>
        <v/>
      </c>
      <c r="H1385" s="18">
        <f>MAX(0,G1385-8)</f>
        <v/>
      </c>
    </row>
    <row r="1386">
      <c r="A1386" t="n">
        <v>1208</v>
      </c>
      <c r="B1386" s="14" t="n">
        <v>46240</v>
      </c>
      <c r="C1386" s="17" t="n">
        <v>0.25</v>
      </c>
      <c r="D1386" s="17" t="n">
        <v>0.6666666666666666</v>
      </c>
      <c r="E1386" t="inlineStr">
        <is>
          <t>Day</t>
        </is>
      </c>
      <c r="F1386" t="inlineStr">
        <is>
          <t>Aug</t>
        </is>
      </c>
      <c r="G1386" s="18">
        <f>IF(D1386&lt;C1386,D1386+1-C1386,D1386-C1386)*24</f>
        <v/>
      </c>
      <c r="H1386" s="18">
        <f>MAX(0,G1386-8)</f>
        <v/>
      </c>
    </row>
    <row r="1387">
      <c r="A1387" t="n">
        <v>1209</v>
      </c>
      <c r="B1387" s="14" t="n">
        <v>46240</v>
      </c>
      <c r="C1387" s="17" t="n">
        <v>0.2708333333333333</v>
      </c>
      <c r="D1387" s="17" t="n">
        <v>0.6041666666666666</v>
      </c>
      <c r="E1387" t="inlineStr">
        <is>
          <t>Day</t>
        </is>
      </c>
      <c r="F1387" t="inlineStr">
        <is>
          <t>Aug</t>
        </is>
      </c>
      <c r="G1387" s="18">
        <f>IF(D1387&lt;C1387,D1387+1-C1387,D1387-C1387)*24</f>
        <v/>
      </c>
      <c r="H1387" s="18">
        <f>MAX(0,G1387-8)</f>
        <v/>
      </c>
    </row>
    <row r="1388">
      <c r="A1388" t="n">
        <v>1210</v>
      </c>
      <c r="B1388" s="14" t="n">
        <v>46240</v>
      </c>
      <c r="C1388" s="17" t="n">
        <v>0.25</v>
      </c>
      <c r="D1388" s="17" t="n">
        <v>0.625</v>
      </c>
      <c r="E1388" t="inlineStr">
        <is>
          <t>Day</t>
        </is>
      </c>
      <c r="F1388" t="inlineStr">
        <is>
          <t>Aug</t>
        </is>
      </c>
      <c r="G1388" s="18">
        <f>IF(D1388&lt;C1388,D1388+1-C1388,D1388-C1388)*24</f>
        <v/>
      </c>
      <c r="H1388" s="18">
        <f>MAX(0,G1388-8)</f>
        <v/>
      </c>
    </row>
    <row r="1389">
      <c r="A1389" t="n">
        <v>1211</v>
      </c>
      <c r="B1389" s="14" t="n">
        <v>46240</v>
      </c>
      <c r="C1389" s="17" t="n">
        <v>0.2708333333333333</v>
      </c>
      <c r="D1389" s="17" t="n">
        <v>0.625</v>
      </c>
      <c r="E1389" t="inlineStr">
        <is>
          <t>Day</t>
        </is>
      </c>
      <c r="F1389" t="inlineStr">
        <is>
          <t>Aug</t>
        </is>
      </c>
      <c r="G1389" s="18">
        <f>IF(D1389&lt;C1389,D1389+1-C1389,D1389-C1389)*24</f>
        <v/>
      </c>
      <c r="H1389" s="18">
        <f>MAX(0,G1389-8)</f>
        <v/>
      </c>
    </row>
    <row r="1390">
      <c r="A1390" t="n">
        <v>1212</v>
      </c>
      <c r="B1390" s="14" t="n">
        <v>46240</v>
      </c>
      <c r="C1390" s="17" t="n">
        <v>0.25</v>
      </c>
      <c r="D1390" s="17" t="n">
        <v>0.5833333333333334</v>
      </c>
      <c r="E1390" t="inlineStr">
        <is>
          <t>Day</t>
        </is>
      </c>
      <c r="F1390" t="inlineStr">
        <is>
          <t>Aug</t>
        </is>
      </c>
      <c r="G1390" s="18">
        <f>IF(D1390&lt;C1390,D1390+1-C1390,D1390-C1390)*24</f>
        <v/>
      </c>
      <c r="H1390" s="18">
        <f>MAX(0,G1390-8)</f>
        <v/>
      </c>
    </row>
    <row r="1391">
      <c r="A1391" t="n">
        <v>1213</v>
      </c>
      <c r="B1391" s="14" t="n">
        <v>46240</v>
      </c>
      <c r="C1391" s="17" t="n">
        <v>0.25</v>
      </c>
      <c r="D1391" s="17" t="n">
        <v>0.6666666666666666</v>
      </c>
      <c r="E1391" t="inlineStr">
        <is>
          <t>Day</t>
        </is>
      </c>
      <c r="F1391" t="inlineStr">
        <is>
          <t>Aug</t>
        </is>
      </c>
      <c r="G1391" s="18">
        <f>IF(D1391&lt;C1391,D1391+1-C1391,D1391-C1391)*24</f>
        <v/>
      </c>
      <c r="H1391" s="18">
        <f>MAX(0,G1391-8)</f>
        <v/>
      </c>
    </row>
    <row r="1392">
      <c r="A1392" t="n">
        <v>1214</v>
      </c>
      <c r="B1392" s="14" t="n">
        <v>46240</v>
      </c>
      <c r="C1392" s="17" t="n">
        <v>0.25</v>
      </c>
      <c r="D1392" s="17" t="n">
        <v>0.5833333333333334</v>
      </c>
      <c r="E1392" t="inlineStr">
        <is>
          <t>Day</t>
        </is>
      </c>
      <c r="F1392" t="inlineStr">
        <is>
          <t>Aug</t>
        </is>
      </c>
      <c r="G1392" s="18">
        <f>IF(D1392&lt;C1392,D1392+1-C1392,D1392-C1392)*24</f>
        <v/>
      </c>
      <c r="H1392" s="18">
        <f>MAX(0,G1392-8)</f>
        <v/>
      </c>
    </row>
    <row r="1393">
      <c r="A1393" t="n">
        <v>1216</v>
      </c>
      <c r="B1393" s="14" t="n">
        <v>46240</v>
      </c>
      <c r="C1393" s="17" t="n">
        <v>0.2708333333333333</v>
      </c>
      <c r="D1393" s="17" t="n">
        <v>0.6041666666666666</v>
      </c>
      <c r="E1393" t="inlineStr">
        <is>
          <t>Day</t>
        </is>
      </c>
      <c r="F1393" t="inlineStr">
        <is>
          <t>Aug</t>
        </is>
      </c>
      <c r="G1393" s="18">
        <f>IF(D1393&lt;C1393,D1393+1-C1393,D1393-C1393)*24</f>
        <v/>
      </c>
      <c r="H1393" s="18">
        <f>MAX(0,G1393-8)</f>
        <v/>
      </c>
    </row>
    <row r="1394">
      <c r="A1394" t="n">
        <v>1217</v>
      </c>
      <c r="B1394" s="14" t="n">
        <v>46240</v>
      </c>
      <c r="C1394" s="17" t="n">
        <v>0.25</v>
      </c>
      <c r="D1394" s="17" t="n">
        <v>0.6666666666666666</v>
      </c>
      <c r="E1394" t="inlineStr">
        <is>
          <t>Day</t>
        </is>
      </c>
      <c r="F1394" t="inlineStr">
        <is>
          <t>Aug</t>
        </is>
      </c>
      <c r="G1394" s="18">
        <f>IF(D1394&lt;C1394,D1394+1-C1394,D1394-C1394)*24</f>
        <v/>
      </c>
      <c r="H1394" s="18">
        <f>MAX(0,G1394-8)</f>
        <v/>
      </c>
    </row>
    <row r="1395">
      <c r="A1395" t="n">
        <v>1218</v>
      </c>
      <c r="B1395" s="14" t="n">
        <v>46240</v>
      </c>
      <c r="C1395" s="17" t="n">
        <v>0.2708333333333333</v>
      </c>
      <c r="D1395" s="17" t="n">
        <v>0.6041666666666666</v>
      </c>
      <c r="E1395" t="inlineStr">
        <is>
          <t>Day</t>
        </is>
      </c>
      <c r="F1395" t="inlineStr">
        <is>
          <t>Aug</t>
        </is>
      </c>
      <c r="G1395" s="18">
        <f>IF(D1395&lt;C1395,D1395+1-C1395,D1395-C1395)*24</f>
        <v/>
      </c>
      <c r="H1395" s="18">
        <f>MAX(0,G1395-8)</f>
        <v/>
      </c>
    </row>
    <row r="1396">
      <c r="A1396" t="n">
        <v>1219</v>
      </c>
      <c r="B1396" s="14" t="n">
        <v>46240</v>
      </c>
      <c r="C1396" s="17" t="n">
        <v>0.25</v>
      </c>
      <c r="D1396" s="17" t="n">
        <v>0.6041666666666666</v>
      </c>
      <c r="E1396" t="inlineStr">
        <is>
          <t>Day</t>
        </is>
      </c>
      <c r="F1396" t="inlineStr">
        <is>
          <t>Aug</t>
        </is>
      </c>
      <c r="G1396" s="18">
        <f>IF(D1396&lt;C1396,D1396+1-C1396,D1396-C1396)*24</f>
        <v/>
      </c>
      <c r="H1396" s="18">
        <f>MAX(0,G1396-8)</f>
        <v/>
      </c>
    </row>
    <row r="1397">
      <c r="A1397" t="n">
        <v>1220</v>
      </c>
      <c r="B1397" s="14" t="n">
        <v>46240</v>
      </c>
      <c r="C1397" s="17" t="n">
        <v>0.2708333333333333</v>
      </c>
      <c r="D1397" s="17" t="n">
        <v>0.6458333333333334</v>
      </c>
      <c r="E1397" t="inlineStr">
        <is>
          <t>Day</t>
        </is>
      </c>
      <c r="F1397" t="inlineStr">
        <is>
          <t>Aug</t>
        </is>
      </c>
      <c r="G1397" s="18">
        <f>IF(D1397&lt;C1397,D1397+1-C1397,D1397-C1397)*24</f>
        <v/>
      </c>
      <c r="H1397" s="18">
        <f>MAX(0,G1397-8)</f>
        <v/>
      </c>
    </row>
    <row r="1398">
      <c r="A1398" t="n">
        <v>1101</v>
      </c>
      <c r="B1398" s="14" t="n">
        <v>46241</v>
      </c>
      <c r="C1398" s="17" t="n">
        <v>0.9166666666666666</v>
      </c>
      <c r="D1398" s="17" t="n">
        <v>0.375</v>
      </c>
      <c r="E1398" t="inlineStr">
        <is>
          <t>Night</t>
        </is>
      </c>
      <c r="F1398" t="inlineStr">
        <is>
          <t>Aug</t>
        </is>
      </c>
      <c r="G1398" s="18">
        <f>IF(D1398&lt;C1398,D1398+1-C1398,D1398-C1398)*24</f>
        <v/>
      </c>
      <c r="H1398" s="18">
        <f>MAX(0,G1398-8)</f>
        <v/>
      </c>
    </row>
    <row r="1399">
      <c r="A1399" t="n">
        <v>1102</v>
      </c>
      <c r="B1399" s="14" t="n">
        <v>46241</v>
      </c>
      <c r="C1399" s="17" t="n">
        <v>0.9166666666666666</v>
      </c>
      <c r="D1399" s="17" t="n">
        <v>0.25</v>
      </c>
      <c r="E1399" t="inlineStr">
        <is>
          <t>Night</t>
        </is>
      </c>
      <c r="F1399" t="inlineStr">
        <is>
          <t>Aug</t>
        </is>
      </c>
      <c r="G1399" s="18">
        <f>IF(D1399&lt;C1399,D1399+1-C1399,D1399-C1399)*24</f>
        <v/>
      </c>
      <c r="H1399" s="18">
        <f>MAX(0,G1399-8)</f>
        <v/>
      </c>
    </row>
    <row r="1400">
      <c r="A1400" t="n">
        <v>1103</v>
      </c>
      <c r="B1400" s="14" t="n">
        <v>46241</v>
      </c>
      <c r="C1400" s="17" t="n">
        <v>0.9166666666666666</v>
      </c>
      <c r="D1400" s="17" t="n">
        <v>0.3125</v>
      </c>
      <c r="E1400" t="inlineStr">
        <is>
          <t>Night</t>
        </is>
      </c>
      <c r="F1400" t="inlineStr">
        <is>
          <t>Aug</t>
        </is>
      </c>
      <c r="G1400" s="18">
        <f>IF(D1400&lt;C1400,D1400+1-C1400,D1400-C1400)*24</f>
        <v/>
      </c>
      <c r="H1400" s="18">
        <f>MAX(0,G1400-8)</f>
        <v/>
      </c>
    </row>
    <row r="1401">
      <c r="A1401" t="n">
        <v>1104</v>
      </c>
      <c r="B1401" s="14" t="n">
        <v>46241</v>
      </c>
      <c r="C1401" s="17" t="n">
        <v>0.9375</v>
      </c>
      <c r="D1401" s="17" t="n">
        <v>0.3125</v>
      </c>
      <c r="E1401" t="inlineStr">
        <is>
          <t>Night</t>
        </is>
      </c>
      <c r="F1401" t="inlineStr">
        <is>
          <t>Aug</t>
        </is>
      </c>
      <c r="G1401" s="18">
        <f>IF(D1401&lt;C1401,D1401+1-C1401,D1401-C1401)*24</f>
        <v/>
      </c>
      <c r="H1401" s="18">
        <f>MAX(0,G1401-8)</f>
        <v/>
      </c>
    </row>
    <row r="1402">
      <c r="A1402" t="n">
        <v>1106</v>
      </c>
      <c r="B1402" s="14" t="n">
        <v>46241</v>
      </c>
      <c r="C1402" s="17" t="n">
        <v>0.9166666666666666</v>
      </c>
      <c r="D1402" s="17" t="n">
        <v>0.2708333333333333</v>
      </c>
      <c r="E1402" t="inlineStr">
        <is>
          <t>Night</t>
        </is>
      </c>
      <c r="F1402" t="inlineStr">
        <is>
          <t>Aug</t>
        </is>
      </c>
      <c r="G1402" s="18">
        <f>IF(D1402&lt;C1402,D1402+1-C1402,D1402-C1402)*24</f>
        <v/>
      </c>
      <c r="H1402" s="18">
        <f>MAX(0,G1402-8)</f>
        <v/>
      </c>
    </row>
    <row r="1403">
      <c r="A1403" t="n">
        <v>1107</v>
      </c>
      <c r="B1403" s="14" t="n">
        <v>46241</v>
      </c>
      <c r="C1403" s="17" t="n">
        <v>0.9166666666666666</v>
      </c>
      <c r="D1403" s="17" t="n">
        <v>0.25</v>
      </c>
      <c r="E1403" t="inlineStr">
        <is>
          <t>Night</t>
        </is>
      </c>
      <c r="F1403" t="inlineStr">
        <is>
          <t>Aug</t>
        </is>
      </c>
      <c r="G1403" s="18">
        <f>IF(D1403&lt;C1403,D1403+1-C1403,D1403-C1403)*24</f>
        <v/>
      </c>
      <c r="H1403" s="18">
        <f>MAX(0,G1403-8)</f>
        <v/>
      </c>
    </row>
    <row r="1404">
      <c r="A1404" t="n">
        <v>1108</v>
      </c>
      <c r="B1404" s="14" t="n">
        <v>46241</v>
      </c>
      <c r="C1404" s="17" t="n">
        <v>0.9375</v>
      </c>
      <c r="D1404" s="17" t="n">
        <v>0.2708333333333333</v>
      </c>
      <c r="E1404" t="inlineStr">
        <is>
          <t>Night</t>
        </is>
      </c>
      <c r="F1404" t="inlineStr">
        <is>
          <t>Aug</t>
        </is>
      </c>
      <c r="G1404" s="18">
        <f>IF(D1404&lt;C1404,D1404+1-C1404,D1404-C1404)*24</f>
        <v/>
      </c>
      <c r="H1404" s="18">
        <f>MAX(0,G1404-8)</f>
        <v/>
      </c>
    </row>
    <row r="1405">
      <c r="A1405" t="n">
        <v>1109</v>
      </c>
      <c r="B1405" s="14" t="n">
        <v>46241</v>
      </c>
      <c r="C1405" s="17" t="n">
        <v>0.9166666666666666</v>
      </c>
      <c r="D1405" s="17" t="n">
        <v>0.2916666666666667</v>
      </c>
      <c r="E1405" t="inlineStr">
        <is>
          <t>Night</t>
        </is>
      </c>
      <c r="F1405" t="inlineStr">
        <is>
          <t>Aug</t>
        </is>
      </c>
      <c r="G1405" s="18">
        <f>IF(D1405&lt;C1405,D1405+1-C1405,D1405-C1405)*24</f>
        <v/>
      </c>
      <c r="H1405" s="18">
        <f>MAX(0,G1405-8)</f>
        <v/>
      </c>
    </row>
    <row r="1406">
      <c r="A1406" t="n">
        <v>1112</v>
      </c>
      <c r="B1406" s="14" t="n">
        <v>46241</v>
      </c>
      <c r="C1406" s="17" t="n">
        <v>0.9270833333333334</v>
      </c>
      <c r="D1406" s="17" t="n">
        <v>0.28125</v>
      </c>
      <c r="E1406" t="inlineStr">
        <is>
          <t>Night</t>
        </is>
      </c>
      <c r="F1406" t="inlineStr">
        <is>
          <t>Aug</t>
        </is>
      </c>
      <c r="G1406" s="18">
        <f>IF(D1406&lt;C1406,D1406+1-C1406,D1406-C1406)*24</f>
        <v/>
      </c>
      <c r="H1406" s="18">
        <f>MAX(0,G1406-8)</f>
        <v/>
      </c>
    </row>
    <row r="1407">
      <c r="A1407" t="n">
        <v>1113</v>
      </c>
      <c r="B1407" s="14" t="n">
        <v>46241</v>
      </c>
      <c r="C1407" s="17" t="n">
        <v>0.9166666666666666</v>
      </c>
      <c r="D1407" s="17" t="n">
        <v>0.2708333333333333</v>
      </c>
      <c r="E1407" t="inlineStr">
        <is>
          <t>Night</t>
        </is>
      </c>
      <c r="F1407" t="inlineStr">
        <is>
          <t>Aug</t>
        </is>
      </c>
      <c r="G1407" s="18">
        <f>IF(D1407&lt;C1407,D1407+1-C1407,D1407-C1407)*24</f>
        <v/>
      </c>
      <c r="H1407" s="18">
        <f>MAX(0,G1407-8)</f>
        <v/>
      </c>
    </row>
    <row r="1408">
      <c r="A1408" t="n">
        <v>1114</v>
      </c>
      <c r="B1408" s="14" t="n">
        <v>46241</v>
      </c>
      <c r="C1408" s="17" t="n">
        <v>0.9375</v>
      </c>
      <c r="D1408" s="17" t="n">
        <v>0.2708333333333333</v>
      </c>
      <c r="E1408" t="inlineStr">
        <is>
          <t>Night</t>
        </is>
      </c>
      <c r="F1408" t="inlineStr">
        <is>
          <t>Aug</t>
        </is>
      </c>
      <c r="G1408" s="18">
        <f>IF(D1408&lt;C1408,D1408+1-C1408,D1408-C1408)*24</f>
        <v/>
      </c>
      <c r="H1408" s="18">
        <f>MAX(0,G1408-8)</f>
        <v/>
      </c>
    </row>
    <row r="1409">
      <c r="A1409" t="n">
        <v>1115</v>
      </c>
      <c r="B1409" s="14" t="n">
        <v>46241</v>
      </c>
      <c r="C1409" s="17" t="n">
        <v>0.9375</v>
      </c>
      <c r="D1409" s="17" t="n">
        <v>0.2916666666666667</v>
      </c>
      <c r="E1409" t="inlineStr">
        <is>
          <t>Night</t>
        </is>
      </c>
      <c r="F1409" t="inlineStr">
        <is>
          <t>Aug</t>
        </is>
      </c>
      <c r="G1409" s="18">
        <f>IF(D1409&lt;C1409,D1409+1-C1409,D1409-C1409)*24</f>
        <v/>
      </c>
      <c r="H1409" s="18">
        <f>MAX(0,G1409-8)</f>
        <v/>
      </c>
    </row>
    <row r="1410">
      <c r="A1410" t="n">
        <v>1116</v>
      </c>
      <c r="B1410" s="14" t="n">
        <v>46241</v>
      </c>
      <c r="C1410" s="17" t="n">
        <v>0.9166666666666666</v>
      </c>
      <c r="D1410" s="17" t="n">
        <v>0.25</v>
      </c>
      <c r="E1410" t="inlineStr">
        <is>
          <t>Night</t>
        </is>
      </c>
      <c r="F1410" t="inlineStr">
        <is>
          <t>Aug</t>
        </is>
      </c>
      <c r="G1410" s="18">
        <f>IF(D1410&lt;C1410,D1410+1-C1410,D1410-C1410)*24</f>
        <v/>
      </c>
      <c r="H1410" s="18">
        <f>MAX(0,G1410-8)</f>
        <v/>
      </c>
    </row>
    <row r="1411">
      <c r="A1411" t="n">
        <v>1118</v>
      </c>
      <c r="B1411" s="14" t="n">
        <v>46241</v>
      </c>
      <c r="C1411" s="17" t="n">
        <v>0.9166666666666666</v>
      </c>
      <c r="D1411" s="17" t="n">
        <v>0.25</v>
      </c>
      <c r="E1411" t="inlineStr">
        <is>
          <t>Night</t>
        </is>
      </c>
      <c r="F1411" t="inlineStr">
        <is>
          <t>Aug</t>
        </is>
      </c>
      <c r="G1411" s="18">
        <f>IF(D1411&lt;C1411,D1411+1-C1411,D1411-C1411)*24</f>
        <v/>
      </c>
      <c r="H1411" s="18">
        <f>MAX(0,G1411-8)</f>
        <v/>
      </c>
    </row>
    <row r="1412">
      <c r="A1412" t="n">
        <v>1119</v>
      </c>
      <c r="B1412" s="14" t="n">
        <v>46241</v>
      </c>
      <c r="C1412" s="17" t="n">
        <v>0.9166666666666666</v>
      </c>
      <c r="D1412" s="17" t="n">
        <v>0.3333333333333333</v>
      </c>
      <c r="E1412" t="inlineStr">
        <is>
          <t>Night</t>
        </is>
      </c>
      <c r="F1412" t="inlineStr">
        <is>
          <t>Aug</t>
        </is>
      </c>
      <c r="G1412" s="18">
        <f>IF(D1412&lt;C1412,D1412+1-C1412,D1412-C1412)*24</f>
        <v/>
      </c>
      <c r="H1412" s="18">
        <f>MAX(0,G1412-8)</f>
        <v/>
      </c>
    </row>
    <row r="1413">
      <c r="A1413" t="n">
        <v>1120</v>
      </c>
      <c r="B1413" s="14" t="n">
        <v>46241</v>
      </c>
      <c r="C1413" s="17" t="n">
        <v>0.9375</v>
      </c>
      <c r="D1413" s="17" t="n">
        <v>0.3125</v>
      </c>
      <c r="E1413" t="inlineStr">
        <is>
          <t>Night</t>
        </is>
      </c>
      <c r="F1413" t="inlineStr">
        <is>
          <t>Aug</t>
        </is>
      </c>
      <c r="G1413" s="18">
        <f>IF(D1413&lt;C1413,D1413+1-C1413,D1413-C1413)*24</f>
        <v/>
      </c>
      <c r="H1413" s="18">
        <f>MAX(0,G1413-8)</f>
        <v/>
      </c>
    </row>
    <row r="1414">
      <c r="A1414" t="n">
        <v>1121</v>
      </c>
      <c r="B1414" s="14" t="n">
        <v>46241</v>
      </c>
      <c r="C1414" s="17" t="n">
        <v>0.9375</v>
      </c>
      <c r="D1414" s="17" t="n">
        <v>0.3125</v>
      </c>
      <c r="E1414" t="inlineStr">
        <is>
          <t>Night</t>
        </is>
      </c>
      <c r="F1414" t="inlineStr">
        <is>
          <t>Aug</t>
        </is>
      </c>
      <c r="G1414" s="18">
        <f>IF(D1414&lt;C1414,D1414+1-C1414,D1414-C1414)*24</f>
        <v/>
      </c>
      <c r="H1414" s="18">
        <f>MAX(0,G1414-8)</f>
        <v/>
      </c>
    </row>
    <row r="1415">
      <c r="A1415" t="n">
        <v>1122</v>
      </c>
      <c r="B1415" s="14" t="n">
        <v>46241</v>
      </c>
      <c r="C1415" s="17" t="n">
        <v>0.9166666666666666</v>
      </c>
      <c r="D1415" s="17" t="n">
        <v>0.2708333333333333</v>
      </c>
      <c r="E1415" t="inlineStr">
        <is>
          <t>Night</t>
        </is>
      </c>
      <c r="F1415" t="inlineStr">
        <is>
          <t>Aug</t>
        </is>
      </c>
      <c r="G1415" s="18">
        <f>IF(D1415&lt;C1415,D1415+1-C1415,D1415-C1415)*24</f>
        <v/>
      </c>
      <c r="H1415" s="18">
        <f>MAX(0,G1415-8)</f>
        <v/>
      </c>
    </row>
    <row r="1416">
      <c r="A1416" t="n">
        <v>1123</v>
      </c>
      <c r="B1416" s="14" t="n">
        <v>46241</v>
      </c>
      <c r="C1416" s="17" t="n">
        <v>0.9166666666666666</v>
      </c>
      <c r="D1416" s="17" t="n">
        <v>0.2916666666666667</v>
      </c>
      <c r="E1416" t="inlineStr">
        <is>
          <t>Night</t>
        </is>
      </c>
      <c r="F1416" t="inlineStr">
        <is>
          <t>Aug</t>
        </is>
      </c>
      <c r="G1416" s="18">
        <f>IF(D1416&lt;C1416,D1416+1-C1416,D1416-C1416)*24</f>
        <v/>
      </c>
      <c r="H1416" s="18">
        <f>MAX(0,G1416-8)</f>
        <v/>
      </c>
    </row>
    <row r="1417">
      <c r="A1417" t="n">
        <v>1124</v>
      </c>
      <c r="B1417" s="14" t="n">
        <v>46241</v>
      </c>
      <c r="C1417" s="17" t="n">
        <v>0.9166666666666666</v>
      </c>
      <c r="D1417" s="17" t="n">
        <v>0.3333333333333333</v>
      </c>
      <c r="E1417" t="inlineStr">
        <is>
          <t>Night</t>
        </is>
      </c>
      <c r="F1417" t="inlineStr">
        <is>
          <t>Aug</t>
        </is>
      </c>
      <c r="G1417" s="18">
        <f>IF(D1417&lt;C1417,D1417+1-C1417,D1417-C1417)*24</f>
        <v/>
      </c>
      <c r="H1417" s="18">
        <f>MAX(0,G1417-8)</f>
        <v/>
      </c>
    </row>
    <row r="1418">
      <c r="A1418" t="n">
        <v>1125</v>
      </c>
      <c r="B1418" s="14" t="n">
        <v>46241</v>
      </c>
      <c r="C1418" s="17" t="n">
        <v>0.9375</v>
      </c>
      <c r="D1418" s="17" t="n">
        <v>0.3125</v>
      </c>
      <c r="E1418" t="inlineStr">
        <is>
          <t>Night</t>
        </is>
      </c>
      <c r="F1418" t="inlineStr">
        <is>
          <t>Aug</t>
        </is>
      </c>
      <c r="G1418" s="18">
        <f>IF(D1418&lt;C1418,D1418+1-C1418,D1418-C1418)*24</f>
        <v/>
      </c>
      <c r="H1418" s="18">
        <f>MAX(0,G1418-8)</f>
        <v/>
      </c>
    </row>
    <row r="1419">
      <c r="A1419" t="n">
        <v>1126</v>
      </c>
      <c r="B1419" s="14" t="n">
        <v>46241</v>
      </c>
      <c r="C1419" s="17" t="n">
        <v>0.9375</v>
      </c>
      <c r="D1419" s="17" t="n">
        <v>0.375</v>
      </c>
      <c r="E1419" t="inlineStr">
        <is>
          <t>Night</t>
        </is>
      </c>
      <c r="F1419" t="inlineStr">
        <is>
          <t>Aug</t>
        </is>
      </c>
      <c r="G1419" s="18">
        <f>IF(D1419&lt;C1419,D1419+1-C1419,D1419-C1419)*24</f>
        <v/>
      </c>
      <c r="H1419" s="18">
        <f>MAX(0,G1419-8)</f>
        <v/>
      </c>
    </row>
    <row r="1420">
      <c r="A1420" t="n">
        <v>1127</v>
      </c>
      <c r="B1420" s="14" t="n">
        <v>46241</v>
      </c>
      <c r="C1420" s="17" t="n">
        <v>0.9166666666666666</v>
      </c>
      <c r="D1420" s="17" t="n">
        <v>0.25</v>
      </c>
      <c r="E1420" t="inlineStr">
        <is>
          <t>Night</t>
        </is>
      </c>
      <c r="F1420" t="inlineStr">
        <is>
          <t>Aug</t>
        </is>
      </c>
      <c r="G1420" s="18">
        <f>IF(D1420&lt;C1420,D1420+1-C1420,D1420-C1420)*24</f>
        <v/>
      </c>
      <c r="H1420" s="18">
        <f>MAX(0,G1420-8)</f>
        <v/>
      </c>
    </row>
    <row r="1421">
      <c r="A1421" t="n">
        <v>1128</v>
      </c>
      <c r="B1421" s="14" t="n">
        <v>46241</v>
      </c>
      <c r="C1421" s="17" t="n">
        <v>0.9166666666666666</v>
      </c>
      <c r="D1421" s="17" t="n">
        <v>0.3125</v>
      </c>
      <c r="E1421" t="inlineStr">
        <is>
          <t>Night</t>
        </is>
      </c>
      <c r="F1421" t="inlineStr">
        <is>
          <t>Aug</t>
        </is>
      </c>
      <c r="G1421" s="18">
        <f>IF(D1421&lt;C1421,D1421+1-C1421,D1421-C1421)*24</f>
        <v/>
      </c>
      <c r="H1421" s="18">
        <f>MAX(0,G1421-8)</f>
        <v/>
      </c>
    </row>
    <row r="1422">
      <c r="A1422" t="n">
        <v>1129</v>
      </c>
      <c r="B1422" s="14" t="n">
        <v>46241</v>
      </c>
      <c r="C1422" s="17" t="n">
        <v>0.9270833333333334</v>
      </c>
      <c r="D1422" s="17" t="n">
        <v>0.3020833333333333</v>
      </c>
      <c r="E1422" t="inlineStr">
        <is>
          <t>Night</t>
        </is>
      </c>
      <c r="F1422" t="inlineStr">
        <is>
          <t>Aug</t>
        </is>
      </c>
      <c r="G1422" s="18">
        <f>IF(D1422&lt;C1422,D1422+1-C1422,D1422-C1422)*24</f>
        <v/>
      </c>
      <c r="H1422" s="18">
        <f>MAX(0,G1422-8)</f>
        <v/>
      </c>
    </row>
    <row r="1423">
      <c r="A1423" t="n">
        <v>1130</v>
      </c>
      <c r="B1423" s="14" t="n">
        <v>46241</v>
      </c>
      <c r="C1423" s="17" t="n">
        <v>0.9166666666666666</v>
      </c>
      <c r="D1423" s="17" t="n">
        <v>0.2708333333333333</v>
      </c>
      <c r="E1423" t="inlineStr">
        <is>
          <t>Night</t>
        </is>
      </c>
      <c r="F1423" t="inlineStr">
        <is>
          <t>Aug</t>
        </is>
      </c>
      <c r="G1423" s="18">
        <f>IF(D1423&lt;C1423,D1423+1-C1423,D1423-C1423)*24</f>
        <v/>
      </c>
      <c r="H1423" s="18">
        <f>MAX(0,G1423-8)</f>
        <v/>
      </c>
    </row>
    <row r="1424">
      <c r="A1424" t="n">
        <v>1131</v>
      </c>
      <c r="B1424" s="14" t="n">
        <v>46241</v>
      </c>
      <c r="C1424" s="17" t="n">
        <v>0.9166666666666666</v>
      </c>
      <c r="D1424" s="17" t="n">
        <v>0.3541666666666667</v>
      </c>
      <c r="E1424" t="inlineStr">
        <is>
          <t>Night</t>
        </is>
      </c>
      <c r="F1424" t="inlineStr">
        <is>
          <t>Aug</t>
        </is>
      </c>
      <c r="G1424" s="18">
        <f>IF(D1424&lt;C1424,D1424+1-C1424,D1424-C1424)*24</f>
        <v/>
      </c>
      <c r="H1424" s="18">
        <f>MAX(0,G1424-8)</f>
        <v/>
      </c>
    </row>
    <row r="1425">
      <c r="A1425" t="n">
        <v>1132</v>
      </c>
      <c r="B1425" s="14" t="n">
        <v>46241</v>
      </c>
      <c r="C1425" s="17" t="n">
        <v>0.9270833333333334</v>
      </c>
      <c r="D1425" s="17" t="n">
        <v>0.3020833333333333</v>
      </c>
      <c r="E1425" t="inlineStr">
        <is>
          <t>Night</t>
        </is>
      </c>
      <c r="F1425" t="inlineStr">
        <is>
          <t>Aug</t>
        </is>
      </c>
      <c r="G1425" s="18">
        <f>IF(D1425&lt;C1425,D1425+1-C1425,D1425-C1425)*24</f>
        <v/>
      </c>
      <c r="H1425" s="18">
        <f>MAX(0,G1425-8)</f>
        <v/>
      </c>
    </row>
    <row r="1426">
      <c r="A1426" t="n">
        <v>1133</v>
      </c>
      <c r="B1426" s="14" t="n">
        <v>46241</v>
      </c>
      <c r="C1426" s="17" t="n">
        <v>0.9166666666666666</v>
      </c>
      <c r="D1426" s="17" t="n">
        <v>0.25</v>
      </c>
      <c r="E1426" t="inlineStr">
        <is>
          <t>Night</t>
        </is>
      </c>
      <c r="F1426" t="inlineStr">
        <is>
          <t>Aug</t>
        </is>
      </c>
      <c r="G1426" s="18">
        <f>IF(D1426&lt;C1426,D1426+1-C1426,D1426-C1426)*24</f>
        <v/>
      </c>
      <c r="H1426" s="18">
        <f>MAX(0,G1426-8)</f>
        <v/>
      </c>
    </row>
    <row r="1427">
      <c r="A1427" t="n">
        <v>1134</v>
      </c>
      <c r="B1427" s="14" t="n">
        <v>46241</v>
      </c>
      <c r="C1427" s="17" t="n">
        <v>0.9166666666666666</v>
      </c>
      <c r="D1427" s="17" t="n">
        <v>0.375</v>
      </c>
      <c r="E1427" t="inlineStr">
        <is>
          <t>Night</t>
        </is>
      </c>
      <c r="F1427" t="inlineStr">
        <is>
          <t>Aug</t>
        </is>
      </c>
      <c r="G1427" s="18">
        <f>IF(D1427&lt;C1427,D1427+1-C1427,D1427-C1427)*24</f>
        <v/>
      </c>
      <c r="H1427" s="18">
        <f>MAX(0,G1427-8)</f>
        <v/>
      </c>
    </row>
    <row r="1428">
      <c r="A1428" t="n">
        <v>1135</v>
      </c>
      <c r="B1428" s="14" t="n">
        <v>46241</v>
      </c>
      <c r="C1428" s="17" t="n">
        <v>0.9166666666666666</v>
      </c>
      <c r="D1428" s="17" t="n">
        <v>0.2708333333333333</v>
      </c>
      <c r="E1428" t="inlineStr">
        <is>
          <t>Night</t>
        </is>
      </c>
      <c r="F1428" t="inlineStr">
        <is>
          <t>Aug</t>
        </is>
      </c>
      <c r="G1428" s="18">
        <f>IF(D1428&lt;C1428,D1428+1-C1428,D1428-C1428)*24</f>
        <v/>
      </c>
      <c r="H1428" s="18">
        <f>MAX(0,G1428-8)</f>
        <v/>
      </c>
    </row>
    <row r="1429">
      <c r="A1429" t="n">
        <v>1136</v>
      </c>
      <c r="B1429" s="14" t="n">
        <v>46241</v>
      </c>
      <c r="C1429" s="17" t="n">
        <v>0.9166666666666666</v>
      </c>
      <c r="D1429" s="17" t="n">
        <v>0.375</v>
      </c>
      <c r="E1429" t="inlineStr">
        <is>
          <t>Night</t>
        </is>
      </c>
      <c r="F1429" t="inlineStr">
        <is>
          <t>Aug</t>
        </is>
      </c>
      <c r="G1429" s="18">
        <f>IF(D1429&lt;C1429,D1429+1-C1429,D1429-C1429)*24</f>
        <v/>
      </c>
      <c r="H1429" s="18">
        <f>MAX(0,G1429-8)</f>
        <v/>
      </c>
    </row>
    <row r="1430">
      <c r="A1430" t="n">
        <v>1137</v>
      </c>
      <c r="B1430" s="14" t="n">
        <v>46241</v>
      </c>
      <c r="C1430" s="17" t="n">
        <v>0.9166666666666666</v>
      </c>
      <c r="D1430" s="17" t="n">
        <v>0.25</v>
      </c>
      <c r="E1430" t="inlineStr">
        <is>
          <t>Night</t>
        </is>
      </c>
      <c r="F1430" t="inlineStr">
        <is>
          <t>Aug</t>
        </is>
      </c>
      <c r="G1430" s="18">
        <f>IF(D1430&lt;C1430,D1430+1-C1430,D1430-C1430)*24</f>
        <v/>
      </c>
      <c r="H1430" s="18">
        <f>MAX(0,G1430-8)</f>
        <v/>
      </c>
    </row>
    <row r="1431">
      <c r="A1431" t="n">
        <v>1147</v>
      </c>
      <c r="B1431" s="14" t="n">
        <v>46241</v>
      </c>
      <c r="C1431" s="17" t="n">
        <v>0.9166666666666666</v>
      </c>
      <c r="D1431" s="17" t="n">
        <v>0.375</v>
      </c>
      <c r="E1431" t="inlineStr">
        <is>
          <t>Night</t>
        </is>
      </c>
      <c r="F1431" t="inlineStr">
        <is>
          <t>Aug</t>
        </is>
      </c>
      <c r="G1431" s="18">
        <f>IF(D1431&lt;C1431,D1431+1-C1431,D1431-C1431)*24</f>
        <v/>
      </c>
      <c r="H1431" s="18">
        <f>MAX(0,G1431-8)</f>
        <v/>
      </c>
    </row>
    <row r="1432">
      <c r="A1432" t="n">
        <v>1111</v>
      </c>
      <c r="B1432" s="14" t="n">
        <v>46241</v>
      </c>
      <c r="C1432" s="17" t="n">
        <v>0.02083333333333333</v>
      </c>
      <c r="D1432" s="17" t="n">
        <v>0.375</v>
      </c>
      <c r="E1432" t="inlineStr">
        <is>
          <t>Night</t>
        </is>
      </c>
      <c r="F1432" t="inlineStr">
        <is>
          <t>Aug</t>
        </is>
      </c>
      <c r="G1432" s="18">
        <f>IF(D1432&lt;C1432,D1432+1-C1432,D1432-C1432)*24</f>
        <v/>
      </c>
      <c r="H1432" s="18">
        <f>MAX(0,G1432-8)</f>
        <v/>
      </c>
    </row>
    <row r="1433">
      <c r="A1433" t="n">
        <v>1201</v>
      </c>
      <c r="B1433" s="14" t="n">
        <v>46241</v>
      </c>
      <c r="C1433" s="17" t="n">
        <v>0.25</v>
      </c>
      <c r="D1433" s="17" t="n">
        <v>0.6666666666666666</v>
      </c>
      <c r="E1433" t="inlineStr">
        <is>
          <t>Day</t>
        </is>
      </c>
      <c r="F1433" t="inlineStr">
        <is>
          <t>Aug</t>
        </is>
      </c>
      <c r="G1433" s="18">
        <f>IF(D1433&lt;C1433,D1433+1-C1433,D1433-C1433)*24</f>
        <v/>
      </c>
      <c r="H1433" s="18">
        <f>MAX(0,G1433-8)</f>
        <v/>
      </c>
    </row>
    <row r="1434">
      <c r="A1434" t="n">
        <v>1202</v>
      </c>
      <c r="B1434" s="14" t="n">
        <v>46241</v>
      </c>
      <c r="C1434" s="17" t="n">
        <v>0.2708333333333333</v>
      </c>
      <c r="D1434" s="17" t="n">
        <v>0.6041666666666666</v>
      </c>
      <c r="E1434" t="inlineStr">
        <is>
          <t>Day</t>
        </is>
      </c>
      <c r="F1434" t="inlineStr">
        <is>
          <t>Aug</t>
        </is>
      </c>
      <c r="G1434" s="18">
        <f>IF(D1434&lt;C1434,D1434+1-C1434,D1434-C1434)*24</f>
        <v/>
      </c>
      <c r="H1434" s="18">
        <f>MAX(0,G1434-8)</f>
        <v/>
      </c>
    </row>
    <row r="1435">
      <c r="A1435" t="n">
        <v>1203</v>
      </c>
      <c r="B1435" s="14" t="n">
        <v>46241</v>
      </c>
      <c r="C1435" s="17" t="n">
        <v>0.25</v>
      </c>
      <c r="D1435" s="17" t="n">
        <v>0.6666666666666666</v>
      </c>
      <c r="E1435" t="inlineStr">
        <is>
          <t>Day</t>
        </is>
      </c>
      <c r="F1435" t="inlineStr">
        <is>
          <t>Aug</t>
        </is>
      </c>
      <c r="G1435" s="18">
        <f>IF(D1435&lt;C1435,D1435+1-C1435,D1435-C1435)*24</f>
        <v/>
      </c>
      <c r="H1435" s="18">
        <f>MAX(0,G1435-8)</f>
        <v/>
      </c>
    </row>
    <row r="1436">
      <c r="A1436" t="n">
        <v>1204</v>
      </c>
      <c r="B1436" s="14" t="n">
        <v>46241</v>
      </c>
      <c r="C1436" s="17" t="n">
        <v>0.25</v>
      </c>
      <c r="D1436" s="17" t="n">
        <v>0.6041666666666666</v>
      </c>
      <c r="E1436" t="inlineStr">
        <is>
          <t>Day</t>
        </is>
      </c>
      <c r="F1436" t="inlineStr">
        <is>
          <t>Aug</t>
        </is>
      </c>
      <c r="G1436" s="18">
        <f>IF(D1436&lt;C1436,D1436+1-C1436,D1436-C1436)*24</f>
        <v/>
      </c>
      <c r="H1436" s="18">
        <f>MAX(0,G1436-8)</f>
        <v/>
      </c>
    </row>
    <row r="1437">
      <c r="A1437" t="n">
        <v>1205</v>
      </c>
      <c r="B1437" s="14" t="n">
        <v>46241</v>
      </c>
      <c r="C1437" s="17" t="n">
        <v>0.2708333333333333</v>
      </c>
      <c r="D1437" s="17" t="n">
        <v>0.6458333333333334</v>
      </c>
      <c r="E1437" t="inlineStr">
        <is>
          <t>Day</t>
        </is>
      </c>
      <c r="F1437" t="inlineStr">
        <is>
          <t>Aug</t>
        </is>
      </c>
      <c r="G1437" s="18">
        <f>IF(D1437&lt;C1437,D1437+1-C1437,D1437-C1437)*24</f>
        <v/>
      </c>
      <c r="H1437" s="18">
        <f>MAX(0,G1437-8)</f>
        <v/>
      </c>
    </row>
    <row r="1438">
      <c r="A1438" t="n">
        <v>1206</v>
      </c>
      <c r="B1438" s="14" t="n">
        <v>46241</v>
      </c>
      <c r="C1438" s="17" t="n">
        <v>0.2708333333333333</v>
      </c>
      <c r="D1438" s="17" t="n">
        <v>0.6041666666666666</v>
      </c>
      <c r="E1438" t="inlineStr">
        <is>
          <t>Day</t>
        </is>
      </c>
      <c r="F1438" t="inlineStr">
        <is>
          <t>Aug</t>
        </is>
      </c>
      <c r="G1438" s="18">
        <f>IF(D1438&lt;C1438,D1438+1-C1438,D1438-C1438)*24</f>
        <v/>
      </c>
      <c r="H1438" s="18">
        <f>MAX(0,G1438-8)</f>
        <v/>
      </c>
    </row>
    <row r="1439">
      <c r="A1439" t="n">
        <v>1207</v>
      </c>
      <c r="B1439" s="14" t="n">
        <v>46241</v>
      </c>
      <c r="C1439" s="17" t="n">
        <v>0.25</v>
      </c>
      <c r="D1439" s="17" t="n">
        <v>0.5833333333333334</v>
      </c>
      <c r="E1439" t="inlineStr">
        <is>
          <t>Day</t>
        </is>
      </c>
      <c r="F1439" t="inlineStr">
        <is>
          <t>Aug</t>
        </is>
      </c>
      <c r="G1439" s="18">
        <f>IF(D1439&lt;C1439,D1439+1-C1439,D1439-C1439)*24</f>
        <v/>
      </c>
      <c r="H1439" s="18">
        <f>MAX(0,G1439-8)</f>
        <v/>
      </c>
    </row>
    <row r="1440">
      <c r="A1440" t="n">
        <v>1208</v>
      </c>
      <c r="B1440" s="14" t="n">
        <v>46241</v>
      </c>
      <c r="C1440" s="17" t="n">
        <v>0.25</v>
      </c>
      <c r="D1440" s="17" t="n">
        <v>0.6041666666666666</v>
      </c>
      <c r="E1440" t="inlineStr">
        <is>
          <t>Day</t>
        </is>
      </c>
      <c r="F1440" t="inlineStr">
        <is>
          <t>Aug</t>
        </is>
      </c>
      <c r="G1440" s="18">
        <f>IF(D1440&lt;C1440,D1440+1-C1440,D1440-C1440)*24</f>
        <v/>
      </c>
      <c r="H1440" s="18">
        <f>MAX(0,G1440-8)</f>
        <v/>
      </c>
    </row>
    <row r="1441">
      <c r="A1441" t="n">
        <v>1209</v>
      </c>
      <c r="B1441" s="14" t="n">
        <v>46241</v>
      </c>
      <c r="C1441" s="17" t="n">
        <v>0.2708333333333333</v>
      </c>
      <c r="D1441" s="17" t="n">
        <v>0.6041666666666666</v>
      </c>
      <c r="E1441" t="inlineStr">
        <is>
          <t>Day</t>
        </is>
      </c>
      <c r="F1441" t="inlineStr">
        <is>
          <t>Aug</t>
        </is>
      </c>
      <c r="G1441" s="18">
        <f>IF(D1441&lt;C1441,D1441+1-C1441,D1441-C1441)*24</f>
        <v/>
      </c>
      <c r="H1441" s="18">
        <f>MAX(0,G1441-8)</f>
        <v/>
      </c>
    </row>
    <row r="1442">
      <c r="A1442" t="n">
        <v>1210</v>
      </c>
      <c r="B1442" s="14" t="n">
        <v>46241</v>
      </c>
      <c r="C1442" s="17" t="n">
        <v>0.25</v>
      </c>
      <c r="D1442" s="17" t="n">
        <v>0.5833333333333334</v>
      </c>
      <c r="E1442" t="inlineStr">
        <is>
          <t>Day</t>
        </is>
      </c>
      <c r="F1442" t="inlineStr">
        <is>
          <t>Aug</t>
        </is>
      </c>
      <c r="G1442" s="18">
        <f>IF(D1442&lt;C1442,D1442+1-C1442,D1442-C1442)*24</f>
        <v/>
      </c>
      <c r="H1442" s="18">
        <f>MAX(0,G1442-8)</f>
        <v/>
      </c>
    </row>
    <row r="1443">
      <c r="A1443" t="n">
        <v>1211</v>
      </c>
      <c r="B1443" s="14" t="n">
        <v>46241</v>
      </c>
      <c r="C1443" s="17" t="n">
        <v>0.25</v>
      </c>
      <c r="D1443" s="17" t="n">
        <v>0.625</v>
      </c>
      <c r="E1443" t="inlineStr">
        <is>
          <t>Day</t>
        </is>
      </c>
      <c r="F1443" t="inlineStr">
        <is>
          <t>Aug</t>
        </is>
      </c>
      <c r="G1443" s="18">
        <f>IF(D1443&lt;C1443,D1443+1-C1443,D1443-C1443)*24</f>
        <v/>
      </c>
      <c r="H1443" s="18">
        <f>MAX(0,G1443-8)</f>
        <v/>
      </c>
    </row>
    <row r="1444">
      <c r="A1444" t="n">
        <v>1212</v>
      </c>
      <c r="B1444" s="14" t="n">
        <v>46241</v>
      </c>
      <c r="C1444" s="17" t="n">
        <v>0.2708333333333333</v>
      </c>
      <c r="D1444" s="17" t="n">
        <v>0.6458333333333334</v>
      </c>
      <c r="E1444" t="inlineStr">
        <is>
          <t>Day</t>
        </is>
      </c>
      <c r="F1444" t="inlineStr">
        <is>
          <t>Aug</t>
        </is>
      </c>
      <c r="G1444" s="18">
        <f>IF(D1444&lt;C1444,D1444+1-C1444,D1444-C1444)*24</f>
        <v/>
      </c>
      <c r="H1444" s="18">
        <f>MAX(0,G1444-8)</f>
        <v/>
      </c>
    </row>
    <row r="1445">
      <c r="A1445" t="n">
        <v>1213</v>
      </c>
      <c r="B1445" s="14" t="n">
        <v>46241</v>
      </c>
      <c r="C1445" s="17" t="n">
        <v>0.2708333333333333</v>
      </c>
      <c r="D1445" s="17" t="n">
        <v>0.625</v>
      </c>
      <c r="E1445" t="inlineStr">
        <is>
          <t>Day</t>
        </is>
      </c>
      <c r="F1445" t="inlineStr">
        <is>
          <t>Aug</t>
        </is>
      </c>
      <c r="G1445" s="18">
        <f>IF(D1445&lt;C1445,D1445+1-C1445,D1445-C1445)*24</f>
        <v/>
      </c>
      <c r="H1445" s="18">
        <f>MAX(0,G1445-8)</f>
        <v/>
      </c>
    </row>
    <row r="1446">
      <c r="A1446" t="n">
        <v>1214</v>
      </c>
      <c r="B1446" s="14" t="n">
        <v>46241</v>
      </c>
      <c r="C1446" s="17" t="n">
        <v>0.2708333333333333</v>
      </c>
      <c r="D1446" s="17" t="n">
        <v>0.625</v>
      </c>
      <c r="E1446" t="inlineStr">
        <is>
          <t>Day</t>
        </is>
      </c>
      <c r="F1446" t="inlineStr">
        <is>
          <t>Aug</t>
        </is>
      </c>
      <c r="G1446" s="18">
        <f>IF(D1446&lt;C1446,D1446+1-C1446,D1446-C1446)*24</f>
        <v/>
      </c>
      <c r="H1446" s="18">
        <f>MAX(0,G1446-8)</f>
        <v/>
      </c>
    </row>
    <row r="1447">
      <c r="A1447" t="n">
        <v>1215</v>
      </c>
      <c r="B1447" s="14" t="n">
        <v>46241</v>
      </c>
      <c r="C1447" s="17" t="n">
        <v>0.2708333333333333</v>
      </c>
      <c r="D1447" s="17" t="n">
        <v>0.625</v>
      </c>
      <c r="E1447" t="inlineStr">
        <is>
          <t>Day</t>
        </is>
      </c>
      <c r="F1447" t="inlineStr">
        <is>
          <t>Aug</t>
        </is>
      </c>
      <c r="G1447" s="18">
        <f>IF(D1447&lt;C1447,D1447+1-C1447,D1447-C1447)*24</f>
        <v/>
      </c>
      <c r="H1447" s="18">
        <f>MAX(0,G1447-8)</f>
        <v/>
      </c>
    </row>
    <row r="1448">
      <c r="A1448" t="n">
        <v>1216</v>
      </c>
      <c r="B1448" s="14" t="n">
        <v>46241</v>
      </c>
      <c r="C1448" s="17" t="n">
        <v>0.25</v>
      </c>
      <c r="D1448" s="17" t="n">
        <v>0.5833333333333334</v>
      </c>
      <c r="E1448" t="inlineStr">
        <is>
          <t>Day</t>
        </is>
      </c>
      <c r="F1448" t="inlineStr">
        <is>
          <t>Aug</t>
        </is>
      </c>
      <c r="G1448" s="18">
        <f>IF(D1448&lt;C1448,D1448+1-C1448,D1448-C1448)*24</f>
        <v/>
      </c>
      <c r="H1448" s="18">
        <f>MAX(0,G1448-8)</f>
        <v/>
      </c>
    </row>
    <row r="1449">
      <c r="A1449" t="n">
        <v>1217</v>
      </c>
      <c r="B1449" s="14" t="n">
        <v>46241</v>
      </c>
      <c r="C1449" s="17" t="n">
        <v>0.25</v>
      </c>
      <c r="D1449" s="17" t="n">
        <v>0.6041666666666666</v>
      </c>
      <c r="E1449" t="inlineStr">
        <is>
          <t>Day</t>
        </is>
      </c>
      <c r="F1449" t="inlineStr">
        <is>
          <t>Aug</t>
        </is>
      </c>
      <c r="G1449" s="18">
        <f>IF(D1449&lt;C1449,D1449+1-C1449,D1449-C1449)*24</f>
        <v/>
      </c>
      <c r="H1449" s="18">
        <f>MAX(0,G1449-8)</f>
        <v/>
      </c>
    </row>
    <row r="1450">
      <c r="A1450" t="n">
        <v>1218</v>
      </c>
      <c r="B1450" s="14" t="n">
        <v>46241</v>
      </c>
      <c r="C1450" s="17" t="n">
        <v>0.25</v>
      </c>
      <c r="D1450" s="17" t="n">
        <v>0.5833333333333334</v>
      </c>
      <c r="E1450" t="inlineStr">
        <is>
          <t>Day</t>
        </is>
      </c>
      <c r="F1450" t="inlineStr">
        <is>
          <t>Aug</t>
        </is>
      </c>
      <c r="G1450" s="18">
        <f>IF(D1450&lt;C1450,D1450+1-C1450,D1450-C1450)*24</f>
        <v/>
      </c>
      <c r="H1450" s="18">
        <f>MAX(0,G1450-8)</f>
        <v/>
      </c>
    </row>
    <row r="1451">
      <c r="A1451" t="n">
        <v>1219</v>
      </c>
      <c r="B1451" s="14" t="n">
        <v>46241</v>
      </c>
      <c r="C1451" s="17" t="n">
        <v>0.25</v>
      </c>
      <c r="D1451" s="17" t="n">
        <v>0.625</v>
      </c>
      <c r="E1451" t="inlineStr">
        <is>
          <t>Day</t>
        </is>
      </c>
      <c r="F1451" t="inlineStr">
        <is>
          <t>Aug</t>
        </is>
      </c>
      <c r="G1451" s="18">
        <f>IF(D1451&lt;C1451,D1451+1-C1451,D1451-C1451)*24</f>
        <v/>
      </c>
      <c r="H1451" s="18">
        <f>MAX(0,G1451-8)</f>
        <v/>
      </c>
    </row>
    <row r="1452">
      <c r="A1452" t="n">
        <v>1220</v>
      </c>
      <c r="B1452" s="14" t="n">
        <v>46241</v>
      </c>
      <c r="C1452" s="17" t="n">
        <v>0.25</v>
      </c>
      <c r="D1452" s="17" t="n">
        <v>0.6666666666666666</v>
      </c>
      <c r="E1452" t="inlineStr">
        <is>
          <t>Day</t>
        </is>
      </c>
      <c r="F1452" t="inlineStr">
        <is>
          <t>Aug</t>
        </is>
      </c>
      <c r="G1452" s="18">
        <f>IF(D1452&lt;C1452,D1452+1-C1452,D1452-C1452)*24</f>
        <v/>
      </c>
      <c r="H1452" s="18">
        <f>MAX(0,G1452-8)</f>
        <v/>
      </c>
    </row>
    <row r="1453">
      <c r="A1453" t="n">
        <v>1101</v>
      </c>
      <c r="B1453" s="14" t="n">
        <v>46244</v>
      </c>
      <c r="C1453" s="17" t="n">
        <v>0.9270833333333334</v>
      </c>
      <c r="D1453" s="17" t="n">
        <v>0.09375</v>
      </c>
      <c r="E1453" t="inlineStr">
        <is>
          <t>Night</t>
        </is>
      </c>
      <c r="F1453" t="inlineStr">
        <is>
          <t>Aug</t>
        </is>
      </c>
      <c r="G1453" s="18">
        <f>IF(D1453&lt;C1453,D1453+1-C1453,D1453-C1453)*24</f>
        <v/>
      </c>
      <c r="H1453" s="18">
        <f>MAX(0,G1453-8)</f>
        <v/>
      </c>
    </row>
    <row r="1454">
      <c r="A1454" t="n">
        <v>1102</v>
      </c>
      <c r="B1454" s="14" t="n">
        <v>46244</v>
      </c>
      <c r="C1454" s="17" t="n">
        <v>0.9166666666666666</v>
      </c>
      <c r="D1454" s="17" t="n">
        <v>0.04166666666666666</v>
      </c>
      <c r="E1454" t="inlineStr">
        <is>
          <t>Night</t>
        </is>
      </c>
      <c r="F1454" t="inlineStr">
        <is>
          <t>Aug</t>
        </is>
      </c>
      <c r="G1454" s="18">
        <f>IF(D1454&lt;C1454,D1454+1-C1454,D1454-C1454)*24</f>
        <v/>
      </c>
      <c r="H1454" s="18">
        <f>MAX(0,G1454-8)</f>
        <v/>
      </c>
    </row>
    <row r="1455">
      <c r="A1455" t="n">
        <v>1104</v>
      </c>
      <c r="B1455" s="14" t="n">
        <v>46244</v>
      </c>
      <c r="C1455" s="17" t="n">
        <v>0.9166666666666666</v>
      </c>
      <c r="D1455" s="17" t="n">
        <v>0.0625</v>
      </c>
      <c r="E1455" t="inlineStr">
        <is>
          <t>Night</t>
        </is>
      </c>
      <c r="F1455" t="inlineStr">
        <is>
          <t>Aug</t>
        </is>
      </c>
      <c r="G1455" s="18">
        <f>IF(D1455&lt;C1455,D1455+1-C1455,D1455-C1455)*24</f>
        <v/>
      </c>
      <c r="H1455" s="18">
        <f>MAX(0,G1455-8)</f>
        <v/>
      </c>
    </row>
    <row r="1456">
      <c r="A1456" t="n">
        <v>1106</v>
      </c>
      <c r="B1456" s="14" t="n">
        <v>46244</v>
      </c>
      <c r="C1456" s="17" t="n">
        <v>0.9270833333333334</v>
      </c>
      <c r="D1456" s="17" t="n">
        <v>0.1354166666666667</v>
      </c>
      <c r="E1456" t="inlineStr">
        <is>
          <t>Night</t>
        </is>
      </c>
      <c r="F1456" t="inlineStr">
        <is>
          <t>Aug</t>
        </is>
      </c>
      <c r="G1456" s="18">
        <f>IF(D1456&lt;C1456,D1456+1-C1456,D1456-C1456)*24</f>
        <v/>
      </c>
      <c r="H1456" s="18">
        <f>MAX(0,G1456-8)</f>
        <v/>
      </c>
    </row>
    <row r="1457">
      <c r="A1457" t="n">
        <v>1107</v>
      </c>
      <c r="B1457" s="14" t="n">
        <v>46244</v>
      </c>
      <c r="C1457" s="17" t="n">
        <v>0.9166666666666666</v>
      </c>
      <c r="D1457" s="17" t="n">
        <v>0.125</v>
      </c>
      <c r="E1457" t="inlineStr">
        <is>
          <t>Night</t>
        </is>
      </c>
      <c r="F1457" t="inlineStr">
        <is>
          <t>Aug</t>
        </is>
      </c>
      <c r="G1457" s="18">
        <f>IF(D1457&lt;C1457,D1457+1-C1457,D1457-C1457)*24</f>
        <v/>
      </c>
      <c r="H1457" s="18">
        <f>MAX(0,G1457-8)</f>
        <v/>
      </c>
    </row>
    <row r="1458">
      <c r="A1458" t="n">
        <v>1108</v>
      </c>
      <c r="B1458" s="14" t="n">
        <v>46244</v>
      </c>
      <c r="C1458" s="17" t="n">
        <v>0.9166666666666666</v>
      </c>
      <c r="D1458" s="17" t="n">
        <v>0.04166666666666666</v>
      </c>
      <c r="E1458" t="inlineStr">
        <is>
          <t>Night</t>
        </is>
      </c>
      <c r="F1458" t="inlineStr">
        <is>
          <t>Aug</t>
        </is>
      </c>
      <c r="G1458" s="18">
        <f>IF(D1458&lt;C1458,D1458+1-C1458,D1458-C1458)*24</f>
        <v/>
      </c>
      <c r="H1458" s="18">
        <f>MAX(0,G1458-8)</f>
        <v/>
      </c>
    </row>
    <row r="1459">
      <c r="A1459" t="n">
        <v>1109</v>
      </c>
      <c r="B1459" s="14" t="n">
        <v>46244</v>
      </c>
      <c r="C1459" s="17" t="n">
        <v>0.9166666666666666</v>
      </c>
      <c r="D1459" s="17" t="n">
        <v>0.0625</v>
      </c>
      <c r="E1459" t="inlineStr">
        <is>
          <t>Night</t>
        </is>
      </c>
      <c r="F1459" t="inlineStr">
        <is>
          <t>Aug</t>
        </is>
      </c>
      <c r="G1459" s="18">
        <f>IF(D1459&lt;C1459,D1459+1-C1459,D1459-C1459)*24</f>
        <v/>
      </c>
      <c r="H1459" s="18">
        <f>MAX(0,G1459-8)</f>
        <v/>
      </c>
    </row>
    <row r="1460">
      <c r="A1460" t="n">
        <v>1110</v>
      </c>
      <c r="B1460" s="14" t="n">
        <v>46244</v>
      </c>
      <c r="C1460" s="17" t="n">
        <v>0.9375</v>
      </c>
      <c r="D1460" s="17" t="n">
        <v>0.0625</v>
      </c>
      <c r="E1460" t="inlineStr">
        <is>
          <t>Night</t>
        </is>
      </c>
      <c r="F1460" t="inlineStr">
        <is>
          <t>Aug</t>
        </is>
      </c>
      <c r="G1460" s="18">
        <f>IF(D1460&lt;C1460,D1460+1-C1460,D1460-C1460)*24</f>
        <v/>
      </c>
      <c r="H1460" s="18">
        <f>MAX(0,G1460-8)</f>
        <v/>
      </c>
    </row>
    <row r="1461">
      <c r="A1461" t="n">
        <v>1112</v>
      </c>
      <c r="B1461" s="14" t="n">
        <v>46244</v>
      </c>
      <c r="C1461" s="17" t="n">
        <v>0.9166666666666666</v>
      </c>
      <c r="D1461" s="17" t="n">
        <v>0.04166666666666666</v>
      </c>
      <c r="E1461" t="inlineStr">
        <is>
          <t>Night</t>
        </is>
      </c>
      <c r="F1461" t="inlineStr">
        <is>
          <t>Aug</t>
        </is>
      </c>
      <c r="G1461" s="18">
        <f>IF(D1461&lt;C1461,D1461+1-C1461,D1461-C1461)*24</f>
        <v/>
      </c>
      <c r="H1461" s="18">
        <f>MAX(0,G1461-8)</f>
        <v/>
      </c>
    </row>
    <row r="1462">
      <c r="A1462" t="n">
        <v>1113</v>
      </c>
      <c r="B1462" s="14" t="n">
        <v>46244</v>
      </c>
      <c r="C1462" s="17" t="n">
        <v>0.9166666666666666</v>
      </c>
      <c r="D1462" s="17" t="n">
        <v>0.04166666666666666</v>
      </c>
      <c r="E1462" t="inlineStr">
        <is>
          <t>Night</t>
        </is>
      </c>
      <c r="F1462" t="inlineStr">
        <is>
          <t>Aug</t>
        </is>
      </c>
      <c r="G1462" s="18">
        <f>IF(D1462&lt;C1462,D1462+1-C1462,D1462-C1462)*24</f>
        <v/>
      </c>
      <c r="H1462" s="18">
        <f>MAX(0,G1462-8)</f>
        <v/>
      </c>
    </row>
    <row r="1463">
      <c r="A1463" t="n">
        <v>1114</v>
      </c>
      <c r="B1463" s="14" t="n">
        <v>46244</v>
      </c>
      <c r="C1463" s="17" t="n">
        <v>0.9166666666666666</v>
      </c>
      <c r="D1463" s="17" t="n">
        <v>0.04166666666666666</v>
      </c>
      <c r="E1463" t="inlineStr">
        <is>
          <t>Night</t>
        </is>
      </c>
      <c r="F1463" t="inlineStr">
        <is>
          <t>Aug</t>
        </is>
      </c>
      <c r="G1463" s="18">
        <f>IF(D1463&lt;C1463,D1463+1-C1463,D1463-C1463)*24</f>
        <v/>
      </c>
      <c r="H1463" s="18">
        <f>MAX(0,G1463-8)</f>
        <v/>
      </c>
    </row>
    <row r="1464">
      <c r="A1464" t="n">
        <v>1117</v>
      </c>
      <c r="B1464" s="14" t="n">
        <v>46244</v>
      </c>
      <c r="C1464" s="17" t="n">
        <v>0.9166666666666666</v>
      </c>
      <c r="D1464" s="17" t="n">
        <v>0.125</v>
      </c>
      <c r="E1464" t="inlineStr">
        <is>
          <t>Night</t>
        </is>
      </c>
      <c r="F1464" t="inlineStr">
        <is>
          <t>Aug</t>
        </is>
      </c>
      <c r="G1464" s="18">
        <f>IF(D1464&lt;C1464,D1464+1-C1464,D1464-C1464)*24</f>
        <v/>
      </c>
      <c r="H1464" s="18">
        <f>MAX(0,G1464-8)</f>
        <v/>
      </c>
    </row>
    <row r="1465">
      <c r="A1465" t="n">
        <v>1118</v>
      </c>
      <c r="B1465" s="14" t="n">
        <v>46244</v>
      </c>
      <c r="C1465" s="17" t="n">
        <v>0.9166666666666666</v>
      </c>
      <c r="D1465" s="17" t="n">
        <v>0.0625</v>
      </c>
      <c r="E1465" t="inlineStr">
        <is>
          <t>Night</t>
        </is>
      </c>
      <c r="F1465" t="inlineStr">
        <is>
          <t>Aug</t>
        </is>
      </c>
      <c r="G1465" s="18">
        <f>IF(D1465&lt;C1465,D1465+1-C1465,D1465-C1465)*24</f>
        <v/>
      </c>
      <c r="H1465" s="18">
        <f>MAX(0,G1465-8)</f>
        <v/>
      </c>
    </row>
    <row r="1466">
      <c r="A1466" t="n">
        <v>1119</v>
      </c>
      <c r="B1466" s="14" t="n">
        <v>46244</v>
      </c>
      <c r="C1466" s="17" t="n">
        <v>0.9375</v>
      </c>
      <c r="D1466" s="17" t="n">
        <v>0.1458333333333333</v>
      </c>
      <c r="E1466" t="inlineStr">
        <is>
          <t>Night</t>
        </is>
      </c>
      <c r="F1466" t="inlineStr">
        <is>
          <t>Aug</t>
        </is>
      </c>
      <c r="G1466" s="18">
        <f>IF(D1466&lt;C1466,D1466+1-C1466,D1466-C1466)*24</f>
        <v/>
      </c>
      <c r="H1466" s="18">
        <f>MAX(0,G1466-8)</f>
        <v/>
      </c>
    </row>
    <row r="1467">
      <c r="A1467" t="n">
        <v>1120</v>
      </c>
      <c r="B1467" s="14" t="n">
        <v>46244</v>
      </c>
      <c r="C1467" s="17" t="n">
        <v>0.9375</v>
      </c>
      <c r="D1467" s="17" t="n">
        <v>0.0625</v>
      </c>
      <c r="E1467" t="inlineStr">
        <is>
          <t>Night</t>
        </is>
      </c>
      <c r="F1467" t="inlineStr">
        <is>
          <t>Aug</t>
        </is>
      </c>
      <c r="G1467" s="18">
        <f>IF(D1467&lt;C1467,D1467+1-C1467,D1467-C1467)*24</f>
        <v/>
      </c>
      <c r="H1467" s="18">
        <f>MAX(0,G1467-8)</f>
        <v/>
      </c>
    </row>
    <row r="1468">
      <c r="A1468" t="n">
        <v>1121</v>
      </c>
      <c r="B1468" s="14" t="n">
        <v>46244</v>
      </c>
      <c r="C1468" s="17" t="n">
        <v>0.9375</v>
      </c>
      <c r="D1468" s="17" t="n">
        <v>0.0625</v>
      </c>
      <c r="E1468" t="inlineStr">
        <is>
          <t>Night</t>
        </is>
      </c>
      <c r="F1468" t="inlineStr">
        <is>
          <t>Aug</t>
        </is>
      </c>
      <c r="G1468" s="18">
        <f>IF(D1468&lt;C1468,D1468+1-C1468,D1468-C1468)*24</f>
        <v/>
      </c>
      <c r="H1468" s="18">
        <f>MAX(0,G1468-8)</f>
        <v/>
      </c>
    </row>
    <row r="1469">
      <c r="A1469" t="n">
        <v>1122</v>
      </c>
      <c r="B1469" s="14" t="n">
        <v>46244</v>
      </c>
      <c r="C1469" s="17" t="n">
        <v>0.9270833333333334</v>
      </c>
      <c r="D1469" s="17" t="n">
        <v>0.05208333333333334</v>
      </c>
      <c r="E1469" t="inlineStr">
        <is>
          <t>Night</t>
        </is>
      </c>
      <c r="F1469" t="inlineStr">
        <is>
          <t>Aug</t>
        </is>
      </c>
      <c r="G1469" s="18">
        <f>IF(D1469&lt;C1469,D1469+1-C1469,D1469-C1469)*24</f>
        <v/>
      </c>
      <c r="H1469" s="18">
        <f>MAX(0,G1469-8)</f>
        <v/>
      </c>
    </row>
    <row r="1470">
      <c r="A1470" t="n">
        <v>1123</v>
      </c>
      <c r="B1470" s="14" t="n">
        <v>46244</v>
      </c>
      <c r="C1470" s="17" t="n">
        <v>0.9375</v>
      </c>
      <c r="D1470" s="17" t="n">
        <v>0.0625</v>
      </c>
      <c r="E1470" t="inlineStr">
        <is>
          <t>Night</t>
        </is>
      </c>
      <c r="F1470" t="inlineStr">
        <is>
          <t>Aug</t>
        </is>
      </c>
      <c r="G1470" s="18">
        <f>IF(D1470&lt;C1470,D1470+1-C1470,D1470-C1470)*24</f>
        <v/>
      </c>
      <c r="H1470" s="18">
        <f>MAX(0,G1470-8)</f>
        <v/>
      </c>
    </row>
    <row r="1471">
      <c r="A1471" t="n">
        <v>1124</v>
      </c>
      <c r="B1471" s="14" t="n">
        <v>46244</v>
      </c>
      <c r="C1471" s="17" t="n">
        <v>0.9270833333333334</v>
      </c>
      <c r="D1471" s="17" t="n">
        <v>0.09375</v>
      </c>
      <c r="E1471" t="inlineStr">
        <is>
          <t>Night</t>
        </is>
      </c>
      <c r="F1471" t="inlineStr">
        <is>
          <t>Aug</t>
        </is>
      </c>
      <c r="G1471" s="18">
        <f>IF(D1471&lt;C1471,D1471+1-C1471,D1471-C1471)*24</f>
        <v/>
      </c>
      <c r="H1471" s="18">
        <f>MAX(0,G1471-8)</f>
        <v/>
      </c>
    </row>
    <row r="1472">
      <c r="A1472" t="n">
        <v>1126</v>
      </c>
      <c r="B1472" s="14" t="n">
        <v>46244</v>
      </c>
      <c r="C1472" s="17" t="n">
        <v>0.9270833333333334</v>
      </c>
      <c r="D1472" s="17" t="n">
        <v>0.1354166666666667</v>
      </c>
      <c r="E1472" t="inlineStr">
        <is>
          <t>Night</t>
        </is>
      </c>
      <c r="F1472" t="inlineStr">
        <is>
          <t>Aug</t>
        </is>
      </c>
      <c r="G1472" s="18">
        <f>IF(D1472&lt;C1472,D1472+1-C1472,D1472-C1472)*24</f>
        <v/>
      </c>
      <c r="H1472" s="18">
        <f>MAX(0,G1472-8)</f>
        <v/>
      </c>
    </row>
    <row r="1473">
      <c r="A1473" t="n">
        <v>1127</v>
      </c>
      <c r="B1473" s="14" t="n">
        <v>46244</v>
      </c>
      <c r="C1473" s="17" t="n">
        <v>0.9166666666666666</v>
      </c>
      <c r="D1473" s="17" t="n">
        <v>0.04166666666666666</v>
      </c>
      <c r="E1473" t="inlineStr">
        <is>
          <t>Night</t>
        </is>
      </c>
      <c r="F1473" t="inlineStr">
        <is>
          <t>Aug</t>
        </is>
      </c>
      <c r="G1473" s="18">
        <f>IF(D1473&lt;C1473,D1473+1-C1473,D1473-C1473)*24</f>
        <v/>
      </c>
      <c r="H1473" s="18">
        <f>MAX(0,G1473-8)</f>
        <v/>
      </c>
    </row>
    <row r="1474">
      <c r="A1474" t="n">
        <v>1128</v>
      </c>
      <c r="B1474" s="14" t="n">
        <v>46244</v>
      </c>
      <c r="C1474" s="17" t="n">
        <v>0.9166666666666666</v>
      </c>
      <c r="D1474" s="17" t="n">
        <v>0.04166666666666666</v>
      </c>
      <c r="E1474" t="inlineStr">
        <is>
          <t>Night</t>
        </is>
      </c>
      <c r="F1474" t="inlineStr">
        <is>
          <t>Aug</t>
        </is>
      </c>
      <c r="G1474" s="18">
        <f>IF(D1474&lt;C1474,D1474+1-C1474,D1474-C1474)*24</f>
        <v/>
      </c>
      <c r="H1474" s="18">
        <f>MAX(0,G1474-8)</f>
        <v/>
      </c>
    </row>
    <row r="1475">
      <c r="A1475" t="n">
        <v>1129</v>
      </c>
      <c r="B1475" s="14" t="n">
        <v>46244</v>
      </c>
      <c r="C1475" s="17" t="n">
        <v>0.9166666666666666</v>
      </c>
      <c r="D1475" s="17" t="n">
        <v>0.04166666666666666</v>
      </c>
      <c r="E1475" t="inlineStr">
        <is>
          <t>Night</t>
        </is>
      </c>
      <c r="F1475" t="inlineStr">
        <is>
          <t>Aug</t>
        </is>
      </c>
      <c r="G1475" s="18">
        <f>IF(D1475&lt;C1475,D1475+1-C1475,D1475-C1475)*24</f>
        <v/>
      </c>
      <c r="H1475" s="18">
        <f>MAX(0,G1475-8)</f>
        <v/>
      </c>
    </row>
    <row r="1476">
      <c r="A1476" t="n">
        <v>1130</v>
      </c>
      <c r="B1476" s="14" t="n">
        <v>46244</v>
      </c>
      <c r="C1476" s="17" t="n">
        <v>0.9166666666666666</v>
      </c>
      <c r="D1476" s="17" t="n">
        <v>0.04166666666666666</v>
      </c>
      <c r="E1476" t="inlineStr">
        <is>
          <t>Night</t>
        </is>
      </c>
      <c r="F1476" t="inlineStr">
        <is>
          <t>Aug</t>
        </is>
      </c>
      <c r="G1476" s="18">
        <f>IF(D1476&lt;C1476,D1476+1-C1476,D1476-C1476)*24</f>
        <v/>
      </c>
      <c r="H1476" s="18">
        <f>MAX(0,G1476-8)</f>
        <v/>
      </c>
    </row>
    <row r="1477">
      <c r="A1477" t="n">
        <v>1131</v>
      </c>
      <c r="B1477" s="14" t="n">
        <v>46244</v>
      </c>
      <c r="C1477" s="17" t="n">
        <v>0.9166666666666666</v>
      </c>
      <c r="D1477" s="17" t="n">
        <v>0.04166666666666666</v>
      </c>
      <c r="E1477" t="inlineStr">
        <is>
          <t>Night</t>
        </is>
      </c>
      <c r="F1477" t="inlineStr">
        <is>
          <t>Aug</t>
        </is>
      </c>
      <c r="G1477" s="18">
        <f>IF(D1477&lt;C1477,D1477+1-C1477,D1477-C1477)*24</f>
        <v/>
      </c>
      <c r="H1477" s="18">
        <f>MAX(0,G1477-8)</f>
        <v/>
      </c>
    </row>
    <row r="1478">
      <c r="A1478" t="n">
        <v>1132</v>
      </c>
      <c r="B1478" s="14" t="n">
        <v>46244</v>
      </c>
      <c r="C1478" s="17" t="n">
        <v>0.9166666666666666</v>
      </c>
      <c r="D1478" s="17" t="n">
        <v>0.08333333333333333</v>
      </c>
      <c r="E1478" t="inlineStr">
        <is>
          <t>Night</t>
        </is>
      </c>
      <c r="F1478" t="inlineStr">
        <is>
          <t>Aug</t>
        </is>
      </c>
      <c r="G1478" s="18">
        <f>IF(D1478&lt;C1478,D1478+1-C1478,D1478-C1478)*24</f>
        <v/>
      </c>
      <c r="H1478" s="18">
        <f>MAX(0,G1478-8)</f>
        <v/>
      </c>
    </row>
    <row r="1479">
      <c r="A1479" t="n">
        <v>1133</v>
      </c>
      <c r="B1479" s="14" t="n">
        <v>46244</v>
      </c>
      <c r="C1479" s="17" t="n">
        <v>0.9375</v>
      </c>
      <c r="D1479" s="17" t="n">
        <v>0.0625</v>
      </c>
      <c r="E1479" t="inlineStr">
        <is>
          <t>Night</t>
        </is>
      </c>
      <c r="F1479" t="inlineStr">
        <is>
          <t>Aug</t>
        </is>
      </c>
      <c r="G1479" s="18">
        <f>IF(D1479&lt;C1479,D1479+1-C1479,D1479-C1479)*24</f>
        <v/>
      </c>
      <c r="H1479" s="18">
        <f>MAX(0,G1479-8)</f>
        <v/>
      </c>
    </row>
    <row r="1480">
      <c r="A1480" t="n">
        <v>1135</v>
      </c>
      <c r="B1480" s="14" t="n">
        <v>46244</v>
      </c>
      <c r="C1480" s="17" t="n">
        <v>0.9166666666666666</v>
      </c>
      <c r="D1480" s="17" t="n">
        <v>0.04166666666666666</v>
      </c>
      <c r="E1480" t="inlineStr">
        <is>
          <t>Night</t>
        </is>
      </c>
      <c r="F1480" t="inlineStr">
        <is>
          <t>Aug</t>
        </is>
      </c>
      <c r="G1480" s="18">
        <f>IF(D1480&lt;C1480,D1480+1-C1480,D1480-C1480)*24</f>
        <v/>
      </c>
      <c r="H1480" s="18">
        <f>MAX(0,G1480-8)</f>
        <v/>
      </c>
    </row>
    <row r="1481">
      <c r="A1481" t="n">
        <v>1136</v>
      </c>
      <c r="B1481" s="14" t="n">
        <v>46244</v>
      </c>
      <c r="C1481" s="17" t="n">
        <v>0.9166666666666666</v>
      </c>
      <c r="D1481" s="17" t="n">
        <v>0.125</v>
      </c>
      <c r="E1481" t="inlineStr">
        <is>
          <t>Night</t>
        </is>
      </c>
      <c r="F1481" t="inlineStr">
        <is>
          <t>Aug</t>
        </is>
      </c>
      <c r="G1481" s="18">
        <f>IF(D1481&lt;C1481,D1481+1-C1481,D1481-C1481)*24</f>
        <v/>
      </c>
      <c r="H1481" s="18">
        <f>MAX(0,G1481-8)</f>
        <v/>
      </c>
    </row>
    <row r="1482">
      <c r="A1482" t="n">
        <v>1137</v>
      </c>
      <c r="B1482" s="14" t="n">
        <v>46244</v>
      </c>
      <c r="C1482" s="17" t="n">
        <v>0.9166666666666666</v>
      </c>
      <c r="D1482" s="17" t="n">
        <v>0.04166666666666666</v>
      </c>
      <c r="E1482" t="inlineStr">
        <is>
          <t>Night</t>
        </is>
      </c>
      <c r="F1482" t="inlineStr">
        <is>
          <t>Aug</t>
        </is>
      </c>
      <c r="G1482" s="18">
        <f>IF(D1482&lt;C1482,D1482+1-C1482,D1482-C1482)*24</f>
        <v/>
      </c>
      <c r="H1482" s="18">
        <f>MAX(0,G1482-8)</f>
        <v/>
      </c>
    </row>
    <row r="1483">
      <c r="A1483" t="n">
        <v>1147</v>
      </c>
      <c r="B1483" s="14" t="n">
        <v>46244</v>
      </c>
      <c r="C1483" s="17" t="n">
        <v>0.9270833333333334</v>
      </c>
      <c r="D1483" s="17" t="n">
        <v>0.05208333333333334</v>
      </c>
      <c r="E1483" t="inlineStr">
        <is>
          <t>Night</t>
        </is>
      </c>
      <c r="F1483" t="inlineStr">
        <is>
          <t>Aug</t>
        </is>
      </c>
      <c r="G1483" s="18">
        <f>IF(D1483&lt;C1483,D1483+1-C1483,D1483-C1483)*24</f>
        <v/>
      </c>
      <c r="H1483" s="18">
        <f>MAX(0,G1483-8)</f>
        <v/>
      </c>
    </row>
    <row r="1484">
      <c r="A1484" t="n">
        <v>1103</v>
      </c>
      <c r="B1484" s="14" t="n">
        <v>46244</v>
      </c>
      <c r="C1484" s="17" t="n">
        <v>0.02083333333333333</v>
      </c>
      <c r="D1484" s="17" t="n">
        <v>0.1666666666666667</v>
      </c>
      <c r="E1484" t="inlineStr">
        <is>
          <t>Night</t>
        </is>
      </c>
      <c r="F1484" t="inlineStr">
        <is>
          <t>Aug</t>
        </is>
      </c>
      <c r="G1484" s="18">
        <f>IF(D1484&lt;C1484,D1484+1-C1484,D1484-C1484)*24</f>
        <v/>
      </c>
      <c r="H1484" s="18">
        <f>MAX(0,G1484-8)</f>
        <v/>
      </c>
    </row>
    <row r="1485">
      <c r="A1485" t="n">
        <v>1111</v>
      </c>
      <c r="B1485" s="14" t="n">
        <v>46244</v>
      </c>
      <c r="C1485" s="17" t="n">
        <v>0.02083333333333333</v>
      </c>
      <c r="D1485" s="17" t="n">
        <v>0.1875</v>
      </c>
      <c r="E1485" t="inlineStr">
        <is>
          <t>Night</t>
        </is>
      </c>
      <c r="F1485" t="inlineStr">
        <is>
          <t>Aug</t>
        </is>
      </c>
      <c r="G1485" s="18">
        <f>IF(D1485&lt;C1485,D1485+1-C1485,D1485-C1485)*24</f>
        <v/>
      </c>
      <c r="H1485" s="18">
        <f>MAX(0,G1485-8)</f>
        <v/>
      </c>
    </row>
    <row r="1486">
      <c r="A1486" t="n">
        <v>1115</v>
      </c>
      <c r="B1486" s="14" t="n">
        <v>46244</v>
      </c>
      <c r="C1486" s="17" t="n">
        <v>0.01041666666666667</v>
      </c>
      <c r="D1486" s="17" t="n">
        <v>0.15625</v>
      </c>
      <c r="E1486" t="inlineStr">
        <is>
          <t>Night</t>
        </is>
      </c>
      <c r="F1486" t="inlineStr">
        <is>
          <t>Aug</t>
        </is>
      </c>
      <c r="G1486" s="18">
        <f>IF(D1486&lt;C1486,D1486+1-C1486,D1486-C1486)*24</f>
        <v/>
      </c>
      <c r="H1486" s="18">
        <f>MAX(0,G1486-8)</f>
        <v/>
      </c>
    </row>
    <row r="1487">
      <c r="A1487" t="n">
        <v>1134</v>
      </c>
      <c r="B1487" s="14" t="n">
        <v>46244</v>
      </c>
      <c r="C1487" s="17" t="n">
        <v>0.02083333333333333</v>
      </c>
      <c r="D1487" s="17" t="n">
        <v>0.1875</v>
      </c>
      <c r="E1487" t="inlineStr">
        <is>
          <t>Night</t>
        </is>
      </c>
      <c r="F1487" t="inlineStr">
        <is>
          <t>Aug</t>
        </is>
      </c>
      <c r="G1487" s="18">
        <f>IF(D1487&lt;C1487,D1487+1-C1487,D1487-C1487)*24</f>
        <v/>
      </c>
      <c r="H1487" s="18">
        <f>MAX(0,G1487-8)</f>
        <v/>
      </c>
    </row>
    <row r="1488">
      <c r="A1488" t="n">
        <v>1201</v>
      </c>
      <c r="B1488" s="14" t="n">
        <v>46244</v>
      </c>
      <c r="C1488" s="17" t="n">
        <v>0.25</v>
      </c>
      <c r="D1488" s="17" t="n">
        <v>0.5833333333333334</v>
      </c>
      <c r="E1488" t="inlineStr">
        <is>
          <t>Day</t>
        </is>
      </c>
      <c r="F1488" t="inlineStr">
        <is>
          <t>Aug</t>
        </is>
      </c>
      <c r="G1488" s="18">
        <f>IF(D1488&lt;C1488,D1488+1-C1488,D1488-C1488)*24</f>
        <v/>
      </c>
      <c r="H1488" s="18">
        <f>MAX(0,G1488-8)</f>
        <v/>
      </c>
    </row>
    <row r="1489">
      <c r="A1489" t="n">
        <v>1202</v>
      </c>
      <c r="B1489" s="14" t="n">
        <v>46244</v>
      </c>
      <c r="C1489" s="17" t="n">
        <v>0.25</v>
      </c>
      <c r="D1489" s="17" t="n">
        <v>0.625</v>
      </c>
      <c r="E1489" t="inlineStr">
        <is>
          <t>Day</t>
        </is>
      </c>
      <c r="F1489" t="inlineStr">
        <is>
          <t>Aug</t>
        </is>
      </c>
      <c r="G1489" s="18">
        <f>IF(D1489&lt;C1489,D1489+1-C1489,D1489-C1489)*24</f>
        <v/>
      </c>
      <c r="H1489" s="18">
        <f>MAX(0,G1489-8)</f>
        <v/>
      </c>
    </row>
    <row r="1490">
      <c r="A1490" t="n">
        <v>1203</v>
      </c>
      <c r="B1490" s="14" t="n">
        <v>46244</v>
      </c>
      <c r="C1490" s="17" t="n">
        <v>0.25</v>
      </c>
      <c r="D1490" s="17" t="n">
        <v>0.625</v>
      </c>
      <c r="E1490" t="inlineStr">
        <is>
          <t>Day</t>
        </is>
      </c>
      <c r="F1490" t="inlineStr">
        <is>
          <t>Aug</t>
        </is>
      </c>
      <c r="G1490" s="18">
        <f>IF(D1490&lt;C1490,D1490+1-C1490,D1490-C1490)*24</f>
        <v/>
      </c>
      <c r="H1490" s="18">
        <f>MAX(0,G1490-8)</f>
        <v/>
      </c>
    </row>
    <row r="1491">
      <c r="A1491" t="n">
        <v>1204</v>
      </c>
      <c r="B1491" s="14" t="n">
        <v>46244</v>
      </c>
      <c r="C1491" s="17" t="n">
        <v>0.25</v>
      </c>
      <c r="D1491" s="17" t="n">
        <v>0.6041666666666666</v>
      </c>
      <c r="E1491" t="inlineStr">
        <is>
          <t>Day</t>
        </is>
      </c>
      <c r="F1491" t="inlineStr">
        <is>
          <t>Aug</t>
        </is>
      </c>
      <c r="G1491" s="18">
        <f>IF(D1491&lt;C1491,D1491+1-C1491,D1491-C1491)*24</f>
        <v/>
      </c>
      <c r="H1491" s="18">
        <f>MAX(0,G1491-8)</f>
        <v/>
      </c>
    </row>
    <row r="1492">
      <c r="A1492" t="n">
        <v>1205</v>
      </c>
      <c r="B1492" s="14" t="n">
        <v>46244</v>
      </c>
      <c r="C1492" s="17" t="n">
        <v>0.25</v>
      </c>
      <c r="D1492" s="17" t="n">
        <v>0.5833333333333334</v>
      </c>
      <c r="E1492" t="inlineStr">
        <is>
          <t>Day</t>
        </is>
      </c>
      <c r="F1492" t="inlineStr">
        <is>
          <t>Aug</t>
        </is>
      </c>
      <c r="G1492" s="18">
        <f>IF(D1492&lt;C1492,D1492+1-C1492,D1492-C1492)*24</f>
        <v/>
      </c>
      <c r="H1492" s="18">
        <f>MAX(0,G1492-8)</f>
        <v/>
      </c>
    </row>
    <row r="1493">
      <c r="A1493" t="n">
        <v>1206</v>
      </c>
      <c r="B1493" s="14" t="n">
        <v>46244</v>
      </c>
      <c r="C1493" s="17" t="n">
        <v>0.25</v>
      </c>
      <c r="D1493" s="17" t="n">
        <v>0.625</v>
      </c>
      <c r="E1493" t="inlineStr">
        <is>
          <t>Day</t>
        </is>
      </c>
      <c r="F1493" t="inlineStr">
        <is>
          <t>Aug</t>
        </is>
      </c>
      <c r="G1493" s="18">
        <f>IF(D1493&lt;C1493,D1493+1-C1493,D1493-C1493)*24</f>
        <v/>
      </c>
      <c r="H1493" s="18">
        <f>MAX(0,G1493-8)</f>
        <v/>
      </c>
    </row>
    <row r="1494">
      <c r="A1494" t="n">
        <v>1207</v>
      </c>
      <c r="B1494" s="14" t="n">
        <v>46244</v>
      </c>
      <c r="C1494" s="17" t="n">
        <v>0.25</v>
      </c>
      <c r="D1494" s="17" t="n">
        <v>0.5833333333333334</v>
      </c>
      <c r="E1494" t="inlineStr">
        <is>
          <t>Day</t>
        </is>
      </c>
      <c r="F1494" t="inlineStr">
        <is>
          <t>Aug</t>
        </is>
      </c>
      <c r="G1494" s="18">
        <f>IF(D1494&lt;C1494,D1494+1-C1494,D1494-C1494)*24</f>
        <v/>
      </c>
      <c r="H1494" s="18">
        <f>MAX(0,G1494-8)</f>
        <v/>
      </c>
    </row>
    <row r="1495">
      <c r="A1495" t="n">
        <v>1208</v>
      </c>
      <c r="B1495" s="14" t="n">
        <v>46244</v>
      </c>
      <c r="C1495" s="17" t="n">
        <v>0.25</v>
      </c>
      <c r="D1495" s="17" t="n">
        <v>0.6666666666666666</v>
      </c>
      <c r="E1495" t="inlineStr">
        <is>
          <t>Day</t>
        </is>
      </c>
      <c r="F1495" t="inlineStr">
        <is>
          <t>Aug</t>
        </is>
      </c>
      <c r="G1495" s="18">
        <f>IF(D1495&lt;C1495,D1495+1-C1495,D1495-C1495)*24</f>
        <v/>
      </c>
      <c r="H1495" s="18">
        <f>MAX(0,G1495-8)</f>
        <v/>
      </c>
    </row>
    <row r="1496">
      <c r="A1496" t="n">
        <v>1209</v>
      </c>
      <c r="B1496" s="14" t="n">
        <v>46244</v>
      </c>
      <c r="C1496" s="17" t="n">
        <v>0.2708333333333333</v>
      </c>
      <c r="D1496" s="17" t="n">
        <v>0.6041666666666666</v>
      </c>
      <c r="E1496" t="inlineStr">
        <is>
          <t>Day</t>
        </is>
      </c>
      <c r="F1496" t="inlineStr">
        <is>
          <t>Aug</t>
        </is>
      </c>
      <c r="G1496" s="18">
        <f>IF(D1496&lt;C1496,D1496+1-C1496,D1496-C1496)*24</f>
        <v/>
      </c>
      <c r="H1496" s="18">
        <f>MAX(0,G1496-8)</f>
        <v/>
      </c>
    </row>
    <row r="1497">
      <c r="A1497" t="n">
        <v>1210</v>
      </c>
      <c r="B1497" s="14" t="n">
        <v>46244</v>
      </c>
      <c r="C1497" s="17" t="n">
        <v>0.25</v>
      </c>
      <c r="D1497" s="17" t="n">
        <v>0.6666666666666666</v>
      </c>
      <c r="E1497" t="inlineStr">
        <is>
          <t>Day</t>
        </is>
      </c>
      <c r="F1497" t="inlineStr">
        <is>
          <t>Aug</t>
        </is>
      </c>
      <c r="G1497" s="18">
        <f>IF(D1497&lt;C1497,D1497+1-C1497,D1497-C1497)*24</f>
        <v/>
      </c>
      <c r="H1497" s="18">
        <f>MAX(0,G1497-8)</f>
        <v/>
      </c>
    </row>
    <row r="1498">
      <c r="A1498" t="n">
        <v>1211</v>
      </c>
      <c r="B1498" s="14" t="n">
        <v>46244</v>
      </c>
      <c r="C1498" s="17" t="n">
        <v>0.2708333333333333</v>
      </c>
      <c r="D1498" s="17" t="n">
        <v>0.625</v>
      </c>
      <c r="E1498" t="inlineStr">
        <is>
          <t>Day</t>
        </is>
      </c>
      <c r="F1498" t="inlineStr">
        <is>
          <t>Aug</t>
        </is>
      </c>
      <c r="G1498" s="18">
        <f>IF(D1498&lt;C1498,D1498+1-C1498,D1498-C1498)*24</f>
        <v/>
      </c>
      <c r="H1498" s="18">
        <f>MAX(0,G1498-8)</f>
        <v/>
      </c>
    </row>
    <row r="1499">
      <c r="A1499" t="n">
        <v>1212</v>
      </c>
      <c r="B1499" s="14" t="n">
        <v>46244</v>
      </c>
      <c r="C1499" s="17" t="n">
        <v>0.25</v>
      </c>
      <c r="D1499" s="17" t="n">
        <v>0.6041666666666666</v>
      </c>
      <c r="E1499" t="inlineStr">
        <is>
          <t>Day</t>
        </is>
      </c>
      <c r="F1499" t="inlineStr">
        <is>
          <t>Aug</t>
        </is>
      </c>
      <c r="G1499" s="18">
        <f>IF(D1499&lt;C1499,D1499+1-C1499,D1499-C1499)*24</f>
        <v/>
      </c>
      <c r="H1499" s="18">
        <f>MAX(0,G1499-8)</f>
        <v/>
      </c>
    </row>
    <row r="1500">
      <c r="A1500" t="n">
        <v>1213</v>
      </c>
      <c r="B1500" s="14" t="n">
        <v>46244</v>
      </c>
      <c r="C1500" s="17" t="n">
        <v>0.25</v>
      </c>
      <c r="D1500" s="17" t="n">
        <v>0.5833333333333334</v>
      </c>
      <c r="E1500" t="inlineStr">
        <is>
          <t>Day</t>
        </is>
      </c>
      <c r="F1500" t="inlineStr">
        <is>
          <t>Aug</t>
        </is>
      </c>
      <c r="G1500" s="18">
        <f>IF(D1500&lt;C1500,D1500+1-C1500,D1500-C1500)*24</f>
        <v/>
      </c>
      <c r="H1500" s="18">
        <f>MAX(0,G1500-8)</f>
        <v/>
      </c>
    </row>
    <row r="1501">
      <c r="A1501" t="n">
        <v>1214</v>
      </c>
      <c r="B1501" s="14" t="n">
        <v>46244</v>
      </c>
      <c r="C1501" s="17" t="n">
        <v>0.25</v>
      </c>
      <c r="D1501" s="17" t="n">
        <v>0.625</v>
      </c>
      <c r="E1501" t="inlineStr">
        <is>
          <t>Day</t>
        </is>
      </c>
      <c r="F1501" t="inlineStr">
        <is>
          <t>Aug</t>
        </is>
      </c>
      <c r="G1501" s="18">
        <f>IF(D1501&lt;C1501,D1501+1-C1501,D1501-C1501)*24</f>
        <v/>
      </c>
      <c r="H1501" s="18">
        <f>MAX(0,G1501-8)</f>
        <v/>
      </c>
    </row>
    <row r="1502">
      <c r="A1502" t="n">
        <v>1215</v>
      </c>
      <c r="B1502" s="14" t="n">
        <v>46244</v>
      </c>
      <c r="C1502" s="17" t="n">
        <v>0.25</v>
      </c>
      <c r="D1502" s="17" t="n">
        <v>0.625</v>
      </c>
      <c r="E1502" t="inlineStr">
        <is>
          <t>Day</t>
        </is>
      </c>
      <c r="F1502" t="inlineStr">
        <is>
          <t>Aug</t>
        </is>
      </c>
      <c r="G1502" s="18">
        <f>IF(D1502&lt;C1502,D1502+1-C1502,D1502-C1502)*24</f>
        <v/>
      </c>
      <c r="H1502" s="18">
        <f>MAX(0,G1502-8)</f>
        <v/>
      </c>
    </row>
    <row r="1503">
      <c r="A1503" t="n">
        <v>1217</v>
      </c>
      <c r="B1503" s="14" t="n">
        <v>46244</v>
      </c>
      <c r="C1503" s="17" t="n">
        <v>0.25</v>
      </c>
      <c r="D1503" s="17" t="n">
        <v>0.6041666666666666</v>
      </c>
      <c r="E1503" t="inlineStr">
        <is>
          <t>Day</t>
        </is>
      </c>
      <c r="F1503" t="inlineStr">
        <is>
          <t>Aug</t>
        </is>
      </c>
      <c r="G1503" s="18">
        <f>IF(D1503&lt;C1503,D1503+1-C1503,D1503-C1503)*24</f>
        <v/>
      </c>
      <c r="H1503" s="18">
        <f>MAX(0,G1503-8)</f>
        <v/>
      </c>
    </row>
    <row r="1504">
      <c r="A1504" t="n">
        <v>1218</v>
      </c>
      <c r="B1504" s="14" t="n">
        <v>46244</v>
      </c>
      <c r="C1504" s="17" t="n">
        <v>0.2708333333333333</v>
      </c>
      <c r="D1504" s="17" t="n">
        <v>0.6458333333333334</v>
      </c>
      <c r="E1504" t="inlineStr">
        <is>
          <t>Day</t>
        </is>
      </c>
      <c r="F1504" t="inlineStr">
        <is>
          <t>Aug</t>
        </is>
      </c>
      <c r="G1504" s="18">
        <f>IF(D1504&lt;C1504,D1504+1-C1504,D1504-C1504)*24</f>
        <v/>
      </c>
      <c r="H1504" s="18">
        <f>MAX(0,G1504-8)</f>
        <v/>
      </c>
    </row>
    <row r="1505">
      <c r="A1505" t="n">
        <v>1219</v>
      </c>
      <c r="B1505" s="14" t="n">
        <v>46244</v>
      </c>
      <c r="C1505" s="17" t="n">
        <v>0.2708333333333333</v>
      </c>
      <c r="D1505" s="17" t="n">
        <v>0.6041666666666666</v>
      </c>
      <c r="E1505" t="inlineStr">
        <is>
          <t>Day</t>
        </is>
      </c>
      <c r="F1505" t="inlineStr">
        <is>
          <t>Aug</t>
        </is>
      </c>
      <c r="G1505" s="18">
        <f>IF(D1505&lt;C1505,D1505+1-C1505,D1505-C1505)*24</f>
        <v/>
      </c>
      <c r="H1505" s="18">
        <f>MAX(0,G1505-8)</f>
        <v/>
      </c>
    </row>
    <row r="1506">
      <c r="A1506" t="n">
        <v>1220</v>
      </c>
      <c r="B1506" s="14" t="n">
        <v>46244</v>
      </c>
      <c r="C1506" s="17" t="n">
        <v>0.2708333333333333</v>
      </c>
      <c r="D1506" s="17" t="n">
        <v>0.6875</v>
      </c>
      <c r="E1506" t="inlineStr">
        <is>
          <t>Day</t>
        </is>
      </c>
      <c r="F1506" t="inlineStr">
        <is>
          <t>Aug</t>
        </is>
      </c>
      <c r="G1506" s="18">
        <f>IF(D1506&lt;C1506,D1506+1-C1506,D1506-C1506)*24</f>
        <v/>
      </c>
      <c r="H1506" s="18">
        <f>MAX(0,G1506-8)</f>
        <v/>
      </c>
    </row>
    <row r="1507">
      <c r="A1507" t="n">
        <v>1101</v>
      </c>
      <c r="B1507" s="14" t="n">
        <v>46245</v>
      </c>
      <c r="C1507" s="17" t="n">
        <v>0.9270833333333334</v>
      </c>
      <c r="D1507" s="17" t="n">
        <v>0.07291666666666667</v>
      </c>
      <c r="E1507" t="inlineStr">
        <is>
          <t>Night</t>
        </is>
      </c>
      <c r="F1507" t="inlineStr">
        <is>
          <t>Aug</t>
        </is>
      </c>
      <c r="G1507" s="18">
        <f>IF(D1507&lt;C1507,D1507+1-C1507,D1507-C1507)*24</f>
        <v/>
      </c>
      <c r="H1507" s="18">
        <f>MAX(0,G1507-8)</f>
        <v/>
      </c>
    </row>
    <row r="1508">
      <c r="A1508" t="n">
        <v>1102</v>
      </c>
      <c r="B1508" s="14" t="n">
        <v>46245</v>
      </c>
      <c r="C1508" s="17" t="n">
        <v>0.9166666666666666</v>
      </c>
      <c r="D1508" s="17" t="n">
        <v>0.0625</v>
      </c>
      <c r="E1508" t="inlineStr">
        <is>
          <t>Night</t>
        </is>
      </c>
      <c r="F1508" t="inlineStr">
        <is>
          <t>Aug</t>
        </is>
      </c>
      <c r="G1508" s="18">
        <f>IF(D1508&lt;C1508,D1508+1-C1508,D1508-C1508)*24</f>
        <v/>
      </c>
      <c r="H1508" s="18">
        <f>MAX(0,G1508-8)</f>
        <v/>
      </c>
    </row>
    <row r="1509">
      <c r="A1509" t="n">
        <v>1103</v>
      </c>
      <c r="B1509" s="14" t="n">
        <v>46245</v>
      </c>
      <c r="C1509" s="17" t="n">
        <v>0.9166666666666666</v>
      </c>
      <c r="D1509" s="17" t="n">
        <v>0.04166666666666666</v>
      </c>
      <c r="E1509" t="inlineStr">
        <is>
          <t>Night</t>
        </is>
      </c>
      <c r="F1509" t="inlineStr">
        <is>
          <t>Aug</t>
        </is>
      </c>
      <c r="G1509" s="18">
        <f>IF(D1509&lt;C1509,D1509+1-C1509,D1509-C1509)*24</f>
        <v/>
      </c>
      <c r="H1509" s="18">
        <f>MAX(0,G1509-8)</f>
        <v/>
      </c>
    </row>
    <row r="1510">
      <c r="A1510" t="n">
        <v>1104</v>
      </c>
      <c r="B1510" s="14" t="n">
        <v>46245</v>
      </c>
      <c r="C1510" s="17" t="n">
        <v>0.9166666666666666</v>
      </c>
      <c r="D1510" s="17" t="n">
        <v>0.08333333333333333</v>
      </c>
      <c r="E1510" t="inlineStr">
        <is>
          <t>Night</t>
        </is>
      </c>
      <c r="F1510" t="inlineStr">
        <is>
          <t>Aug</t>
        </is>
      </c>
      <c r="G1510" s="18">
        <f>IF(D1510&lt;C1510,D1510+1-C1510,D1510-C1510)*24</f>
        <v/>
      </c>
      <c r="H1510" s="18">
        <f>MAX(0,G1510-8)</f>
        <v/>
      </c>
    </row>
    <row r="1511">
      <c r="A1511" t="n">
        <v>1106</v>
      </c>
      <c r="B1511" s="14" t="n">
        <v>46245</v>
      </c>
      <c r="C1511" s="17" t="n">
        <v>0.9166666666666666</v>
      </c>
      <c r="D1511" s="17" t="n">
        <v>0.125</v>
      </c>
      <c r="E1511" t="inlineStr">
        <is>
          <t>Night</t>
        </is>
      </c>
      <c r="F1511" t="inlineStr">
        <is>
          <t>Aug</t>
        </is>
      </c>
      <c r="G1511" s="18">
        <f>IF(D1511&lt;C1511,D1511+1-C1511,D1511-C1511)*24</f>
        <v/>
      </c>
      <c r="H1511" s="18">
        <f>MAX(0,G1511-8)</f>
        <v/>
      </c>
    </row>
    <row r="1512">
      <c r="A1512" t="n">
        <v>1107</v>
      </c>
      <c r="B1512" s="14" t="n">
        <v>46245</v>
      </c>
      <c r="C1512" s="17" t="n">
        <v>0.9375</v>
      </c>
      <c r="D1512" s="17" t="n">
        <v>0.1458333333333333</v>
      </c>
      <c r="E1512" t="inlineStr">
        <is>
          <t>Night</t>
        </is>
      </c>
      <c r="F1512" t="inlineStr">
        <is>
          <t>Aug</t>
        </is>
      </c>
      <c r="G1512" s="18">
        <f>IF(D1512&lt;C1512,D1512+1-C1512,D1512-C1512)*24</f>
        <v/>
      </c>
      <c r="H1512" s="18">
        <f>MAX(0,G1512-8)</f>
        <v/>
      </c>
    </row>
    <row r="1513">
      <c r="A1513" t="n">
        <v>1108</v>
      </c>
      <c r="B1513" s="14" t="n">
        <v>46245</v>
      </c>
      <c r="C1513" s="17" t="n">
        <v>0.9166666666666666</v>
      </c>
      <c r="D1513" s="17" t="n">
        <v>0.08333333333333333</v>
      </c>
      <c r="E1513" t="inlineStr">
        <is>
          <t>Night</t>
        </is>
      </c>
      <c r="F1513" t="inlineStr">
        <is>
          <t>Aug</t>
        </is>
      </c>
      <c r="G1513" s="18">
        <f>IF(D1513&lt;C1513,D1513+1-C1513,D1513-C1513)*24</f>
        <v/>
      </c>
      <c r="H1513" s="18">
        <f>MAX(0,G1513-8)</f>
        <v/>
      </c>
    </row>
    <row r="1514">
      <c r="A1514" t="n">
        <v>1110</v>
      </c>
      <c r="B1514" s="14" t="n">
        <v>46245</v>
      </c>
      <c r="C1514" s="17" t="n">
        <v>0.9375</v>
      </c>
      <c r="D1514" s="17" t="n">
        <v>0.0625</v>
      </c>
      <c r="E1514" t="inlineStr">
        <is>
          <t>Night</t>
        </is>
      </c>
      <c r="F1514" t="inlineStr">
        <is>
          <t>Aug</t>
        </is>
      </c>
      <c r="G1514" s="18">
        <f>IF(D1514&lt;C1514,D1514+1-C1514,D1514-C1514)*24</f>
        <v/>
      </c>
      <c r="H1514" s="18">
        <f>MAX(0,G1514-8)</f>
        <v/>
      </c>
    </row>
    <row r="1515">
      <c r="A1515" t="n">
        <v>1112</v>
      </c>
      <c r="B1515" s="14" t="n">
        <v>46245</v>
      </c>
      <c r="C1515" s="17" t="n">
        <v>0.9166666666666666</v>
      </c>
      <c r="D1515" s="17" t="n">
        <v>0.08333333333333333</v>
      </c>
      <c r="E1515" t="inlineStr">
        <is>
          <t>Night</t>
        </is>
      </c>
      <c r="F1515" t="inlineStr">
        <is>
          <t>Aug</t>
        </is>
      </c>
      <c r="G1515" s="18">
        <f>IF(D1515&lt;C1515,D1515+1-C1515,D1515-C1515)*24</f>
        <v/>
      </c>
      <c r="H1515" s="18">
        <f>MAX(0,G1515-8)</f>
        <v/>
      </c>
    </row>
    <row r="1516">
      <c r="A1516" t="n">
        <v>1113</v>
      </c>
      <c r="B1516" s="14" t="n">
        <v>46245</v>
      </c>
      <c r="C1516" s="17" t="n">
        <v>0.9166666666666666</v>
      </c>
      <c r="D1516" s="17" t="n">
        <v>0.0625</v>
      </c>
      <c r="E1516" t="inlineStr">
        <is>
          <t>Night</t>
        </is>
      </c>
      <c r="F1516" t="inlineStr">
        <is>
          <t>Aug</t>
        </is>
      </c>
      <c r="G1516" s="18">
        <f>IF(D1516&lt;C1516,D1516+1-C1516,D1516-C1516)*24</f>
        <v/>
      </c>
      <c r="H1516" s="18">
        <f>MAX(0,G1516-8)</f>
        <v/>
      </c>
    </row>
    <row r="1517">
      <c r="A1517" t="n">
        <v>1114</v>
      </c>
      <c r="B1517" s="14" t="n">
        <v>46245</v>
      </c>
      <c r="C1517" s="17" t="n">
        <v>0.9166666666666666</v>
      </c>
      <c r="D1517" s="17" t="n">
        <v>0.0625</v>
      </c>
      <c r="E1517" t="inlineStr">
        <is>
          <t>Night</t>
        </is>
      </c>
      <c r="F1517" t="inlineStr">
        <is>
          <t>Aug</t>
        </is>
      </c>
      <c r="G1517" s="18">
        <f>IF(D1517&lt;C1517,D1517+1-C1517,D1517-C1517)*24</f>
        <v/>
      </c>
      <c r="H1517" s="18">
        <f>MAX(0,G1517-8)</f>
        <v/>
      </c>
    </row>
    <row r="1518">
      <c r="A1518" t="n">
        <v>1115</v>
      </c>
      <c r="B1518" s="14" t="n">
        <v>46245</v>
      </c>
      <c r="C1518" s="17" t="n">
        <v>0.9166666666666666</v>
      </c>
      <c r="D1518" s="17" t="n">
        <v>0.0625</v>
      </c>
      <c r="E1518" t="inlineStr">
        <is>
          <t>Night</t>
        </is>
      </c>
      <c r="F1518" t="inlineStr">
        <is>
          <t>Aug</t>
        </is>
      </c>
      <c r="G1518" s="18">
        <f>IF(D1518&lt;C1518,D1518+1-C1518,D1518-C1518)*24</f>
        <v/>
      </c>
      <c r="H1518" s="18">
        <f>MAX(0,G1518-8)</f>
        <v/>
      </c>
    </row>
    <row r="1519">
      <c r="A1519" t="n">
        <v>1116</v>
      </c>
      <c r="B1519" s="14" t="n">
        <v>46245</v>
      </c>
      <c r="C1519" s="17" t="n">
        <v>0.9166666666666666</v>
      </c>
      <c r="D1519" s="17" t="n">
        <v>0.08333333333333333</v>
      </c>
      <c r="E1519" t="inlineStr">
        <is>
          <t>Night</t>
        </is>
      </c>
      <c r="F1519" t="inlineStr">
        <is>
          <t>Aug</t>
        </is>
      </c>
      <c r="G1519" s="18">
        <f>IF(D1519&lt;C1519,D1519+1-C1519,D1519-C1519)*24</f>
        <v/>
      </c>
      <c r="H1519" s="18">
        <f>MAX(0,G1519-8)</f>
        <v/>
      </c>
    </row>
    <row r="1520">
      <c r="A1520" t="n">
        <v>1117</v>
      </c>
      <c r="B1520" s="14" t="n">
        <v>46245</v>
      </c>
      <c r="C1520" s="17" t="n">
        <v>0.9166666666666666</v>
      </c>
      <c r="D1520" s="17" t="n">
        <v>0.0625</v>
      </c>
      <c r="E1520" t="inlineStr">
        <is>
          <t>Night</t>
        </is>
      </c>
      <c r="F1520" t="inlineStr">
        <is>
          <t>Aug</t>
        </is>
      </c>
      <c r="G1520" s="18">
        <f>IF(D1520&lt;C1520,D1520+1-C1520,D1520-C1520)*24</f>
        <v/>
      </c>
      <c r="H1520" s="18">
        <f>MAX(0,G1520-8)</f>
        <v/>
      </c>
    </row>
    <row r="1521">
      <c r="A1521" t="n">
        <v>1118</v>
      </c>
      <c r="B1521" s="14" t="n">
        <v>46245</v>
      </c>
      <c r="C1521" s="17" t="n">
        <v>0.9270833333333334</v>
      </c>
      <c r="D1521" s="17" t="n">
        <v>0.09375</v>
      </c>
      <c r="E1521" t="inlineStr">
        <is>
          <t>Night</t>
        </is>
      </c>
      <c r="F1521" t="inlineStr">
        <is>
          <t>Aug</t>
        </is>
      </c>
      <c r="G1521" s="18">
        <f>IF(D1521&lt;C1521,D1521+1-C1521,D1521-C1521)*24</f>
        <v/>
      </c>
      <c r="H1521" s="18">
        <f>MAX(0,G1521-8)</f>
        <v/>
      </c>
    </row>
    <row r="1522">
      <c r="A1522" t="n">
        <v>1119</v>
      </c>
      <c r="B1522" s="14" t="n">
        <v>46245</v>
      </c>
      <c r="C1522" s="17" t="n">
        <v>0.9166666666666666</v>
      </c>
      <c r="D1522" s="17" t="n">
        <v>0.04166666666666666</v>
      </c>
      <c r="E1522" t="inlineStr">
        <is>
          <t>Night</t>
        </is>
      </c>
      <c r="F1522" t="inlineStr">
        <is>
          <t>Aug</t>
        </is>
      </c>
      <c r="G1522" s="18">
        <f>IF(D1522&lt;C1522,D1522+1-C1522,D1522-C1522)*24</f>
        <v/>
      </c>
      <c r="H1522" s="18">
        <f>MAX(0,G1522-8)</f>
        <v/>
      </c>
    </row>
    <row r="1523">
      <c r="A1523" t="n">
        <v>1120</v>
      </c>
      <c r="B1523" s="14" t="n">
        <v>46245</v>
      </c>
      <c r="C1523" s="17" t="n">
        <v>0.9166666666666666</v>
      </c>
      <c r="D1523" s="17" t="n">
        <v>0.08333333333333333</v>
      </c>
      <c r="E1523" t="inlineStr">
        <is>
          <t>Night</t>
        </is>
      </c>
      <c r="F1523" t="inlineStr">
        <is>
          <t>Aug</t>
        </is>
      </c>
      <c r="G1523" s="18">
        <f>IF(D1523&lt;C1523,D1523+1-C1523,D1523-C1523)*24</f>
        <v/>
      </c>
      <c r="H1523" s="18">
        <f>MAX(0,G1523-8)</f>
        <v/>
      </c>
    </row>
    <row r="1524">
      <c r="A1524" t="n">
        <v>1122</v>
      </c>
      <c r="B1524" s="14" t="n">
        <v>46245</v>
      </c>
      <c r="C1524" s="17" t="n">
        <v>0.9166666666666666</v>
      </c>
      <c r="D1524" s="17" t="n">
        <v>0.04166666666666666</v>
      </c>
      <c r="E1524" t="inlineStr">
        <is>
          <t>Night</t>
        </is>
      </c>
      <c r="F1524" t="inlineStr">
        <is>
          <t>Aug</t>
        </is>
      </c>
      <c r="G1524" s="18">
        <f>IF(D1524&lt;C1524,D1524+1-C1524,D1524-C1524)*24</f>
        <v/>
      </c>
      <c r="H1524" s="18">
        <f>MAX(0,G1524-8)</f>
        <v/>
      </c>
    </row>
    <row r="1525">
      <c r="A1525" t="n">
        <v>1123</v>
      </c>
      <c r="B1525" s="14" t="n">
        <v>46245</v>
      </c>
      <c r="C1525" s="17" t="n">
        <v>0.9375</v>
      </c>
      <c r="D1525" s="17" t="n">
        <v>0.1041666666666667</v>
      </c>
      <c r="E1525" t="inlineStr">
        <is>
          <t>Night</t>
        </is>
      </c>
      <c r="F1525" t="inlineStr">
        <is>
          <t>Aug</t>
        </is>
      </c>
      <c r="G1525" s="18">
        <f>IF(D1525&lt;C1525,D1525+1-C1525,D1525-C1525)*24</f>
        <v/>
      </c>
      <c r="H1525" s="18">
        <f>MAX(0,G1525-8)</f>
        <v/>
      </c>
    </row>
    <row r="1526">
      <c r="A1526" t="n">
        <v>1125</v>
      </c>
      <c r="B1526" s="14" t="n">
        <v>46245</v>
      </c>
      <c r="C1526" s="17" t="n">
        <v>0.9166666666666666</v>
      </c>
      <c r="D1526" s="17" t="n">
        <v>0.0625</v>
      </c>
      <c r="E1526" t="inlineStr">
        <is>
          <t>Night</t>
        </is>
      </c>
      <c r="F1526" t="inlineStr">
        <is>
          <t>Aug</t>
        </is>
      </c>
      <c r="G1526" s="18">
        <f>IF(D1526&lt;C1526,D1526+1-C1526,D1526-C1526)*24</f>
        <v/>
      </c>
      <c r="H1526" s="18">
        <f>MAX(0,G1526-8)</f>
        <v/>
      </c>
    </row>
    <row r="1527">
      <c r="A1527" t="n">
        <v>1126</v>
      </c>
      <c r="B1527" s="14" t="n">
        <v>46245</v>
      </c>
      <c r="C1527" s="17" t="n">
        <v>0.9166666666666666</v>
      </c>
      <c r="D1527" s="17" t="n">
        <v>0.08333333333333333</v>
      </c>
      <c r="E1527" t="inlineStr">
        <is>
          <t>Night</t>
        </is>
      </c>
      <c r="F1527" t="inlineStr">
        <is>
          <t>Aug</t>
        </is>
      </c>
      <c r="G1527" s="18">
        <f>IF(D1527&lt;C1527,D1527+1-C1527,D1527-C1527)*24</f>
        <v/>
      </c>
      <c r="H1527" s="18">
        <f>MAX(0,G1527-8)</f>
        <v/>
      </c>
    </row>
    <row r="1528">
      <c r="A1528" t="n">
        <v>1128</v>
      </c>
      <c r="B1528" s="14" t="n">
        <v>46245</v>
      </c>
      <c r="C1528" s="17" t="n">
        <v>0.9166666666666666</v>
      </c>
      <c r="D1528" s="17" t="n">
        <v>0.04166666666666666</v>
      </c>
      <c r="E1528" t="inlineStr">
        <is>
          <t>Night</t>
        </is>
      </c>
      <c r="F1528" t="inlineStr">
        <is>
          <t>Aug</t>
        </is>
      </c>
      <c r="G1528" s="18">
        <f>IF(D1528&lt;C1528,D1528+1-C1528,D1528-C1528)*24</f>
        <v/>
      </c>
      <c r="H1528" s="18">
        <f>MAX(0,G1528-8)</f>
        <v/>
      </c>
    </row>
    <row r="1529">
      <c r="A1529" t="n">
        <v>1130</v>
      </c>
      <c r="B1529" s="14" t="n">
        <v>46245</v>
      </c>
      <c r="C1529" s="17" t="n">
        <v>0.9270833333333334</v>
      </c>
      <c r="D1529" s="17" t="n">
        <v>0.05208333333333334</v>
      </c>
      <c r="E1529" t="inlineStr">
        <is>
          <t>Night</t>
        </is>
      </c>
      <c r="F1529" t="inlineStr">
        <is>
          <t>Aug</t>
        </is>
      </c>
      <c r="G1529" s="18">
        <f>IF(D1529&lt;C1529,D1529+1-C1529,D1529-C1529)*24</f>
        <v/>
      </c>
      <c r="H1529" s="18">
        <f>MAX(0,G1529-8)</f>
        <v/>
      </c>
    </row>
    <row r="1530">
      <c r="A1530" t="n">
        <v>1132</v>
      </c>
      <c r="B1530" s="14" t="n">
        <v>46245</v>
      </c>
      <c r="C1530" s="17" t="n">
        <v>0.9166666666666666</v>
      </c>
      <c r="D1530" s="17" t="n">
        <v>0.08333333333333333</v>
      </c>
      <c r="E1530" t="inlineStr">
        <is>
          <t>Night</t>
        </is>
      </c>
      <c r="F1530" t="inlineStr">
        <is>
          <t>Aug</t>
        </is>
      </c>
      <c r="G1530" s="18">
        <f>IF(D1530&lt;C1530,D1530+1-C1530,D1530-C1530)*24</f>
        <v/>
      </c>
      <c r="H1530" s="18">
        <f>MAX(0,G1530-8)</f>
        <v/>
      </c>
    </row>
    <row r="1531">
      <c r="A1531" t="n">
        <v>1133</v>
      </c>
      <c r="B1531" s="14" t="n">
        <v>46245</v>
      </c>
      <c r="C1531" s="17" t="n">
        <v>0.9375</v>
      </c>
      <c r="D1531" s="17" t="n">
        <v>0.0625</v>
      </c>
      <c r="E1531" t="inlineStr">
        <is>
          <t>Night</t>
        </is>
      </c>
      <c r="F1531" t="inlineStr">
        <is>
          <t>Aug</t>
        </is>
      </c>
      <c r="G1531" s="18">
        <f>IF(D1531&lt;C1531,D1531+1-C1531,D1531-C1531)*24</f>
        <v/>
      </c>
      <c r="H1531" s="18">
        <f>MAX(0,G1531-8)</f>
        <v/>
      </c>
    </row>
    <row r="1532">
      <c r="A1532" t="n">
        <v>1134</v>
      </c>
      <c r="B1532" s="14" t="n">
        <v>46245</v>
      </c>
      <c r="C1532" s="17" t="n">
        <v>0.9375</v>
      </c>
      <c r="D1532" s="17" t="n">
        <v>0.1458333333333333</v>
      </c>
      <c r="E1532" t="inlineStr">
        <is>
          <t>Night</t>
        </is>
      </c>
      <c r="F1532" t="inlineStr">
        <is>
          <t>Aug</t>
        </is>
      </c>
      <c r="G1532" s="18">
        <f>IF(D1532&lt;C1532,D1532+1-C1532,D1532-C1532)*24</f>
        <v/>
      </c>
      <c r="H1532" s="18">
        <f>MAX(0,G1532-8)</f>
        <v/>
      </c>
    </row>
    <row r="1533">
      <c r="A1533" t="n">
        <v>1135</v>
      </c>
      <c r="B1533" s="14" t="n">
        <v>46245</v>
      </c>
      <c r="C1533" s="17" t="n">
        <v>0.9375</v>
      </c>
      <c r="D1533" s="17" t="n">
        <v>0.1458333333333333</v>
      </c>
      <c r="E1533" t="inlineStr">
        <is>
          <t>Night</t>
        </is>
      </c>
      <c r="F1533" t="inlineStr">
        <is>
          <t>Aug</t>
        </is>
      </c>
      <c r="G1533" s="18">
        <f>IF(D1533&lt;C1533,D1533+1-C1533,D1533-C1533)*24</f>
        <v/>
      </c>
      <c r="H1533" s="18">
        <f>MAX(0,G1533-8)</f>
        <v/>
      </c>
    </row>
    <row r="1534">
      <c r="A1534" t="n">
        <v>1136</v>
      </c>
      <c r="B1534" s="14" t="n">
        <v>46245</v>
      </c>
      <c r="C1534" s="17" t="n">
        <v>0.9270833333333334</v>
      </c>
      <c r="D1534" s="17" t="n">
        <v>0.09375</v>
      </c>
      <c r="E1534" t="inlineStr">
        <is>
          <t>Night</t>
        </is>
      </c>
      <c r="F1534" t="inlineStr">
        <is>
          <t>Aug</t>
        </is>
      </c>
      <c r="G1534" s="18">
        <f>IF(D1534&lt;C1534,D1534+1-C1534,D1534-C1534)*24</f>
        <v/>
      </c>
      <c r="H1534" s="18">
        <f>MAX(0,G1534-8)</f>
        <v/>
      </c>
    </row>
    <row r="1535">
      <c r="A1535" t="n">
        <v>1137</v>
      </c>
      <c r="B1535" s="14" t="n">
        <v>46245</v>
      </c>
      <c r="C1535" s="17" t="n">
        <v>0.9166666666666666</v>
      </c>
      <c r="D1535" s="17" t="n">
        <v>0.08333333333333333</v>
      </c>
      <c r="E1535" t="inlineStr">
        <is>
          <t>Night</t>
        </is>
      </c>
      <c r="F1535" t="inlineStr">
        <is>
          <t>Aug</t>
        </is>
      </c>
      <c r="G1535" s="18">
        <f>IF(D1535&lt;C1535,D1535+1-C1535,D1535-C1535)*24</f>
        <v/>
      </c>
      <c r="H1535" s="18">
        <f>MAX(0,G1535-8)</f>
        <v/>
      </c>
    </row>
    <row r="1536">
      <c r="A1536" t="n">
        <v>1147</v>
      </c>
      <c r="B1536" s="14" t="n">
        <v>46245</v>
      </c>
      <c r="C1536" s="17" t="n">
        <v>0.9166666666666666</v>
      </c>
      <c r="D1536" s="17" t="n">
        <v>0.0625</v>
      </c>
      <c r="E1536" t="inlineStr">
        <is>
          <t>Night</t>
        </is>
      </c>
      <c r="F1536" t="inlineStr">
        <is>
          <t>Aug</t>
        </is>
      </c>
      <c r="G1536" s="18">
        <f>IF(D1536&lt;C1536,D1536+1-C1536,D1536-C1536)*24</f>
        <v/>
      </c>
      <c r="H1536" s="18">
        <f>MAX(0,G1536-8)</f>
        <v/>
      </c>
    </row>
    <row r="1537">
      <c r="A1537" t="n">
        <v>1111</v>
      </c>
      <c r="B1537" s="14" t="n">
        <v>46245</v>
      </c>
      <c r="C1537" s="17" t="n">
        <v>0.02083333333333333</v>
      </c>
      <c r="D1537" s="17" t="n">
        <v>0.1875</v>
      </c>
      <c r="E1537" t="inlineStr">
        <is>
          <t>Night</t>
        </is>
      </c>
      <c r="F1537" t="inlineStr">
        <is>
          <t>Aug</t>
        </is>
      </c>
      <c r="G1537" s="18">
        <f>IF(D1537&lt;C1537,D1537+1-C1537,D1537-C1537)*24</f>
        <v/>
      </c>
      <c r="H1537" s="18">
        <f>MAX(0,G1537-8)</f>
        <v/>
      </c>
    </row>
    <row r="1538">
      <c r="A1538" t="n">
        <v>1121</v>
      </c>
      <c r="B1538" s="14" t="n">
        <v>46245</v>
      </c>
      <c r="C1538" s="17" t="n">
        <v>0.02083333333333333</v>
      </c>
      <c r="D1538" s="17" t="n">
        <v>0.1875</v>
      </c>
      <c r="E1538" t="inlineStr">
        <is>
          <t>Night</t>
        </is>
      </c>
      <c r="F1538" t="inlineStr">
        <is>
          <t>Aug</t>
        </is>
      </c>
      <c r="G1538" s="18">
        <f>IF(D1538&lt;C1538,D1538+1-C1538,D1538-C1538)*24</f>
        <v/>
      </c>
      <c r="H1538" s="18">
        <f>MAX(0,G1538-8)</f>
        <v/>
      </c>
    </row>
    <row r="1539">
      <c r="A1539" t="n">
        <v>1127</v>
      </c>
      <c r="B1539" s="14" t="n">
        <v>46245</v>
      </c>
      <c r="C1539" s="17" t="n">
        <v>0.02083333333333333</v>
      </c>
      <c r="D1539" s="17" t="n">
        <v>0.1458333333333333</v>
      </c>
      <c r="E1539" t="inlineStr">
        <is>
          <t>Night</t>
        </is>
      </c>
      <c r="F1539" t="inlineStr">
        <is>
          <t>Aug</t>
        </is>
      </c>
      <c r="G1539" s="18">
        <f>IF(D1539&lt;C1539,D1539+1-C1539,D1539-C1539)*24</f>
        <v/>
      </c>
      <c r="H1539" s="18">
        <f>MAX(0,G1539-8)</f>
        <v/>
      </c>
    </row>
    <row r="1540">
      <c r="A1540" t="n">
        <v>1131</v>
      </c>
      <c r="B1540" s="14" t="n">
        <v>46245</v>
      </c>
      <c r="C1540" s="17" t="n">
        <v>0.01041666666666667</v>
      </c>
      <c r="D1540" s="17" t="n">
        <v>0.21875</v>
      </c>
      <c r="E1540" t="inlineStr">
        <is>
          <t>Night</t>
        </is>
      </c>
      <c r="F1540" t="inlineStr">
        <is>
          <t>Aug</t>
        </is>
      </c>
      <c r="G1540" s="18">
        <f>IF(D1540&lt;C1540,D1540+1-C1540,D1540-C1540)*24</f>
        <v/>
      </c>
      <c r="H1540" s="18">
        <f>MAX(0,G1540-8)</f>
        <v/>
      </c>
    </row>
    <row r="1541">
      <c r="A1541" t="n">
        <v>1201</v>
      </c>
      <c r="B1541" s="14" t="n">
        <v>46245</v>
      </c>
      <c r="C1541" s="17" t="n">
        <v>0.2708333333333333</v>
      </c>
      <c r="D1541" s="17" t="n">
        <v>0.6041666666666666</v>
      </c>
      <c r="E1541" t="inlineStr">
        <is>
          <t>Day</t>
        </is>
      </c>
      <c r="F1541" t="inlineStr">
        <is>
          <t>Aug</t>
        </is>
      </c>
      <c r="G1541" s="18">
        <f>IF(D1541&lt;C1541,D1541+1-C1541,D1541-C1541)*24</f>
        <v/>
      </c>
      <c r="H1541" s="18">
        <f>MAX(0,G1541-8)</f>
        <v/>
      </c>
    </row>
    <row r="1542">
      <c r="A1542" t="n">
        <v>1202</v>
      </c>
      <c r="B1542" s="14" t="n">
        <v>46245</v>
      </c>
      <c r="C1542" s="17" t="n">
        <v>0.25</v>
      </c>
      <c r="D1542" s="17" t="n">
        <v>0.6041666666666666</v>
      </c>
      <c r="E1542" t="inlineStr">
        <is>
          <t>Day</t>
        </is>
      </c>
      <c r="F1542" t="inlineStr">
        <is>
          <t>Aug</t>
        </is>
      </c>
      <c r="G1542" s="18">
        <f>IF(D1542&lt;C1542,D1542+1-C1542,D1542-C1542)*24</f>
        <v/>
      </c>
      <c r="H1542" s="18">
        <f>MAX(0,G1542-8)</f>
        <v/>
      </c>
    </row>
    <row r="1543">
      <c r="A1543" t="n">
        <v>1204</v>
      </c>
      <c r="B1543" s="14" t="n">
        <v>46245</v>
      </c>
      <c r="C1543" s="17" t="n">
        <v>0.2708333333333333</v>
      </c>
      <c r="D1543" s="17" t="n">
        <v>0.6041666666666666</v>
      </c>
      <c r="E1543" t="inlineStr">
        <is>
          <t>Day</t>
        </is>
      </c>
      <c r="F1543" t="inlineStr">
        <is>
          <t>Aug</t>
        </is>
      </c>
      <c r="G1543" s="18">
        <f>IF(D1543&lt;C1543,D1543+1-C1543,D1543-C1543)*24</f>
        <v/>
      </c>
      <c r="H1543" s="18">
        <f>MAX(0,G1543-8)</f>
        <v/>
      </c>
    </row>
    <row r="1544">
      <c r="A1544" t="n">
        <v>1205</v>
      </c>
      <c r="B1544" s="14" t="n">
        <v>46245</v>
      </c>
      <c r="C1544" s="17" t="n">
        <v>0.25</v>
      </c>
      <c r="D1544" s="17" t="n">
        <v>0.5833333333333334</v>
      </c>
      <c r="E1544" t="inlineStr">
        <is>
          <t>Day</t>
        </is>
      </c>
      <c r="F1544" t="inlineStr">
        <is>
          <t>Aug</t>
        </is>
      </c>
      <c r="G1544" s="18">
        <f>IF(D1544&lt;C1544,D1544+1-C1544,D1544-C1544)*24</f>
        <v/>
      </c>
      <c r="H1544" s="18">
        <f>MAX(0,G1544-8)</f>
        <v/>
      </c>
    </row>
    <row r="1545">
      <c r="A1545" t="n">
        <v>1206</v>
      </c>
      <c r="B1545" s="14" t="n">
        <v>46245</v>
      </c>
      <c r="C1545" s="17" t="n">
        <v>0.25</v>
      </c>
      <c r="D1545" s="17" t="n">
        <v>0.6666666666666666</v>
      </c>
      <c r="E1545" t="inlineStr">
        <is>
          <t>Day</t>
        </is>
      </c>
      <c r="F1545" t="inlineStr">
        <is>
          <t>Aug</t>
        </is>
      </c>
      <c r="G1545" s="18">
        <f>IF(D1545&lt;C1545,D1545+1-C1545,D1545-C1545)*24</f>
        <v/>
      </c>
      <c r="H1545" s="18">
        <f>MAX(0,G1545-8)</f>
        <v/>
      </c>
    </row>
    <row r="1546">
      <c r="A1546" t="n">
        <v>1207</v>
      </c>
      <c r="B1546" s="14" t="n">
        <v>46245</v>
      </c>
      <c r="C1546" s="17" t="n">
        <v>0.2708333333333333</v>
      </c>
      <c r="D1546" s="17" t="n">
        <v>0.6041666666666666</v>
      </c>
      <c r="E1546" t="inlineStr">
        <is>
          <t>Day</t>
        </is>
      </c>
      <c r="F1546" t="inlineStr">
        <is>
          <t>Aug</t>
        </is>
      </c>
      <c r="G1546" s="18">
        <f>IF(D1546&lt;C1546,D1546+1-C1546,D1546-C1546)*24</f>
        <v/>
      </c>
      <c r="H1546" s="18">
        <f>MAX(0,G1546-8)</f>
        <v/>
      </c>
    </row>
    <row r="1547">
      <c r="A1547" t="n">
        <v>1208</v>
      </c>
      <c r="B1547" s="14" t="n">
        <v>46245</v>
      </c>
      <c r="C1547" s="17" t="n">
        <v>0.25</v>
      </c>
      <c r="D1547" s="17" t="n">
        <v>0.625</v>
      </c>
      <c r="E1547" t="inlineStr">
        <is>
          <t>Day</t>
        </is>
      </c>
      <c r="F1547" t="inlineStr">
        <is>
          <t>Aug</t>
        </is>
      </c>
      <c r="G1547" s="18">
        <f>IF(D1547&lt;C1547,D1547+1-C1547,D1547-C1547)*24</f>
        <v/>
      </c>
      <c r="H1547" s="18">
        <f>MAX(0,G1547-8)</f>
        <v/>
      </c>
    </row>
    <row r="1548">
      <c r="A1548" t="n">
        <v>1209</v>
      </c>
      <c r="B1548" s="14" t="n">
        <v>46245</v>
      </c>
      <c r="C1548" s="17" t="n">
        <v>0.25</v>
      </c>
      <c r="D1548" s="17" t="n">
        <v>0.5833333333333334</v>
      </c>
      <c r="E1548" t="inlineStr">
        <is>
          <t>Day</t>
        </is>
      </c>
      <c r="F1548" t="inlineStr">
        <is>
          <t>Aug</t>
        </is>
      </c>
      <c r="G1548" s="18">
        <f>IF(D1548&lt;C1548,D1548+1-C1548,D1548-C1548)*24</f>
        <v/>
      </c>
      <c r="H1548" s="18">
        <f>MAX(0,G1548-8)</f>
        <v/>
      </c>
    </row>
    <row r="1549">
      <c r="A1549" t="n">
        <v>1210</v>
      </c>
      <c r="B1549" s="14" t="n">
        <v>46245</v>
      </c>
      <c r="C1549" s="17" t="n">
        <v>0.25</v>
      </c>
      <c r="D1549" s="17" t="n">
        <v>0.5833333333333334</v>
      </c>
      <c r="E1549" t="inlineStr">
        <is>
          <t>Day</t>
        </is>
      </c>
      <c r="F1549" t="inlineStr">
        <is>
          <t>Aug</t>
        </is>
      </c>
      <c r="G1549" s="18">
        <f>IF(D1549&lt;C1549,D1549+1-C1549,D1549-C1549)*24</f>
        <v/>
      </c>
      <c r="H1549" s="18">
        <f>MAX(0,G1549-8)</f>
        <v/>
      </c>
    </row>
    <row r="1550">
      <c r="A1550" t="n">
        <v>1211</v>
      </c>
      <c r="B1550" s="14" t="n">
        <v>46245</v>
      </c>
      <c r="C1550" s="17" t="n">
        <v>0.25</v>
      </c>
      <c r="D1550" s="17" t="n">
        <v>0.5833333333333334</v>
      </c>
      <c r="E1550" t="inlineStr">
        <is>
          <t>Day</t>
        </is>
      </c>
      <c r="F1550" t="inlineStr">
        <is>
          <t>Aug</t>
        </is>
      </c>
      <c r="G1550" s="18">
        <f>IF(D1550&lt;C1550,D1550+1-C1550,D1550-C1550)*24</f>
        <v/>
      </c>
      <c r="H1550" s="18">
        <f>MAX(0,G1550-8)</f>
        <v/>
      </c>
    </row>
    <row r="1551">
      <c r="A1551" t="n">
        <v>1212</v>
      </c>
      <c r="B1551" s="14" t="n">
        <v>46245</v>
      </c>
      <c r="C1551" s="17" t="n">
        <v>0.25</v>
      </c>
      <c r="D1551" s="17" t="n">
        <v>0.6041666666666666</v>
      </c>
      <c r="E1551" t="inlineStr">
        <is>
          <t>Day</t>
        </is>
      </c>
      <c r="F1551" t="inlineStr">
        <is>
          <t>Aug</t>
        </is>
      </c>
      <c r="G1551" s="18">
        <f>IF(D1551&lt;C1551,D1551+1-C1551,D1551-C1551)*24</f>
        <v/>
      </c>
      <c r="H1551" s="18">
        <f>MAX(0,G1551-8)</f>
        <v/>
      </c>
    </row>
    <row r="1552">
      <c r="A1552" t="n">
        <v>1213</v>
      </c>
      <c r="B1552" s="14" t="n">
        <v>46245</v>
      </c>
      <c r="C1552" s="17" t="n">
        <v>0.25</v>
      </c>
      <c r="D1552" s="17" t="n">
        <v>0.625</v>
      </c>
      <c r="E1552" t="inlineStr">
        <is>
          <t>Day</t>
        </is>
      </c>
      <c r="F1552" t="inlineStr">
        <is>
          <t>Aug</t>
        </is>
      </c>
      <c r="G1552" s="18">
        <f>IF(D1552&lt;C1552,D1552+1-C1552,D1552-C1552)*24</f>
        <v/>
      </c>
      <c r="H1552" s="18">
        <f>MAX(0,G1552-8)</f>
        <v/>
      </c>
    </row>
    <row r="1553">
      <c r="A1553" t="n">
        <v>1214</v>
      </c>
      <c r="B1553" s="14" t="n">
        <v>46245</v>
      </c>
      <c r="C1553" s="17" t="n">
        <v>0.25</v>
      </c>
      <c r="D1553" s="17" t="n">
        <v>0.6666666666666666</v>
      </c>
      <c r="E1553" t="inlineStr">
        <is>
          <t>Day</t>
        </is>
      </c>
      <c r="F1553" t="inlineStr">
        <is>
          <t>Aug</t>
        </is>
      </c>
      <c r="G1553" s="18">
        <f>IF(D1553&lt;C1553,D1553+1-C1553,D1553-C1553)*24</f>
        <v/>
      </c>
      <c r="H1553" s="18">
        <f>MAX(0,G1553-8)</f>
        <v/>
      </c>
    </row>
    <row r="1554">
      <c r="A1554" t="n">
        <v>1215</v>
      </c>
      <c r="B1554" s="14" t="n">
        <v>46245</v>
      </c>
      <c r="C1554" s="17" t="n">
        <v>0.25</v>
      </c>
      <c r="D1554" s="17" t="n">
        <v>0.6041666666666666</v>
      </c>
      <c r="E1554" t="inlineStr">
        <is>
          <t>Day</t>
        </is>
      </c>
      <c r="F1554" t="inlineStr">
        <is>
          <t>Aug</t>
        </is>
      </c>
      <c r="G1554" s="18">
        <f>IF(D1554&lt;C1554,D1554+1-C1554,D1554-C1554)*24</f>
        <v/>
      </c>
      <c r="H1554" s="18">
        <f>MAX(0,G1554-8)</f>
        <v/>
      </c>
    </row>
    <row r="1555">
      <c r="A1555" t="n">
        <v>1216</v>
      </c>
      <c r="B1555" s="14" t="n">
        <v>46245</v>
      </c>
      <c r="C1555" s="17" t="n">
        <v>0.2708333333333333</v>
      </c>
      <c r="D1555" s="17" t="n">
        <v>0.6875</v>
      </c>
      <c r="E1555" t="inlineStr">
        <is>
          <t>Day</t>
        </is>
      </c>
      <c r="F1555" t="inlineStr">
        <is>
          <t>Aug</t>
        </is>
      </c>
      <c r="G1555" s="18">
        <f>IF(D1555&lt;C1555,D1555+1-C1555,D1555-C1555)*24</f>
        <v/>
      </c>
      <c r="H1555" s="18">
        <f>MAX(0,G1555-8)</f>
        <v/>
      </c>
    </row>
    <row r="1556">
      <c r="A1556" t="n">
        <v>1217</v>
      </c>
      <c r="B1556" s="14" t="n">
        <v>46245</v>
      </c>
      <c r="C1556" s="17" t="n">
        <v>0.25</v>
      </c>
      <c r="D1556" s="17" t="n">
        <v>0.5833333333333334</v>
      </c>
      <c r="E1556" t="inlineStr">
        <is>
          <t>Day</t>
        </is>
      </c>
      <c r="F1556" t="inlineStr">
        <is>
          <t>Aug</t>
        </is>
      </c>
      <c r="G1556" s="18">
        <f>IF(D1556&lt;C1556,D1556+1-C1556,D1556-C1556)*24</f>
        <v/>
      </c>
      <c r="H1556" s="18">
        <f>MAX(0,G1556-8)</f>
        <v/>
      </c>
    </row>
    <row r="1557">
      <c r="A1557" t="n">
        <v>1218</v>
      </c>
      <c r="B1557" s="14" t="n">
        <v>46245</v>
      </c>
      <c r="C1557" s="17" t="n">
        <v>0.2708333333333333</v>
      </c>
      <c r="D1557" s="17" t="n">
        <v>0.6875</v>
      </c>
      <c r="E1557" t="inlineStr">
        <is>
          <t>Day</t>
        </is>
      </c>
      <c r="F1557" t="inlineStr">
        <is>
          <t>Aug</t>
        </is>
      </c>
      <c r="G1557" s="18">
        <f>IF(D1557&lt;C1557,D1557+1-C1557,D1557-C1557)*24</f>
        <v/>
      </c>
      <c r="H1557" s="18">
        <f>MAX(0,G1557-8)</f>
        <v/>
      </c>
    </row>
    <row r="1558">
      <c r="A1558" t="n">
        <v>1219</v>
      </c>
      <c r="B1558" s="14" t="n">
        <v>46245</v>
      </c>
      <c r="C1558" s="17" t="n">
        <v>0.2708333333333333</v>
      </c>
      <c r="D1558" s="17" t="n">
        <v>0.6041666666666666</v>
      </c>
      <c r="E1558" t="inlineStr">
        <is>
          <t>Day</t>
        </is>
      </c>
      <c r="F1558" t="inlineStr">
        <is>
          <t>Aug</t>
        </is>
      </c>
      <c r="G1558" s="18">
        <f>IF(D1558&lt;C1558,D1558+1-C1558,D1558-C1558)*24</f>
        <v/>
      </c>
      <c r="H1558" s="18">
        <f>MAX(0,G1558-8)</f>
        <v/>
      </c>
    </row>
    <row r="1559">
      <c r="A1559" t="n">
        <v>1220</v>
      </c>
      <c r="B1559" s="14" t="n">
        <v>46245</v>
      </c>
      <c r="C1559" s="17" t="n">
        <v>0.25</v>
      </c>
      <c r="D1559" s="17" t="n">
        <v>0.5833333333333334</v>
      </c>
      <c r="E1559" t="inlineStr">
        <is>
          <t>Day</t>
        </is>
      </c>
      <c r="F1559" t="inlineStr">
        <is>
          <t>Aug</t>
        </is>
      </c>
      <c r="G1559" s="18">
        <f>IF(D1559&lt;C1559,D1559+1-C1559,D1559-C1559)*24</f>
        <v/>
      </c>
      <c r="H1559" s="18">
        <f>MAX(0,G1559-8)</f>
        <v/>
      </c>
    </row>
    <row r="1560">
      <c r="A1560" t="n">
        <v>1101</v>
      </c>
      <c r="B1560" s="14" t="n">
        <v>46246</v>
      </c>
      <c r="C1560" s="17" t="n">
        <v>0.9375</v>
      </c>
      <c r="D1560" s="17" t="n">
        <v>0.0625</v>
      </c>
      <c r="E1560" t="inlineStr">
        <is>
          <t>Night</t>
        </is>
      </c>
      <c r="F1560" t="inlineStr">
        <is>
          <t>Aug</t>
        </is>
      </c>
      <c r="G1560" s="18">
        <f>IF(D1560&lt;C1560,D1560+1-C1560,D1560-C1560)*24</f>
        <v/>
      </c>
      <c r="H1560" s="18">
        <f>MAX(0,G1560-8)</f>
        <v/>
      </c>
    </row>
    <row r="1561">
      <c r="A1561" t="n">
        <v>1102</v>
      </c>
      <c r="B1561" s="14" t="n">
        <v>46246</v>
      </c>
      <c r="C1561" s="17" t="n">
        <v>0.9166666666666666</v>
      </c>
      <c r="D1561" s="17" t="n">
        <v>0.0625</v>
      </c>
      <c r="E1561" t="inlineStr">
        <is>
          <t>Night</t>
        </is>
      </c>
      <c r="F1561" t="inlineStr">
        <is>
          <t>Aug</t>
        </is>
      </c>
      <c r="G1561" s="18">
        <f>IF(D1561&lt;C1561,D1561+1-C1561,D1561-C1561)*24</f>
        <v/>
      </c>
      <c r="H1561" s="18">
        <f>MAX(0,G1561-8)</f>
        <v/>
      </c>
    </row>
    <row r="1562">
      <c r="A1562" t="n">
        <v>1103</v>
      </c>
      <c r="B1562" s="14" t="n">
        <v>46246</v>
      </c>
      <c r="C1562" s="17" t="n">
        <v>0.9375</v>
      </c>
      <c r="D1562" s="17" t="n">
        <v>0.1458333333333333</v>
      </c>
      <c r="E1562" t="inlineStr">
        <is>
          <t>Night</t>
        </is>
      </c>
      <c r="F1562" t="inlineStr">
        <is>
          <t>Aug</t>
        </is>
      </c>
      <c r="G1562" s="18">
        <f>IF(D1562&lt;C1562,D1562+1-C1562,D1562-C1562)*24</f>
        <v/>
      </c>
      <c r="H1562" s="18">
        <f>MAX(0,G1562-8)</f>
        <v/>
      </c>
    </row>
    <row r="1563">
      <c r="A1563" t="n">
        <v>1104</v>
      </c>
      <c r="B1563" s="14" t="n">
        <v>46246</v>
      </c>
      <c r="C1563" s="17" t="n">
        <v>0.9166666666666666</v>
      </c>
      <c r="D1563" s="17" t="n">
        <v>0.0625</v>
      </c>
      <c r="E1563" t="inlineStr">
        <is>
          <t>Night</t>
        </is>
      </c>
      <c r="F1563" t="inlineStr">
        <is>
          <t>Aug</t>
        </is>
      </c>
      <c r="G1563" s="18">
        <f>IF(D1563&lt;C1563,D1563+1-C1563,D1563-C1563)*24</f>
        <v/>
      </c>
      <c r="H1563" s="18">
        <f>MAX(0,G1563-8)</f>
        <v/>
      </c>
    </row>
    <row r="1564">
      <c r="A1564" t="n">
        <v>1106</v>
      </c>
      <c r="B1564" s="14" t="n">
        <v>46246</v>
      </c>
      <c r="C1564" s="17" t="n">
        <v>0.9166666666666666</v>
      </c>
      <c r="D1564" s="17" t="n">
        <v>0.0625</v>
      </c>
      <c r="E1564" t="inlineStr">
        <is>
          <t>Night</t>
        </is>
      </c>
      <c r="F1564" t="inlineStr">
        <is>
          <t>Aug</t>
        </is>
      </c>
      <c r="G1564" s="18">
        <f>IF(D1564&lt;C1564,D1564+1-C1564,D1564-C1564)*24</f>
        <v/>
      </c>
      <c r="H1564" s="18">
        <f>MAX(0,G1564-8)</f>
        <v/>
      </c>
    </row>
    <row r="1565">
      <c r="A1565" t="n">
        <v>1107</v>
      </c>
      <c r="B1565" s="14" t="n">
        <v>46246</v>
      </c>
      <c r="C1565" s="17" t="n">
        <v>0.9166666666666666</v>
      </c>
      <c r="D1565" s="17" t="n">
        <v>0.04166666666666666</v>
      </c>
      <c r="E1565" t="inlineStr">
        <is>
          <t>Night</t>
        </is>
      </c>
      <c r="F1565" t="inlineStr">
        <is>
          <t>Aug</t>
        </is>
      </c>
      <c r="G1565" s="18">
        <f>IF(D1565&lt;C1565,D1565+1-C1565,D1565-C1565)*24</f>
        <v/>
      </c>
      <c r="H1565" s="18">
        <f>MAX(0,G1565-8)</f>
        <v/>
      </c>
    </row>
    <row r="1566">
      <c r="A1566" t="n">
        <v>1108</v>
      </c>
      <c r="B1566" s="14" t="n">
        <v>46246</v>
      </c>
      <c r="C1566" s="17" t="n">
        <v>0.9166666666666666</v>
      </c>
      <c r="D1566" s="17" t="n">
        <v>0.04166666666666666</v>
      </c>
      <c r="E1566" t="inlineStr">
        <is>
          <t>Night</t>
        </is>
      </c>
      <c r="F1566" t="inlineStr">
        <is>
          <t>Aug</t>
        </is>
      </c>
      <c r="G1566" s="18">
        <f>IF(D1566&lt;C1566,D1566+1-C1566,D1566-C1566)*24</f>
        <v/>
      </c>
      <c r="H1566" s="18">
        <f>MAX(0,G1566-8)</f>
        <v/>
      </c>
    </row>
    <row r="1567">
      <c r="A1567" t="n">
        <v>1110</v>
      </c>
      <c r="B1567" s="14" t="n">
        <v>46246</v>
      </c>
      <c r="C1567" s="17" t="n">
        <v>0.9375</v>
      </c>
      <c r="D1567" s="17" t="n">
        <v>0.0625</v>
      </c>
      <c r="E1567" t="inlineStr">
        <is>
          <t>Night</t>
        </is>
      </c>
      <c r="F1567" t="inlineStr">
        <is>
          <t>Aug</t>
        </is>
      </c>
      <c r="G1567" s="18">
        <f>IF(D1567&lt;C1567,D1567+1-C1567,D1567-C1567)*24</f>
        <v/>
      </c>
      <c r="H1567" s="18">
        <f>MAX(0,G1567-8)</f>
        <v/>
      </c>
    </row>
    <row r="1568">
      <c r="A1568" t="n">
        <v>1111</v>
      </c>
      <c r="B1568" s="14" t="n">
        <v>46246</v>
      </c>
      <c r="C1568" s="17" t="n">
        <v>0.9375</v>
      </c>
      <c r="D1568" s="17" t="n">
        <v>0.1458333333333333</v>
      </c>
      <c r="E1568" t="inlineStr">
        <is>
          <t>Night</t>
        </is>
      </c>
      <c r="F1568" t="inlineStr">
        <is>
          <t>Aug</t>
        </is>
      </c>
      <c r="G1568" s="18">
        <f>IF(D1568&lt;C1568,D1568+1-C1568,D1568-C1568)*24</f>
        <v/>
      </c>
      <c r="H1568" s="18">
        <f>MAX(0,G1568-8)</f>
        <v/>
      </c>
    </row>
    <row r="1569">
      <c r="A1569" t="n">
        <v>1112</v>
      </c>
      <c r="B1569" s="14" t="n">
        <v>46246</v>
      </c>
      <c r="C1569" s="17" t="n">
        <v>0.9166666666666666</v>
      </c>
      <c r="D1569" s="17" t="n">
        <v>0.08333333333333333</v>
      </c>
      <c r="E1569" t="inlineStr">
        <is>
          <t>Night</t>
        </is>
      </c>
      <c r="F1569" t="inlineStr">
        <is>
          <t>Aug</t>
        </is>
      </c>
      <c r="G1569" s="18">
        <f>IF(D1569&lt;C1569,D1569+1-C1569,D1569-C1569)*24</f>
        <v/>
      </c>
      <c r="H1569" s="18">
        <f>MAX(0,G1569-8)</f>
        <v/>
      </c>
    </row>
    <row r="1570">
      <c r="A1570" t="n">
        <v>1113</v>
      </c>
      <c r="B1570" s="14" t="n">
        <v>46246</v>
      </c>
      <c r="C1570" s="17" t="n">
        <v>0.9166666666666666</v>
      </c>
      <c r="D1570" s="17" t="n">
        <v>0.125</v>
      </c>
      <c r="E1570" t="inlineStr">
        <is>
          <t>Night</t>
        </is>
      </c>
      <c r="F1570" t="inlineStr">
        <is>
          <t>Aug</t>
        </is>
      </c>
      <c r="G1570" s="18">
        <f>IF(D1570&lt;C1570,D1570+1-C1570,D1570-C1570)*24</f>
        <v/>
      </c>
      <c r="H1570" s="18">
        <f>MAX(0,G1570-8)</f>
        <v/>
      </c>
    </row>
    <row r="1571">
      <c r="A1571" t="n">
        <v>1114</v>
      </c>
      <c r="B1571" s="14" t="n">
        <v>46246</v>
      </c>
      <c r="C1571" s="17" t="n">
        <v>0.9166666666666666</v>
      </c>
      <c r="D1571" s="17" t="n">
        <v>0.125</v>
      </c>
      <c r="E1571" t="inlineStr">
        <is>
          <t>Night</t>
        </is>
      </c>
      <c r="F1571" t="inlineStr">
        <is>
          <t>Aug</t>
        </is>
      </c>
      <c r="G1571" s="18">
        <f>IF(D1571&lt;C1571,D1571+1-C1571,D1571-C1571)*24</f>
        <v/>
      </c>
      <c r="H1571" s="18">
        <f>MAX(0,G1571-8)</f>
        <v/>
      </c>
    </row>
    <row r="1572">
      <c r="A1572" t="n">
        <v>1115</v>
      </c>
      <c r="B1572" s="14" t="n">
        <v>46246</v>
      </c>
      <c r="C1572" s="17" t="n">
        <v>0.9166666666666666</v>
      </c>
      <c r="D1572" s="17" t="n">
        <v>0.04166666666666666</v>
      </c>
      <c r="E1572" t="inlineStr">
        <is>
          <t>Night</t>
        </is>
      </c>
      <c r="F1572" t="inlineStr">
        <is>
          <t>Aug</t>
        </is>
      </c>
      <c r="G1572" s="18">
        <f>IF(D1572&lt;C1572,D1572+1-C1572,D1572-C1572)*24</f>
        <v/>
      </c>
      <c r="H1572" s="18">
        <f>MAX(0,G1572-8)</f>
        <v/>
      </c>
    </row>
    <row r="1573">
      <c r="A1573" t="n">
        <v>1116</v>
      </c>
      <c r="B1573" s="14" t="n">
        <v>46246</v>
      </c>
      <c r="C1573" s="17" t="n">
        <v>0.9375</v>
      </c>
      <c r="D1573" s="17" t="n">
        <v>0.0625</v>
      </c>
      <c r="E1573" t="inlineStr">
        <is>
          <t>Night</t>
        </is>
      </c>
      <c r="F1573" t="inlineStr">
        <is>
          <t>Aug</t>
        </is>
      </c>
      <c r="G1573" s="18">
        <f>IF(D1573&lt;C1573,D1573+1-C1573,D1573-C1573)*24</f>
        <v/>
      </c>
      <c r="H1573" s="18">
        <f>MAX(0,G1573-8)</f>
        <v/>
      </c>
    </row>
    <row r="1574">
      <c r="A1574" t="n">
        <v>1117</v>
      </c>
      <c r="B1574" s="14" t="n">
        <v>46246</v>
      </c>
      <c r="C1574" s="17" t="n">
        <v>0.9166666666666666</v>
      </c>
      <c r="D1574" s="17" t="n">
        <v>0.125</v>
      </c>
      <c r="E1574" t="inlineStr">
        <is>
          <t>Night</t>
        </is>
      </c>
      <c r="F1574" t="inlineStr">
        <is>
          <t>Aug</t>
        </is>
      </c>
      <c r="G1574" s="18">
        <f>IF(D1574&lt;C1574,D1574+1-C1574,D1574-C1574)*24</f>
        <v/>
      </c>
      <c r="H1574" s="18">
        <f>MAX(0,G1574-8)</f>
        <v/>
      </c>
    </row>
    <row r="1575">
      <c r="A1575" t="n">
        <v>1118</v>
      </c>
      <c r="B1575" s="14" t="n">
        <v>46246</v>
      </c>
      <c r="C1575" s="17" t="n">
        <v>0.9166666666666666</v>
      </c>
      <c r="D1575" s="17" t="n">
        <v>0.08333333333333333</v>
      </c>
      <c r="E1575" t="inlineStr">
        <is>
          <t>Night</t>
        </is>
      </c>
      <c r="F1575" t="inlineStr">
        <is>
          <t>Aug</t>
        </is>
      </c>
      <c r="G1575" s="18">
        <f>IF(D1575&lt;C1575,D1575+1-C1575,D1575-C1575)*24</f>
        <v/>
      </c>
      <c r="H1575" s="18">
        <f>MAX(0,G1575-8)</f>
        <v/>
      </c>
    </row>
    <row r="1576">
      <c r="A1576" t="n">
        <v>1119</v>
      </c>
      <c r="B1576" s="14" t="n">
        <v>46246</v>
      </c>
      <c r="C1576" s="17" t="n">
        <v>0.9166666666666666</v>
      </c>
      <c r="D1576" s="17" t="n">
        <v>0.125</v>
      </c>
      <c r="E1576" t="inlineStr">
        <is>
          <t>Night</t>
        </is>
      </c>
      <c r="F1576" t="inlineStr">
        <is>
          <t>Aug</t>
        </is>
      </c>
      <c r="G1576" s="18">
        <f>IF(D1576&lt;C1576,D1576+1-C1576,D1576-C1576)*24</f>
        <v/>
      </c>
      <c r="H1576" s="18">
        <f>MAX(0,G1576-8)</f>
        <v/>
      </c>
    </row>
    <row r="1577">
      <c r="A1577" t="n">
        <v>1120</v>
      </c>
      <c r="B1577" s="14" t="n">
        <v>46246</v>
      </c>
      <c r="C1577" s="17" t="n">
        <v>0.9166666666666666</v>
      </c>
      <c r="D1577" s="17" t="n">
        <v>0.125</v>
      </c>
      <c r="E1577" t="inlineStr">
        <is>
          <t>Night</t>
        </is>
      </c>
      <c r="F1577" t="inlineStr">
        <is>
          <t>Aug</t>
        </is>
      </c>
      <c r="G1577" s="18">
        <f>IF(D1577&lt;C1577,D1577+1-C1577,D1577-C1577)*24</f>
        <v/>
      </c>
      <c r="H1577" s="18">
        <f>MAX(0,G1577-8)</f>
        <v/>
      </c>
    </row>
    <row r="1578">
      <c r="A1578" t="n">
        <v>1121</v>
      </c>
      <c r="B1578" s="14" t="n">
        <v>46246</v>
      </c>
      <c r="C1578" s="17" t="n">
        <v>0.9166666666666666</v>
      </c>
      <c r="D1578" s="17" t="n">
        <v>0.0625</v>
      </c>
      <c r="E1578" t="inlineStr">
        <is>
          <t>Night</t>
        </is>
      </c>
      <c r="F1578" t="inlineStr">
        <is>
          <t>Aug</t>
        </is>
      </c>
      <c r="G1578" s="18">
        <f>IF(D1578&lt;C1578,D1578+1-C1578,D1578-C1578)*24</f>
        <v/>
      </c>
      <c r="H1578" s="18">
        <f>MAX(0,G1578-8)</f>
        <v/>
      </c>
    </row>
    <row r="1579">
      <c r="A1579" t="n">
        <v>1122</v>
      </c>
      <c r="B1579" s="14" t="n">
        <v>46246</v>
      </c>
      <c r="C1579" s="17" t="n">
        <v>0.9166666666666666</v>
      </c>
      <c r="D1579" s="17" t="n">
        <v>0.04166666666666666</v>
      </c>
      <c r="E1579" t="inlineStr">
        <is>
          <t>Night</t>
        </is>
      </c>
      <c r="F1579" t="inlineStr">
        <is>
          <t>Aug</t>
        </is>
      </c>
      <c r="G1579" s="18">
        <f>IF(D1579&lt;C1579,D1579+1-C1579,D1579-C1579)*24</f>
        <v/>
      </c>
      <c r="H1579" s="18">
        <f>MAX(0,G1579-8)</f>
        <v/>
      </c>
    </row>
    <row r="1580">
      <c r="A1580" t="n">
        <v>1123</v>
      </c>
      <c r="B1580" s="14" t="n">
        <v>46246</v>
      </c>
      <c r="C1580" s="17" t="n">
        <v>0.9166666666666666</v>
      </c>
      <c r="D1580" s="17" t="n">
        <v>0.125</v>
      </c>
      <c r="E1580" t="inlineStr">
        <is>
          <t>Night</t>
        </is>
      </c>
      <c r="F1580" t="inlineStr">
        <is>
          <t>Aug</t>
        </is>
      </c>
      <c r="G1580" s="18">
        <f>IF(D1580&lt;C1580,D1580+1-C1580,D1580-C1580)*24</f>
        <v/>
      </c>
      <c r="H1580" s="18">
        <f>MAX(0,G1580-8)</f>
        <v/>
      </c>
    </row>
    <row r="1581">
      <c r="A1581" t="n">
        <v>1124</v>
      </c>
      <c r="B1581" s="14" t="n">
        <v>46246</v>
      </c>
      <c r="C1581" s="17" t="n">
        <v>0.9375</v>
      </c>
      <c r="D1581" s="17" t="n">
        <v>0.1041666666666667</v>
      </c>
      <c r="E1581" t="inlineStr">
        <is>
          <t>Night</t>
        </is>
      </c>
      <c r="F1581" t="inlineStr">
        <is>
          <t>Aug</t>
        </is>
      </c>
      <c r="G1581" s="18">
        <f>IF(D1581&lt;C1581,D1581+1-C1581,D1581-C1581)*24</f>
        <v/>
      </c>
      <c r="H1581" s="18">
        <f>MAX(0,G1581-8)</f>
        <v/>
      </c>
    </row>
    <row r="1582">
      <c r="A1582" t="n">
        <v>1125</v>
      </c>
      <c r="B1582" s="14" t="n">
        <v>46246</v>
      </c>
      <c r="C1582" s="17" t="n">
        <v>0.9270833333333334</v>
      </c>
      <c r="D1582" s="17" t="n">
        <v>0.07291666666666667</v>
      </c>
      <c r="E1582" t="inlineStr">
        <is>
          <t>Night</t>
        </is>
      </c>
      <c r="F1582" t="inlineStr">
        <is>
          <t>Aug</t>
        </is>
      </c>
      <c r="G1582" s="18">
        <f>IF(D1582&lt;C1582,D1582+1-C1582,D1582-C1582)*24</f>
        <v/>
      </c>
      <c r="H1582" s="18">
        <f>MAX(0,G1582-8)</f>
        <v/>
      </c>
    </row>
    <row r="1583">
      <c r="A1583" t="n">
        <v>1126</v>
      </c>
      <c r="B1583" s="14" t="n">
        <v>46246</v>
      </c>
      <c r="C1583" s="17" t="n">
        <v>0.9166666666666666</v>
      </c>
      <c r="D1583" s="17" t="n">
        <v>0.125</v>
      </c>
      <c r="E1583" t="inlineStr">
        <is>
          <t>Night</t>
        </is>
      </c>
      <c r="F1583" t="inlineStr">
        <is>
          <t>Aug</t>
        </is>
      </c>
      <c r="G1583" s="18">
        <f>IF(D1583&lt;C1583,D1583+1-C1583,D1583-C1583)*24</f>
        <v/>
      </c>
      <c r="H1583" s="18">
        <f>MAX(0,G1583-8)</f>
        <v/>
      </c>
    </row>
    <row r="1584">
      <c r="A1584" t="n">
        <v>1127</v>
      </c>
      <c r="B1584" s="14" t="n">
        <v>46246</v>
      </c>
      <c r="C1584" s="17" t="n">
        <v>0.9166666666666666</v>
      </c>
      <c r="D1584" s="17" t="n">
        <v>0.125</v>
      </c>
      <c r="E1584" t="inlineStr">
        <is>
          <t>Night</t>
        </is>
      </c>
      <c r="F1584" t="inlineStr">
        <is>
          <t>Aug</t>
        </is>
      </c>
      <c r="G1584" s="18">
        <f>IF(D1584&lt;C1584,D1584+1-C1584,D1584-C1584)*24</f>
        <v/>
      </c>
      <c r="H1584" s="18">
        <f>MAX(0,G1584-8)</f>
        <v/>
      </c>
    </row>
    <row r="1585">
      <c r="A1585" t="n">
        <v>1128</v>
      </c>
      <c r="B1585" s="14" t="n">
        <v>46246</v>
      </c>
      <c r="C1585" s="17" t="n">
        <v>0.9166666666666666</v>
      </c>
      <c r="D1585" s="17" t="n">
        <v>0.0625</v>
      </c>
      <c r="E1585" t="inlineStr">
        <is>
          <t>Night</t>
        </is>
      </c>
      <c r="F1585" t="inlineStr">
        <is>
          <t>Aug</t>
        </is>
      </c>
      <c r="G1585" s="18">
        <f>IF(D1585&lt;C1585,D1585+1-C1585,D1585-C1585)*24</f>
        <v/>
      </c>
      <c r="H1585" s="18">
        <f>MAX(0,G1585-8)</f>
        <v/>
      </c>
    </row>
    <row r="1586">
      <c r="A1586" t="n">
        <v>1129</v>
      </c>
      <c r="B1586" s="14" t="n">
        <v>46246</v>
      </c>
      <c r="C1586" s="17" t="n">
        <v>0.9166666666666666</v>
      </c>
      <c r="D1586" s="17" t="n">
        <v>0.08333333333333333</v>
      </c>
      <c r="E1586" t="inlineStr">
        <is>
          <t>Night</t>
        </is>
      </c>
      <c r="F1586" t="inlineStr">
        <is>
          <t>Aug</t>
        </is>
      </c>
      <c r="G1586" s="18">
        <f>IF(D1586&lt;C1586,D1586+1-C1586,D1586-C1586)*24</f>
        <v/>
      </c>
      <c r="H1586" s="18">
        <f>MAX(0,G1586-8)</f>
        <v/>
      </c>
    </row>
    <row r="1587">
      <c r="A1587" t="n">
        <v>1131</v>
      </c>
      <c r="B1587" s="14" t="n">
        <v>46246</v>
      </c>
      <c r="C1587" s="17" t="n">
        <v>0.9166666666666666</v>
      </c>
      <c r="D1587" s="17" t="n">
        <v>0.0625</v>
      </c>
      <c r="E1587" t="inlineStr">
        <is>
          <t>Night</t>
        </is>
      </c>
      <c r="F1587" t="inlineStr">
        <is>
          <t>Aug</t>
        </is>
      </c>
      <c r="G1587" s="18">
        <f>IF(D1587&lt;C1587,D1587+1-C1587,D1587-C1587)*24</f>
        <v/>
      </c>
      <c r="H1587" s="18">
        <f>MAX(0,G1587-8)</f>
        <v/>
      </c>
    </row>
    <row r="1588">
      <c r="A1588" t="n">
        <v>1132</v>
      </c>
      <c r="B1588" s="14" t="n">
        <v>46246</v>
      </c>
      <c r="C1588" s="17" t="n">
        <v>0.9166666666666666</v>
      </c>
      <c r="D1588" s="17" t="n">
        <v>0.08333333333333333</v>
      </c>
      <c r="E1588" t="inlineStr">
        <is>
          <t>Night</t>
        </is>
      </c>
      <c r="F1588" t="inlineStr">
        <is>
          <t>Aug</t>
        </is>
      </c>
      <c r="G1588" s="18">
        <f>IF(D1588&lt;C1588,D1588+1-C1588,D1588-C1588)*24</f>
        <v/>
      </c>
      <c r="H1588" s="18">
        <f>MAX(0,G1588-8)</f>
        <v/>
      </c>
    </row>
    <row r="1589">
      <c r="A1589" t="n">
        <v>1133</v>
      </c>
      <c r="B1589" s="14" t="n">
        <v>46246</v>
      </c>
      <c r="C1589" s="17" t="n">
        <v>0.9166666666666666</v>
      </c>
      <c r="D1589" s="17" t="n">
        <v>0.04166666666666666</v>
      </c>
      <c r="E1589" t="inlineStr">
        <is>
          <t>Night</t>
        </is>
      </c>
      <c r="F1589" t="inlineStr">
        <is>
          <t>Aug</t>
        </is>
      </c>
      <c r="G1589" s="18">
        <f>IF(D1589&lt;C1589,D1589+1-C1589,D1589-C1589)*24</f>
        <v/>
      </c>
      <c r="H1589" s="18">
        <f>MAX(0,G1589-8)</f>
        <v/>
      </c>
    </row>
    <row r="1590">
      <c r="A1590" t="n">
        <v>1134</v>
      </c>
      <c r="B1590" s="14" t="n">
        <v>46246</v>
      </c>
      <c r="C1590" s="17" t="n">
        <v>0.9166666666666666</v>
      </c>
      <c r="D1590" s="17" t="n">
        <v>0.0625</v>
      </c>
      <c r="E1590" t="inlineStr">
        <is>
          <t>Night</t>
        </is>
      </c>
      <c r="F1590" t="inlineStr">
        <is>
          <t>Aug</t>
        </is>
      </c>
      <c r="G1590" s="18">
        <f>IF(D1590&lt;C1590,D1590+1-C1590,D1590-C1590)*24</f>
        <v/>
      </c>
      <c r="H1590" s="18">
        <f>MAX(0,G1590-8)</f>
        <v/>
      </c>
    </row>
    <row r="1591">
      <c r="A1591" t="n">
        <v>1135</v>
      </c>
      <c r="B1591" s="14" t="n">
        <v>46246</v>
      </c>
      <c r="C1591" s="17" t="n">
        <v>0.9166666666666666</v>
      </c>
      <c r="D1591" s="17" t="n">
        <v>0.08333333333333333</v>
      </c>
      <c r="E1591" t="inlineStr">
        <is>
          <t>Night</t>
        </is>
      </c>
      <c r="F1591" t="inlineStr">
        <is>
          <t>Aug</t>
        </is>
      </c>
      <c r="G1591" s="18">
        <f>IF(D1591&lt;C1591,D1591+1-C1591,D1591-C1591)*24</f>
        <v/>
      </c>
      <c r="H1591" s="18">
        <f>MAX(0,G1591-8)</f>
        <v/>
      </c>
    </row>
    <row r="1592">
      <c r="A1592" t="n">
        <v>1136</v>
      </c>
      <c r="B1592" s="14" t="n">
        <v>46246</v>
      </c>
      <c r="C1592" s="17" t="n">
        <v>0.9166666666666666</v>
      </c>
      <c r="D1592" s="17" t="n">
        <v>0.0625</v>
      </c>
      <c r="E1592" t="inlineStr">
        <is>
          <t>Night</t>
        </is>
      </c>
      <c r="F1592" t="inlineStr">
        <is>
          <t>Aug</t>
        </is>
      </c>
      <c r="G1592" s="18">
        <f>IF(D1592&lt;C1592,D1592+1-C1592,D1592-C1592)*24</f>
        <v/>
      </c>
      <c r="H1592" s="18">
        <f>MAX(0,G1592-8)</f>
        <v/>
      </c>
    </row>
    <row r="1593">
      <c r="A1593" t="n">
        <v>1137</v>
      </c>
      <c r="B1593" s="14" t="n">
        <v>46246</v>
      </c>
      <c r="C1593" s="17" t="n">
        <v>0.9166666666666666</v>
      </c>
      <c r="D1593" s="17" t="n">
        <v>0.0625</v>
      </c>
      <c r="E1593" t="inlineStr">
        <is>
          <t>Night</t>
        </is>
      </c>
      <c r="F1593" t="inlineStr">
        <is>
          <t>Aug</t>
        </is>
      </c>
      <c r="G1593" s="18">
        <f>IF(D1593&lt;C1593,D1593+1-C1593,D1593-C1593)*24</f>
        <v/>
      </c>
      <c r="H1593" s="18">
        <f>MAX(0,G1593-8)</f>
        <v/>
      </c>
    </row>
    <row r="1594">
      <c r="A1594" t="n">
        <v>1147</v>
      </c>
      <c r="B1594" s="14" t="n">
        <v>46246</v>
      </c>
      <c r="C1594" s="17" t="n">
        <v>0.9166666666666666</v>
      </c>
      <c r="D1594" s="17" t="n">
        <v>0.04166666666666666</v>
      </c>
      <c r="E1594" t="inlineStr">
        <is>
          <t>Night</t>
        </is>
      </c>
      <c r="F1594" t="inlineStr">
        <is>
          <t>Aug</t>
        </is>
      </c>
      <c r="G1594" s="18">
        <f>IF(D1594&lt;C1594,D1594+1-C1594,D1594-C1594)*24</f>
        <v/>
      </c>
      <c r="H1594" s="18">
        <f>MAX(0,G1594-8)</f>
        <v/>
      </c>
    </row>
    <row r="1595">
      <c r="A1595" t="n">
        <v>1130</v>
      </c>
      <c r="B1595" s="14" t="n">
        <v>46246</v>
      </c>
      <c r="C1595" s="17" t="n">
        <v>0.02083333333333333</v>
      </c>
      <c r="D1595" s="17" t="n">
        <v>0.2291666666666667</v>
      </c>
      <c r="E1595" t="inlineStr">
        <is>
          <t>Night</t>
        </is>
      </c>
      <c r="F1595" t="inlineStr">
        <is>
          <t>Aug</t>
        </is>
      </c>
      <c r="G1595" s="18">
        <f>IF(D1595&lt;C1595,D1595+1-C1595,D1595-C1595)*24</f>
        <v/>
      </c>
      <c r="H1595" s="18">
        <f>MAX(0,G1595-8)</f>
        <v/>
      </c>
    </row>
    <row r="1596">
      <c r="A1596" t="n">
        <v>1201</v>
      </c>
      <c r="B1596" s="14" t="n">
        <v>46246</v>
      </c>
      <c r="C1596" s="17" t="n">
        <v>0.25</v>
      </c>
      <c r="D1596" s="17" t="n">
        <v>0.6666666666666666</v>
      </c>
      <c r="E1596" t="inlineStr">
        <is>
          <t>Day</t>
        </is>
      </c>
      <c r="F1596" t="inlineStr">
        <is>
          <t>Aug</t>
        </is>
      </c>
      <c r="G1596" s="18">
        <f>IF(D1596&lt;C1596,D1596+1-C1596,D1596-C1596)*24</f>
        <v/>
      </c>
      <c r="H1596" s="18">
        <f>MAX(0,G1596-8)</f>
        <v/>
      </c>
    </row>
    <row r="1597">
      <c r="A1597" t="n">
        <v>1202</v>
      </c>
      <c r="B1597" s="14" t="n">
        <v>46246</v>
      </c>
      <c r="C1597" s="17" t="n">
        <v>0.2708333333333333</v>
      </c>
      <c r="D1597" s="17" t="n">
        <v>0.6875</v>
      </c>
      <c r="E1597" t="inlineStr">
        <is>
          <t>Day</t>
        </is>
      </c>
      <c r="F1597" t="inlineStr">
        <is>
          <t>Aug</t>
        </is>
      </c>
      <c r="G1597" s="18">
        <f>IF(D1597&lt;C1597,D1597+1-C1597,D1597-C1597)*24</f>
        <v/>
      </c>
      <c r="H1597" s="18">
        <f>MAX(0,G1597-8)</f>
        <v/>
      </c>
    </row>
    <row r="1598">
      <c r="A1598" t="n">
        <v>1203</v>
      </c>
      <c r="B1598" s="14" t="n">
        <v>46246</v>
      </c>
      <c r="C1598" s="17" t="n">
        <v>0.25</v>
      </c>
      <c r="D1598" s="17" t="n">
        <v>0.5833333333333334</v>
      </c>
      <c r="E1598" t="inlineStr">
        <is>
          <t>Day</t>
        </is>
      </c>
      <c r="F1598" t="inlineStr">
        <is>
          <t>Aug</t>
        </is>
      </c>
      <c r="G1598" s="18">
        <f>IF(D1598&lt;C1598,D1598+1-C1598,D1598-C1598)*24</f>
        <v/>
      </c>
      <c r="H1598" s="18">
        <f>MAX(0,G1598-8)</f>
        <v/>
      </c>
    </row>
    <row r="1599">
      <c r="A1599" t="n">
        <v>1204</v>
      </c>
      <c r="B1599" s="14" t="n">
        <v>46246</v>
      </c>
      <c r="C1599" s="17" t="n">
        <v>0.25</v>
      </c>
      <c r="D1599" s="17" t="n">
        <v>0.6666666666666666</v>
      </c>
      <c r="E1599" t="inlineStr">
        <is>
          <t>Day</t>
        </is>
      </c>
      <c r="F1599" t="inlineStr">
        <is>
          <t>Aug</t>
        </is>
      </c>
      <c r="G1599" s="18">
        <f>IF(D1599&lt;C1599,D1599+1-C1599,D1599-C1599)*24</f>
        <v/>
      </c>
      <c r="H1599" s="18">
        <f>MAX(0,G1599-8)</f>
        <v/>
      </c>
    </row>
    <row r="1600">
      <c r="A1600" t="n">
        <v>1205</v>
      </c>
      <c r="B1600" s="14" t="n">
        <v>46246</v>
      </c>
      <c r="C1600" s="17" t="n">
        <v>0.25</v>
      </c>
      <c r="D1600" s="17" t="n">
        <v>0.625</v>
      </c>
      <c r="E1600" t="inlineStr">
        <is>
          <t>Day</t>
        </is>
      </c>
      <c r="F1600" t="inlineStr">
        <is>
          <t>Aug</t>
        </is>
      </c>
      <c r="G1600" s="18">
        <f>IF(D1600&lt;C1600,D1600+1-C1600,D1600-C1600)*24</f>
        <v/>
      </c>
      <c r="H1600" s="18">
        <f>MAX(0,G1600-8)</f>
        <v/>
      </c>
    </row>
    <row r="1601">
      <c r="A1601" t="n">
        <v>1207</v>
      </c>
      <c r="B1601" s="14" t="n">
        <v>46246</v>
      </c>
      <c r="C1601" s="17" t="n">
        <v>0.25</v>
      </c>
      <c r="D1601" s="17" t="n">
        <v>0.625</v>
      </c>
      <c r="E1601" t="inlineStr">
        <is>
          <t>Day</t>
        </is>
      </c>
      <c r="F1601" t="inlineStr">
        <is>
          <t>Aug</t>
        </is>
      </c>
      <c r="G1601" s="18">
        <f>IF(D1601&lt;C1601,D1601+1-C1601,D1601-C1601)*24</f>
        <v/>
      </c>
      <c r="H1601" s="18">
        <f>MAX(0,G1601-8)</f>
        <v/>
      </c>
    </row>
    <row r="1602">
      <c r="A1602" t="n">
        <v>1208</v>
      </c>
      <c r="B1602" s="14" t="n">
        <v>46246</v>
      </c>
      <c r="C1602" s="17" t="n">
        <v>0.2708333333333333</v>
      </c>
      <c r="D1602" s="17" t="n">
        <v>0.6458333333333334</v>
      </c>
      <c r="E1602" t="inlineStr">
        <is>
          <t>Day</t>
        </is>
      </c>
      <c r="F1602" t="inlineStr">
        <is>
          <t>Aug</t>
        </is>
      </c>
      <c r="G1602" s="18">
        <f>IF(D1602&lt;C1602,D1602+1-C1602,D1602-C1602)*24</f>
        <v/>
      </c>
      <c r="H1602" s="18">
        <f>MAX(0,G1602-8)</f>
        <v/>
      </c>
    </row>
    <row r="1603">
      <c r="A1603" t="n">
        <v>1211</v>
      </c>
      <c r="B1603" s="14" t="n">
        <v>46246</v>
      </c>
      <c r="C1603" s="17" t="n">
        <v>0.2708333333333333</v>
      </c>
      <c r="D1603" s="17" t="n">
        <v>0.6041666666666666</v>
      </c>
      <c r="E1603" t="inlineStr">
        <is>
          <t>Day</t>
        </is>
      </c>
      <c r="F1603" t="inlineStr">
        <is>
          <t>Aug</t>
        </is>
      </c>
      <c r="G1603" s="18">
        <f>IF(D1603&lt;C1603,D1603+1-C1603,D1603-C1603)*24</f>
        <v/>
      </c>
      <c r="H1603" s="18">
        <f>MAX(0,G1603-8)</f>
        <v/>
      </c>
    </row>
    <row r="1604">
      <c r="A1604" t="n">
        <v>1212</v>
      </c>
      <c r="B1604" s="14" t="n">
        <v>46246</v>
      </c>
      <c r="C1604" s="17" t="n">
        <v>0.2708333333333333</v>
      </c>
      <c r="D1604" s="17" t="n">
        <v>0.6875</v>
      </c>
      <c r="E1604" t="inlineStr">
        <is>
          <t>Day</t>
        </is>
      </c>
      <c r="F1604" t="inlineStr">
        <is>
          <t>Aug</t>
        </is>
      </c>
      <c r="G1604" s="18">
        <f>IF(D1604&lt;C1604,D1604+1-C1604,D1604-C1604)*24</f>
        <v/>
      </c>
      <c r="H1604" s="18">
        <f>MAX(0,G1604-8)</f>
        <v/>
      </c>
    </row>
    <row r="1605">
      <c r="A1605" t="n">
        <v>1213</v>
      </c>
      <c r="B1605" s="14" t="n">
        <v>46246</v>
      </c>
      <c r="C1605" s="17" t="n">
        <v>0.25</v>
      </c>
      <c r="D1605" s="17" t="n">
        <v>0.5833333333333334</v>
      </c>
      <c r="E1605" t="inlineStr">
        <is>
          <t>Day</t>
        </is>
      </c>
      <c r="F1605" t="inlineStr">
        <is>
          <t>Aug</t>
        </is>
      </c>
      <c r="G1605" s="18">
        <f>IF(D1605&lt;C1605,D1605+1-C1605,D1605-C1605)*24</f>
        <v/>
      </c>
      <c r="H1605" s="18">
        <f>MAX(0,G1605-8)</f>
        <v/>
      </c>
    </row>
    <row r="1606">
      <c r="A1606" t="n">
        <v>1215</v>
      </c>
      <c r="B1606" s="14" t="n">
        <v>46246</v>
      </c>
      <c r="C1606" s="17" t="n">
        <v>0.25</v>
      </c>
      <c r="D1606" s="17" t="n">
        <v>0.6041666666666666</v>
      </c>
      <c r="E1606" t="inlineStr">
        <is>
          <t>Day</t>
        </is>
      </c>
      <c r="F1606" t="inlineStr">
        <is>
          <t>Aug</t>
        </is>
      </c>
      <c r="G1606" s="18">
        <f>IF(D1606&lt;C1606,D1606+1-C1606,D1606-C1606)*24</f>
        <v/>
      </c>
      <c r="H1606" s="18">
        <f>MAX(0,G1606-8)</f>
        <v/>
      </c>
    </row>
    <row r="1607">
      <c r="A1607" t="n">
        <v>1216</v>
      </c>
      <c r="B1607" s="14" t="n">
        <v>46246</v>
      </c>
      <c r="C1607" s="17" t="n">
        <v>0.2708333333333333</v>
      </c>
      <c r="D1607" s="17" t="n">
        <v>0.6041666666666666</v>
      </c>
      <c r="E1607" t="inlineStr">
        <is>
          <t>Day</t>
        </is>
      </c>
      <c r="F1607" t="inlineStr">
        <is>
          <t>Aug</t>
        </is>
      </c>
      <c r="G1607" s="18">
        <f>IF(D1607&lt;C1607,D1607+1-C1607,D1607-C1607)*24</f>
        <v/>
      </c>
      <c r="H1607" s="18">
        <f>MAX(0,G1607-8)</f>
        <v/>
      </c>
    </row>
    <row r="1608">
      <c r="A1608" t="n">
        <v>1217</v>
      </c>
      <c r="B1608" s="14" t="n">
        <v>46246</v>
      </c>
      <c r="C1608" s="17" t="n">
        <v>0.2708333333333333</v>
      </c>
      <c r="D1608" s="17" t="n">
        <v>0.6875</v>
      </c>
      <c r="E1608" t="inlineStr">
        <is>
          <t>Day</t>
        </is>
      </c>
      <c r="F1608" t="inlineStr">
        <is>
          <t>Aug</t>
        </is>
      </c>
      <c r="G1608" s="18">
        <f>IF(D1608&lt;C1608,D1608+1-C1608,D1608-C1608)*24</f>
        <v/>
      </c>
      <c r="H1608" s="18">
        <f>MAX(0,G1608-8)</f>
        <v/>
      </c>
    </row>
    <row r="1609">
      <c r="A1609" t="n">
        <v>1218</v>
      </c>
      <c r="B1609" s="14" t="n">
        <v>46246</v>
      </c>
      <c r="C1609" s="17" t="n">
        <v>0.25</v>
      </c>
      <c r="D1609" s="17" t="n">
        <v>0.5833333333333334</v>
      </c>
      <c r="E1609" t="inlineStr">
        <is>
          <t>Day</t>
        </is>
      </c>
      <c r="F1609" t="inlineStr">
        <is>
          <t>Aug</t>
        </is>
      </c>
      <c r="G1609" s="18">
        <f>IF(D1609&lt;C1609,D1609+1-C1609,D1609-C1609)*24</f>
        <v/>
      </c>
      <c r="H1609" s="18">
        <f>MAX(0,G1609-8)</f>
        <v/>
      </c>
    </row>
    <row r="1610">
      <c r="A1610" t="n">
        <v>1219</v>
      </c>
      <c r="B1610" s="14" t="n">
        <v>46246</v>
      </c>
      <c r="C1610" s="17" t="n">
        <v>0.25</v>
      </c>
      <c r="D1610" s="17" t="n">
        <v>0.6041666666666666</v>
      </c>
      <c r="E1610" t="inlineStr">
        <is>
          <t>Day</t>
        </is>
      </c>
      <c r="F1610" t="inlineStr">
        <is>
          <t>Aug</t>
        </is>
      </c>
      <c r="G1610" s="18">
        <f>IF(D1610&lt;C1610,D1610+1-C1610,D1610-C1610)*24</f>
        <v/>
      </c>
      <c r="H1610" s="18">
        <f>MAX(0,G1610-8)</f>
        <v/>
      </c>
    </row>
    <row r="1611">
      <c r="A1611" t="n">
        <v>1220</v>
      </c>
      <c r="B1611" s="14" t="n">
        <v>46246</v>
      </c>
      <c r="C1611" s="17" t="n">
        <v>0.25</v>
      </c>
      <c r="D1611" s="17" t="n">
        <v>0.625</v>
      </c>
      <c r="E1611" t="inlineStr">
        <is>
          <t>Day</t>
        </is>
      </c>
      <c r="F1611" t="inlineStr">
        <is>
          <t>Aug</t>
        </is>
      </c>
      <c r="G1611" s="18">
        <f>IF(D1611&lt;C1611,D1611+1-C1611,D1611-C1611)*24</f>
        <v/>
      </c>
      <c r="H1611" s="18">
        <f>MAX(0,G1611-8)</f>
        <v/>
      </c>
    </row>
    <row r="1612">
      <c r="A1612" t="n">
        <v>1101</v>
      </c>
      <c r="B1612" s="14" t="n">
        <v>46247</v>
      </c>
      <c r="C1612" s="17" t="n">
        <v>0.9166666666666666</v>
      </c>
      <c r="D1612" s="17" t="n">
        <v>0.0625</v>
      </c>
      <c r="E1612" t="inlineStr">
        <is>
          <t>Night</t>
        </is>
      </c>
      <c r="F1612" t="inlineStr">
        <is>
          <t>Aug</t>
        </is>
      </c>
      <c r="G1612" s="18">
        <f>IF(D1612&lt;C1612,D1612+1-C1612,D1612-C1612)*24</f>
        <v/>
      </c>
      <c r="H1612" s="18">
        <f>MAX(0,G1612-8)</f>
        <v/>
      </c>
    </row>
    <row r="1613">
      <c r="A1613" t="n">
        <v>1102</v>
      </c>
      <c r="B1613" s="14" t="n">
        <v>46247</v>
      </c>
      <c r="C1613" s="17" t="n">
        <v>0.9166666666666666</v>
      </c>
      <c r="D1613" s="17" t="n">
        <v>0.125</v>
      </c>
      <c r="E1613" t="inlineStr">
        <is>
          <t>Night</t>
        </is>
      </c>
      <c r="F1613" t="inlineStr">
        <is>
          <t>Aug</t>
        </is>
      </c>
      <c r="G1613" s="18">
        <f>IF(D1613&lt;C1613,D1613+1-C1613,D1613-C1613)*24</f>
        <v/>
      </c>
      <c r="H1613" s="18">
        <f>MAX(0,G1613-8)</f>
        <v/>
      </c>
    </row>
    <row r="1614">
      <c r="A1614" t="n">
        <v>1103</v>
      </c>
      <c r="B1614" s="14" t="n">
        <v>46247</v>
      </c>
      <c r="C1614" s="17" t="n">
        <v>0.9166666666666666</v>
      </c>
      <c r="D1614" s="17" t="n">
        <v>0.125</v>
      </c>
      <c r="E1614" t="inlineStr">
        <is>
          <t>Night</t>
        </is>
      </c>
      <c r="F1614" t="inlineStr">
        <is>
          <t>Aug</t>
        </is>
      </c>
      <c r="G1614" s="18">
        <f>IF(D1614&lt;C1614,D1614+1-C1614,D1614-C1614)*24</f>
        <v/>
      </c>
      <c r="H1614" s="18">
        <f>MAX(0,G1614-8)</f>
        <v/>
      </c>
    </row>
    <row r="1615">
      <c r="A1615" t="n">
        <v>1104</v>
      </c>
      <c r="B1615" s="14" t="n">
        <v>46247</v>
      </c>
      <c r="C1615" s="17" t="n">
        <v>0.9166666666666666</v>
      </c>
      <c r="D1615" s="17" t="n">
        <v>0.04166666666666666</v>
      </c>
      <c r="E1615" t="inlineStr">
        <is>
          <t>Night</t>
        </is>
      </c>
      <c r="F1615" t="inlineStr">
        <is>
          <t>Aug</t>
        </is>
      </c>
      <c r="G1615" s="18">
        <f>IF(D1615&lt;C1615,D1615+1-C1615,D1615-C1615)*24</f>
        <v/>
      </c>
      <c r="H1615" s="18">
        <f>MAX(0,G1615-8)</f>
        <v/>
      </c>
    </row>
    <row r="1616">
      <c r="A1616" t="n">
        <v>1106</v>
      </c>
      <c r="B1616" s="14" t="n">
        <v>46247</v>
      </c>
      <c r="C1616" s="17" t="n">
        <v>0.9166666666666666</v>
      </c>
      <c r="D1616" s="17" t="n">
        <v>0.04166666666666666</v>
      </c>
      <c r="E1616" t="inlineStr">
        <is>
          <t>Night</t>
        </is>
      </c>
      <c r="F1616" t="inlineStr">
        <is>
          <t>Aug</t>
        </is>
      </c>
      <c r="G1616" s="18">
        <f>IF(D1616&lt;C1616,D1616+1-C1616,D1616-C1616)*24</f>
        <v/>
      </c>
      <c r="H1616" s="18">
        <f>MAX(0,G1616-8)</f>
        <v/>
      </c>
    </row>
    <row r="1617">
      <c r="A1617" t="n">
        <v>1107</v>
      </c>
      <c r="B1617" s="14" t="n">
        <v>46247</v>
      </c>
      <c r="C1617" s="17" t="n">
        <v>0.9166666666666666</v>
      </c>
      <c r="D1617" s="17" t="n">
        <v>0.0625</v>
      </c>
      <c r="E1617" t="inlineStr">
        <is>
          <t>Night</t>
        </is>
      </c>
      <c r="F1617" t="inlineStr">
        <is>
          <t>Aug</t>
        </is>
      </c>
      <c r="G1617" s="18">
        <f>IF(D1617&lt;C1617,D1617+1-C1617,D1617-C1617)*24</f>
        <v/>
      </c>
      <c r="H1617" s="18">
        <f>MAX(0,G1617-8)</f>
        <v/>
      </c>
    </row>
    <row r="1618">
      <c r="A1618" t="n">
        <v>1109</v>
      </c>
      <c r="B1618" s="14" t="n">
        <v>46247</v>
      </c>
      <c r="C1618" s="17" t="n">
        <v>0.9270833333333334</v>
      </c>
      <c r="D1618" s="17" t="n">
        <v>0.1354166666666667</v>
      </c>
      <c r="E1618" t="inlineStr">
        <is>
          <t>Night</t>
        </is>
      </c>
      <c r="F1618" t="inlineStr">
        <is>
          <t>Aug</t>
        </is>
      </c>
      <c r="G1618" s="18">
        <f>IF(D1618&lt;C1618,D1618+1-C1618,D1618-C1618)*24</f>
        <v/>
      </c>
      <c r="H1618" s="18">
        <f>MAX(0,G1618-8)</f>
        <v/>
      </c>
    </row>
    <row r="1619">
      <c r="A1619" t="n">
        <v>1110</v>
      </c>
      <c r="B1619" s="14" t="n">
        <v>46247</v>
      </c>
      <c r="C1619" s="17" t="n">
        <v>0.9166666666666666</v>
      </c>
      <c r="D1619" s="17" t="n">
        <v>0.08333333333333333</v>
      </c>
      <c r="E1619" t="inlineStr">
        <is>
          <t>Night</t>
        </is>
      </c>
      <c r="F1619" t="inlineStr">
        <is>
          <t>Aug</t>
        </is>
      </c>
      <c r="G1619" s="18">
        <f>IF(D1619&lt;C1619,D1619+1-C1619,D1619-C1619)*24</f>
        <v/>
      </c>
      <c r="H1619" s="18">
        <f>MAX(0,G1619-8)</f>
        <v/>
      </c>
    </row>
    <row r="1620">
      <c r="A1620" t="n">
        <v>1111</v>
      </c>
      <c r="B1620" s="14" t="n">
        <v>46247</v>
      </c>
      <c r="C1620" s="17" t="n">
        <v>0.9375</v>
      </c>
      <c r="D1620" s="17" t="n">
        <v>0.08333333333333333</v>
      </c>
      <c r="E1620" t="inlineStr">
        <is>
          <t>Night</t>
        </is>
      </c>
      <c r="F1620" t="inlineStr">
        <is>
          <t>Aug</t>
        </is>
      </c>
      <c r="G1620" s="18">
        <f>IF(D1620&lt;C1620,D1620+1-C1620,D1620-C1620)*24</f>
        <v/>
      </c>
      <c r="H1620" s="18">
        <f>MAX(0,G1620-8)</f>
        <v/>
      </c>
    </row>
    <row r="1621">
      <c r="A1621" t="n">
        <v>1112</v>
      </c>
      <c r="B1621" s="14" t="n">
        <v>46247</v>
      </c>
      <c r="C1621" s="17" t="n">
        <v>0.9166666666666666</v>
      </c>
      <c r="D1621" s="17" t="n">
        <v>0.0625</v>
      </c>
      <c r="E1621" t="inlineStr">
        <is>
          <t>Night</t>
        </is>
      </c>
      <c r="F1621" t="inlineStr">
        <is>
          <t>Aug</t>
        </is>
      </c>
      <c r="G1621" s="18">
        <f>IF(D1621&lt;C1621,D1621+1-C1621,D1621-C1621)*24</f>
        <v/>
      </c>
      <c r="H1621" s="18">
        <f>MAX(0,G1621-8)</f>
        <v/>
      </c>
    </row>
    <row r="1622">
      <c r="A1622" t="n">
        <v>1113</v>
      </c>
      <c r="B1622" s="14" t="n">
        <v>46247</v>
      </c>
      <c r="C1622" s="17" t="n">
        <v>0.9375</v>
      </c>
      <c r="D1622" s="17" t="n">
        <v>0.08333333333333333</v>
      </c>
      <c r="E1622" t="inlineStr">
        <is>
          <t>Night</t>
        </is>
      </c>
      <c r="F1622" t="inlineStr">
        <is>
          <t>Aug</t>
        </is>
      </c>
      <c r="G1622" s="18">
        <f>IF(D1622&lt;C1622,D1622+1-C1622,D1622-C1622)*24</f>
        <v/>
      </c>
      <c r="H1622" s="18">
        <f>MAX(0,G1622-8)</f>
        <v/>
      </c>
    </row>
    <row r="1623">
      <c r="A1623" t="n">
        <v>1114</v>
      </c>
      <c r="B1623" s="14" t="n">
        <v>46247</v>
      </c>
      <c r="C1623" s="17" t="n">
        <v>0.9270833333333334</v>
      </c>
      <c r="D1623" s="17" t="n">
        <v>0.1354166666666667</v>
      </c>
      <c r="E1623" t="inlineStr">
        <is>
          <t>Night</t>
        </is>
      </c>
      <c r="F1623" t="inlineStr">
        <is>
          <t>Aug</t>
        </is>
      </c>
      <c r="G1623" s="18">
        <f>IF(D1623&lt;C1623,D1623+1-C1623,D1623-C1623)*24</f>
        <v/>
      </c>
      <c r="H1623" s="18">
        <f>MAX(0,G1623-8)</f>
        <v/>
      </c>
    </row>
    <row r="1624">
      <c r="A1624" t="n">
        <v>1115</v>
      </c>
      <c r="B1624" s="14" t="n">
        <v>46247</v>
      </c>
      <c r="C1624" s="17" t="n">
        <v>0.9375</v>
      </c>
      <c r="D1624" s="17" t="n">
        <v>0.1041666666666667</v>
      </c>
      <c r="E1624" t="inlineStr">
        <is>
          <t>Night</t>
        </is>
      </c>
      <c r="F1624" t="inlineStr">
        <is>
          <t>Aug</t>
        </is>
      </c>
      <c r="G1624" s="18">
        <f>IF(D1624&lt;C1624,D1624+1-C1624,D1624-C1624)*24</f>
        <v/>
      </c>
      <c r="H1624" s="18">
        <f>MAX(0,G1624-8)</f>
        <v/>
      </c>
    </row>
    <row r="1625">
      <c r="A1625" t="n">
        <v>1116</v>
      </c>
      <c r="B1625" s="14" t="n">
        <v>46247</v>
      </c>
      <c r="C1625" s="17" t="n">
        <v>0.9270833333333334</v>
      </c>
      <c r="D1625" s="17" t="n">
        <v>0.05208333333333334</v>
      </c>
      <c r="E1625" t="inlineStr">
        <is>
          <t>Night</t>
        </is>
      </c>
      <c r="F1625" t="inlineStr">
        <is>
          <t>Aug</t>
        </is>
      </c>
      <c r="G1625" s="18">
        <f>IF(D1625&lt;C1625,D1625+1-C1625,D1625-C1625)*24</f>
        <v/>
      </c>
      <c r="H1625" s="18">
        <f>MAX(0,G1625-8)</f>
        <v/>
      </c>
    </row>
    <row r="1626">
      <c r="A1626" t="n">
        <v>1118</v>
      </c>
      <c r="B1626" s="14" t="n">
        <v>46247</v>
      </c>
      <c r="C1626" s="17" t="n">
        <v>0.9375</v>
      </c>
      <c r="D1626" s="17" t="n">
        <v>0.1041666666666667</v>
      </c>
      <c r="E1626" t="inlineStr">
        <is>
          <t>Night</t>
        </is>
      </c>
      <c r="F1626" t="inlineStr">
        <is>
          <t>Aug</t>
        </is>
      </c>
      <c r="G1626" s="18">
        <f>IF(D1626&lt;C1626,D1626+1-C1626,D1626-C1626)*24</f>
        <v/>
      </c>
      <c r="H1626" s="18">
        <f>MAX(0,G1626-8)</f>
        <v/>
      </c>
    </row>
    <row r="1627">
      <c r="A1627" t="n">
        <v>1119</v>
      </c>
      <c r="B1627" s="14" t="n">
        <v>46247</v>
      </c>
      <c r="C1627" s="17" t="n">
        <v>0.9166666666666666</v>
      </c>
      <c r="D1627" s="17" t="n">
        <v>0.0625</v>
      </c>
      <c r="E1627" t="inlineStr">
        <is>
          <t>Night</t>
        </is>
      </c>
      <c r="F1627" t="inlineStr">
        <is>
          <t>Aug</t>
        </is>
      </c>
      <c r="G1627" s="18">
        <f>IF(D1627&lt;C1627,D1627+1-C1627,D1627-C1627)*24</f>
        <v/>
      </c>
      <c r="H1627" s="18">
        <f>MAX(0,G1627-8)</f>
        <v/>
      </c>
    </row>
    <row r="1628">
      <c r="A1628" t="n">
        <v>1120</v>
      </c>
      <c r="B1628" s="14" t="n">
        <v>46247</v>
      </c>
      <c r="C1628" s="17" t="n">
        <v>0.9166666666666666</v>
      </c>
      <c r="D1628" s="17" t="n">
        <v>0.04166666666666666</v>
      </c>
      <c r="E1628" t="inlineStr">
        <is>
          <t>Night</t>
        </is>
      </c>
      <c r="F1628" t="inlineStr">
        <is>
          <t>Aug</t>
        </is>
      </c>
      <c r="G1628" s="18">
        <f>IF(D1628&lt;C1628,D1628+1-C1628,D1628-C1628)*24</f>
        <v/>
      </c>
      <c r="H1628" s="18">
        <f>MAX(0,G1628-8)</f>
        <v/>
      </c>
    </row>
    <row r="1629">
      <c r="A1629" t="n">
        <v>1121</v>
      </c>
      <c r="B1629" s="14" t="n">
        <v>46247</v>
      </c>
      <c r="C1629" s="17" t="n">
        <v>0.9166666666666666</v>
      </c>
      <c r="D1629" s="17" t="n">
        <v>0.125</v>
      </c>
      <c r="E1629" t="inlineStr">
        <is>
          <t>Night</t>
        </is>
      </c>
      <c r="F1629" t="inlineStr">
        <is>
          <t>Aug</t>
        </is>
      </c>
      <c r="G1629" s="18">
        <f>IF(D1629&lt;C1629,D1629+1-C1629,D1629-C1629)*24</f>
        <v/>
      </c>
      <c r="H1629" s="18">
        <f>MAX(0,G1629-8)</f>
        <v/>
      </c>
    </row>
    <row r="1630">
      <c r="A1630" t="n">
        <v>1124</v>
      </c>
      <c r="B1630" s="14" t="n">
        <v>46247</v>
      </c>
      <c r="C1630" s="17" t="n">
        <v>0.9270833333333334</v>
      </c>
      <c r="D1630" s="17" t="n">
        <v>0.05208333333333334</v>
      </c>
      <c r="E1630" t="inlineStr">
        <is>
          <t>Night</t>
        </is>
      </c>
      <c r="F1630" t="inlineStr">
        <is>
          <t>Aug</t>
        </is>
      </c>
      <c r="G1630" s="18">
        <f>IF(D1630&lt;C1630,D1630+1-C1630,D1630-C1630)*24</f>
        <v/>
      </c>
      <c r="H1630" s="18">
        <f>MAX(0,G1630-8)</f>
        <v/>
      </c>
    </row>
    <row r="1631">
      <c r="A1631" t="n">
        <v>1126</v>
      </c>
      <c r="B1631" s="14" t="n">
        <v>46247</v>
      </c>
      <c r="C1631" s="17" t="n">
        <v>0.9166666666666666</v>
      </c>
      <c r="D1631" s="17" t="n">
        <v>0.0625</v>
      </c>
      <c r="E1631" t="inlineStr">
        <is>
          <t>Night</t>
        </is>
      </c>
      <c r="F1631" t="inlineStr">
        <is>
          <t>Aug</t>
        </is>
      </c>
      <c r="G1631" s="18">
        <f>IF(D1631&lt;C1631,D1631+1-C1631,D1631-C1631)*24</f>
        <v/>
      </c>
      <c r="H1631" s="18">
        <f>MAX(0,G1631-8)</f>
        <v/>
      </c>
    </row>
    <row r="1632">
      <c r="A1632" t="n">
        <v>1127</v>
      </c>
      <c r="B1632" s="14" t="n">
        <v>46247</v>
      </c>
      <c r="C1632" s="17" t="n">
        <v>0.9166666666666666</v>
      </c>
      <c r="D1632" s="17" t="n">
        <v>0.125</v>
      </c>
      <c r="E1632" t="inlineStr">
        <is>
          <t>Night</t>
        </is>
      </c>
      <c r="F1632" t="inlineStr">
        <is>
          <t>Aug</t>
        </is>
      </c>
      <c r="G1632" s="18">
        <f>IF(D1632&lt;C1632,D1632+1-C1632,D1632-C1632)*24</f>
        <v/>
      </c>
      <c r="H1632" s="18">
        <f>MAX(0,G1632-8)</f>
        <v/>
      </c>
    </row>
    <row r="1633">
      <c r="A1633" t="n">
        <v>1128</v>
      </c>
      <c r="B1633" s="14" t="n">
        <v>46247</v>
      </c>
      <c r="C1633" s="17" t="n">
        <v>0.9166666666666666</v>
      </c>
      <c r="D1633" s="17" t="n">
        <v>0.08333333333333333</v>
      </c>
      <c r="E1633" t="inlineStr">
        <is>
          <t>Night</t>
        </is>
      </c>
      <c r="F1633" t="inlineStr">
        <is>
          <t>Aug</t>
        </is>
      </c>
      <c r="G1633" s="18">
        <f>IF(D1633&lt;C1633,D1633+1-C1633,D1633-C1633)*24</f>
        <v/>
      </c>
      <c r="H1633" s="18">
        <f>MAX(0,G1633-8)</f>
        <v/>
      </c>
    </row>
    <row r="1634">
      <c r="A1634" t="n">
        <v>1129</v>
      </c>
      <c r="B1634" s="14" t="n">
        <v>46247</v>
      </c>
      <c r="C1634" s="17" t="n">
        <v>0.9270833333333334</v>
      </c>
      <c r="D1634" s="17" t="n">
        <v>0.07291666666666667</v>
      </c>
      <c r="E1634" t="inlineStr">
        <is>
          <t>Night</t>
        </is>
      </c>
      <c r="F1634" t="inlineStr">
        <is>
          <t>Aug</t>
        </is>
      </c>
      <c r="G1634" s="18">
        <f>IF(D1634&lt;C1634,D1634+1-C1634,D1634-C1634)*24</f>
        <v/>
      </c>
      <c r="H1634" s="18">
        <f>MAX(0,G1634-8)</f>
        <v/>
      </c>
    </row>
    <row r="1635">
      <c r="A1635" t="n">
        <v>1130</v>
      </c>
      <c r="B1635" s="14" t="n">
        <v>46247</v>
      </c>
      <c r="C1635" s="17" t="n">
        <v>0.9375</v>
      </c>
      <c r="D1635" s="17" t="n">
        <v>0.08333333333333333</v>
      </c>
      <c r="E1635" t="inlineStr">
        <is>
          <t>Night</t>
        </is>
      </c>
      <c r="F1635" t="inlineStr">
        <is>
          <t>Aug</t>
        </is>
      </c>
      <c r="G1635" s="18">
        <f>IF(D1635&lt;C1635,D1635+1-C1635,D1635-C1635)*24</f>
        <v/>
      </c>
      <c r="H1635" s="18">
        <f>MAX(0,G1635-8)</f>
        <v/>
      </c>
    </row>
    <row r="1636">
      <c r="A1636" t="n">
        <v>1131</v>
      </c>
      <c r="B1636" s="14" t="n">
        <v>46247</v>
      </c>
      <c r="C1636" s="17" t="n">
        <v>0.9375</v>
      </c>
      <c r="D1636" s="17" t="n">
        <v>0.1458333333333333</v>
      </c>
      <c r="E1636" t="inlineStr">
        <is>
          <t>Night</t>
        </is>
      </c>
      <c r="F1636" t="inlineStr">
        <is>
          <t>Aug</t>
        </is>
      </c>
      <c r="G1636" s="18">
        <f>IF(D1636&lt;C1636,D1636+1-C1636,D1636-C1636)*24</f>
        <v/>
      </c>
      <c r="H1636" s="18">
        <f>MAX(0,G1636-8)</f>
        <v/>
      </c>
    </row>
    <row r="1637">
      <c r="A1637" t="n">
        <v>1132</v>
      </c>
      <c r="B1637" s="14" t="n">
        <v>46247</v>
      </c>
      <c r="C1637" s="17" t="n">
        <v>0.9270833333333334</v>
      </c>
      <c r="D1637" s="17" t="n">
        <v>0.09375</v>
      </c>
      <c r="E1637" t="inlineStr">
        <is>
          <t>Night</t>
        </is>
      </c>
      <c r="F1637" t="inlineStr">
        <is>
          <t>Aug</t>
        </is>
      </c>
      <c r="G1637" s="18">
        <f>IF(D1637&lt;C1637,D1637+1-C1637,D1637-C1637)*24</f>
        <v/>
      </c>
      <c r="H1637" s="18">
        <f>MAX(0,G1637-8)</f>
        <v/>
      </c>
    </row>
    <row r="1638">
      <c r="A1638" t="n">
        <v>1133</v>
      </c>
      <c r="B1638" s="14" t="n">
        <v>46247</v>
      </c>
      <c r="C1638" s="17" t="n">
        <v>0.9375</v>
      </c>
      <c r="D1638" s="17" t="n">
        <v>0.1041666666666667</v>
      </c>
      <c r="E1638" t="inlineStr">
        <is>
          <t>Night</t>
        </is>
      </c>
      <c r="F1638" t="inlineStr">
        <is>
          <t>Aug</t>
        </is>
      </c>
      <c r="G1638" s="18">
        <f>IF(D1638&lt;C1638,D1638+1-C1638,D1638-C1638)*24</f>
        <v/>
      </c>
      <c r="H1638" s="18">
        <f>MAX(0,G1638-8)</f>
        <v/>
      </c>
    </row>
    <row r="1639">
      <c r="A1639" t="n">
        <v>1134</v>
      </c>
      <c r="B1639" s="14" t="n">
        <v>46247</v>
      </c>
      <c r="C1639" s="17" t="n">
        <v>0.9166666666666666</v>
      </c>
      <c r="D1639" s="17" t="n">
        <v>0.125</v>
      </c>
      <c r="E1639" t="inlineStr">
        <is>
          <t>Night</t>
        </is>
      </c>
      <c r="F1639" t="inlineStr">
        <is>
          <t>Aug</t>
        </is>
      </c>
      <c r="G1639" s="18">
        <f>IF(D1639&lt;C1639,D1639+1-C1639,D1639-C1639)*24</f>
        <v/>
      </c>
      <c r="H1639" s="18">
        <f>MAX(0,G1639-8)</f>
        <v/>
      </c>
    </row>
    <row r="1640">
      <c r="A1640" t="n">
        <v>1135</v>
      </c>
      <c r="B1640" s="14" t="n">
        <v>46247</v>
      </c>
      <c r="C1640" s="17" t="n">
        <v>0.9166666666666666</v>
      </c>
      <c r="D1640" s="17" t="n">
        <v>0.08333333333333333</v>
      </c>
      <c r="E1640" t="inlineStr">
        <is>
          <t>Night</t>
        </is>
      </c>
      <c r="F1640" t="inlineStr">
        <is>
          <t>Aug</t>
        </is>
      </c>
      <c r="G1640" s="18">
        <f>IF(D1640&lt;C1640,D1640+1-C1640,D1640-C1640)*24</f>
        <v/>
      </c>
      <c r="H1640" s="18">
        <f>MAX(0,G1640-8)</f>
        <v/>
      </c>
    </row>
    <row r="1641">
      <c r="A1641" t="n">
        <v>1136</v>
      </c>
      <c r="B1641" s="14" t="n">
        <v>46247</v>
      </c>
      <c r="C1641" s="17" t="n">
        <v>0.9166666666666666</v>
      </c>
      <c r="D1641" s="17" t="n">
        <v>0.125</v>
      </c>
      <c r="E1641" t="inlineStr">
        <is>
          <t>Night</t>
        </is>
      </c>
      <c r="F1641" t="inlineStr">
        <is>
          <t>Aug</t>
        </is>
      </c>
      <c r="G1641" s="18">
        <f>IF(D1641&lt;C1641,D1641+1-C1641,D1641-C1641)*24</f>
        <v/>
      </c>
      <c r="H1641" s="18">
        <f>MAX(0,G1641-8)</f>
        <v/>
      </c>
    </row>
    <row r="1642">
      <c r="A1642" t="n">
        <v>1137</v>
      </c>
      <c r="B1642" s="14" t="n">
        <v>46247</v>
      </c>
      <c r="C1642" s="17" t="n">
        <v>0.9375</v>
      </c>
      <c r="D1642" s="17" t="n">
        <v>0.1458333333333333</v>
      </c>
      <c r="E1642" t="inlineStr">
        <is>
          <t>Night</t>
        </is>
      </c>
      <c r="F1642" t="inlineStr">
        <is>
          <t>Aug</t>
        </is>
      </c>
      <c r="G1642" s="18">
        <f>IF(D1642&lt;C1642,D1642+1-C1642,D1642-C1642)*24</f>
        <v/>
      </c>
      <c r="H1642" s="18">
        <f>MAX(0,G1642-8)</f>
        <v/>
      </c>
    </row>
    <row r="1643">
      <c r="A1643" t="n">
        <v>1147</v>
      </c>
      <c r="B1643" s="14" t="n">
        <v>46247</v>
      </c>
      <c r="C1643" s="17" t="n">
        <v>0.9166666666666666</v>
      </c>
      <c r="D1643" s="17" t="n">
        <v>0.04166666666666666</v>
      </c>
      <c r="E1643" t="inlineStr">
        <is>
          <t>Night</t>
        </is>
      </c>
      <c r="F1643" t="inlineStr">
        <is>
          <t>Aug</t>
        </is>
      </c>
      <c r="G1643" s="18">
        <f>IF(D1643&lt;C1643,D1643+1-C1643,D1643-C1643)*24</f>
        <v/>
      </c>
      <c r="H1643" s="18">
        <f>MAX(0,G1643-8)</f>
        <v/>
      </c>
    </row>
    <row r="1644">
      <c r="A1644" t="n">
        <v>1108</v>
      </c>
      <c r="B1644" s="14" t="n">
        <v>46247</v>
      </c>
      <c r="C1644" s="17" t="n">
        <v>0.01041666666666667</v>
      </c>
      <c r="D1644" s="17" t="n">
        <v>0.21875</v>
      </c>
      <c r="E1644" t="inlineStr">
        <is>
          <t>Night</t>
        </is>
      </c>
      <c r="F1644" t="inlineStr">
        <is>
          <t>Aug</t>
        </is>
      </c>
      <c r="G1644" s="18">
        <f>IF(D1644&lt;C1644,D1644+1-C1644,D1644-C1644)*24</f>
        <v/>
      </c>
      <c r="H1644" s="18">
        <f>MAX(0,G1644-8)</f>
        <v/>
      </c>
    </row>
    <row r="1645">
      <c r="A1645" t="n">
        <v>1117</v>
      </c>
      <c r="B1645" s="14" t="n">
        <v>46247</v>
      </c>
      <c r="C1645" s="17" t="n">
        <v>0.02083333333333333</v>
      </c>
      <c r="D1645" s="17" t="n">
        <v>0.2291666666666667</v>
      </c>
      <c r="E1645" t="inlineStr">
        <is>
          <t>Night</t>
        </is>
      </c>
      <c r="F1645" t="inlineStr">
        <is>
          <t>Aug</t>
        </is>
      </c>
      <c r="G1645" s="18">
        <f>IF(D1645&lt;C1645,D1645+1-C1645,D1645-C1645)*24</f>
        <v/>
      </c>
      <c r="H1645" s="18">
        <f>MAX(0,G1645-8)</f>
        <v/>
      </c>
    </row>
    <row r="1646">
      <c r="A1646" t="n">
        <v>1122</v>
      </c>
      <c r="B1646" s="14" t="n">
        <v>46247</v>
      </c>
      <c r="C1646" s="17" t="n">
        <v>0.02083333333333333</v>
      </c>
      <c r="D1646" s="17" t="n">
        <v>0.1458333333333333</v>
      </c>
      <c r="E1646" t="inlineStr">
        <is>
          <t>Night</t>
        </is>
      </c>
      <c r="F1646" t="inlineStr">
        <is>
          <t>Aug</t>
        </is>
      </c>
      <c r="G1646" s="18">
        <f>IF(D1646&lt;C1646,D1646+1-C1646,D1646-C1646)*24</f>
        <v/>
      </c>
      <c r="H1646" s="18">
        <f>MAX(0,G1646-8)</f>
        <v/>
      </c>
    </row>
    <row r="1647">
      <c r="A1647" t="n">
        <v>1123</v>
      </c>
      <c r="B1647" s="14" t="n">
        <v>46247</v>
      </c>
      <c r="C1647" s="17" t="n">
        <v>0.02083333333333333</v>
      </c>
      <c r="D1647" s="17" t="n">
        <v>0.1875</v>
      </c>
      <c r="E1647" t="inlineStr">
        <is>
          <t>Night</t>
        </is>
      </c>
      <c r="F1647" t="inlineStr">
        <is>
          <t>Aug</t>
        </is>
      </c>
      <c r="G1647" s="18">
        <f>IF(D1647&lt;C1647,D1647+1-C1647,D1647-C1647)*24</f>
        <v/>
      </c>
      <c r="H1647" s="18">
        <f>MAX(0,G1647-8)</f>
        <v/>
      </c>
    </row>
    <row r="1648">
      <c r="A1648" t="n">
        <v>1125</v>
      </c>
      <c r="B1648" s="14" t="n">
        <v>46247</v>
      </c>
      <c r="C1648" s="17" t="n">
        <v>0.02083333333333333</v>
      </c>
      <c r="D1648" s="17" t="n">
        <v>0.1458333333333333</v>
      </c>
      <c r="E1648" t="inlineStr">
        <is>
          <t>Night</t>
        </is>
      </c>
      <c r="F1648" t="inlineStr">
        <is>
          <t>Aug</t>
        </is>
      </c>
      <c r="G1648" s="18">
        <f>IF(D1648&lt;C1648,D1648+1-C1648,D1648-C1648)*24</f>
        <v/>
      </c>
      <c r="H1648" s="18">
        <f>MAX(0,G1648-8)</f>
        <v/>
      </c>
    </row>
    <row r="1649">
      <c r="A1649" t="n">
        <v>1201</v>
      </c>
      <c r="B1649" s="14" t="n">
        <v>46247</v>
      </c>
      <c r="C1649" s="17" t="n">
        <v>0.25</v>
      </c>
      <c r="D1649" s="17" t="n">
        <v>0.5833333333333334</v>
      </c>
      <c r="E1649" t="inlineStr">
        <is>
          <t>Day</t>
        </is>
      </c>
      <c r="F1649" t="inlineStr">
        <is>
          <t>Aug</t>
        </is>
      </c>
      <c r="G1649" s="18">
        <f>IF(D1649&lt;C1649,D1649+1-C1649,D1649-C1649)*24</f>
        <v/>
      </c>
      <c r="H1649" s="18">
        <f>MAX(0,G1649-8)</f>
        <v/>
      </c>
    </row>
    <row r="1650">
      <c r="A1650" t="n">
        <v>1202</v>
      </c>
      <c r="B1650" s="14" t="n">
        <v>46247</v>
      </c>
      <c r="C1650" s="17" t="n">
        <v>0.2708333333333333</v>
      </c>
      <c r="D1650" s="17" t="n">
        <v>0.6041666666666666</v>
      </c>
      <c r="E1650" t="inlineStr">
        <is>
          <t>Day</t>
        </is>
      </c>
      <c r="F1650" t="inlineStr">
        <is>
          <t>Aug</t>
        </is>
      </c>
      <c r="G1650" s="18">
        <f>IF(D1650&lt;C1650,D1650+1-C1650,D1650-C1650)*24</f>
        <v/>
      </c>
      <c r="H1650" s="18">
        <f>MAX(0,G1650-8)</f>
        <v/>
      </c>
    </row>
    <row r="1651">
      <c r="A1651" t="n">
        <v>1203</v>
      </c>
      <c r="B1651" s="14" t="n">
        <v>46247</v>
      </c>
      <c r="C1651" s="17" t="n">
        <v>0.2708333333333333</v>
      </c>
      <c r="D1651" s="17" t="n">
        <v>0.6875</v>
      </c>
      <c r="E1651" t="inlineStr">
        <is>
          <t>Day</t>
        </is>
      </c>
      <c r="F1651" t="inlineStr">
        <is>
          <t>Aug</t>
        </is>
      </c>
      <c r="G1651" s="18">
        <f>IF(D1651&lt;C1651,D1651+1-C1651,D1651-C1651)*24</f>
        <v/>
      </c>
      <c r="H1651" s="18">
        <f>MAX(0,G1651-8)</f>
        <v/>
      </c>
    </row>
    <row r="1652">
      <c r="A1652" t="n">
        <v>1204</v>
      </c>
      <c r="B1652" s="14" t="n">
        <v>46247</v>
      </c>
      <c r="C1652" s="17" t="n">
        <v>0.25</v>
      </c>
      <c r="D1652" s="17" t="n">
        <v>0.6666666666666666</v>
      </c>
      <c r="E1652" t="inlineStr">
        <is>
          <t>Day</t>
        </is>
      </c>
      <c r="F1652" t="inlineStr">
        <is>
          <t>Aug</t>
        </is>
      </c>
      <c r="G1652" s="18">
        <f>IF(D1652&lt;C1652,D1652+1-C1652,D1652-C1652)*24</f>
        <v/>
      </c>
      <c r="H1652" s="18">
        <f>MAX(0,G1652-8)</f>
        <v/>
      </c>
    </row>
    <row r="1653">
      <c r="A1653" t="n">
        <v>1205</v>
      </c>
      <c r="B1653" s="14" t="n">
        <v>46247</v>
      </c>
      <c r="C1653" s="17" t="n">
        <v>0.25</v>
      </c>
      <c r="D1653" s="17" t="n">
        <v>0.5833333333333334</v>
      </c>
      <c r="E1653" t="inlineStr">
        <is>
          <t>Day</t>
        </is>
      </c>
      <c r="F1653" t="inlineStr">
        <is>
          <t>Aug</t>
        </is>
      </c>
      <c r="G1653" s="18">
        <f>IF(D1653&lt;C1653,D1653+1-C1653,D1653-C1653)*24</f>
        <v/>
      </c>
      <c r="H1653" s="18">
        <f>MAX(0,G1653-8)</f>
        <v/>
      </c>
    </row>
    <row r="1654">
      <c r="A1654" t="n">
        <v>1206</v>
      </c>
      <c r="B1654" s="14" t="n">
        <v>46247</v>
      </c>
      <c r="C1654" s="17" t="n">
        <v>0.2708333333333333</v>
      </c>
      <c r="D1654" s="17" t="n">
        <v>0.6041666666666666</v>
      </c>
      <c r="E1654" t="inlineStr">
        <is>
          <t>Day</t>
        </is>
      </c>
      <c r="F1654" t="inlineStr">
        <is>
          <t>Aug</t>
        </is>
      </c>
      <c r="G1654" s="18">
        <f>IF(D1654&lt;C1654,D1654+1-C1654,D1654-C1654)*24</f>
        <v/>
      </c>
      <c r="H1654" s="18">
        <f>MAX(0,G1654-8)</f>
        <v/>
      </c>
    </row>
    <row r="1655">
      <c r="A1655" t="n">
        <v>1207</v>
      </c>
      <c r="B1655" s="14" t="n">
        <v>46247</v>
      </c>
      <c r="C1655" s="17" t="n">
        <v>0.25</v>
      </c>
      <c r="D1655" s="17" t="n">
        <v>0.6666666666666666</v>
      </c>
      <c r="E1655" t="inlineStr">
        <is>
          <t>Day</t>
        </is>
      </c>
      <c r="F1655" t="inlineStr">
        <is>
          <t>Aug</t>
        </is>
      </c>
      <c r="G1655" s="18">
        <f>IF(D1655&lt;C1655,D1655+1-C1655,D1655-C1655)*24</f>
        <v/>
      </c>
      <c r="H1655" s="18">
        <f>MAX(0,G1655-8)</f>
        <v/>
      </c>
    </row>
    <row r="1656">
      <c r="A1656" t="n">
        <v>1208</v>
      </c>
      <c r="B1656" s="14" t="n">
        <v>46247</v>
      </c>
      <c r="C1656" s="17" t="n">
        <v>0.25</v>
      </c>
      <c r="D1656" s="17" t="n">
        <v>0.5833333333333334</v>
      </c>
      <c r="E1656" t="inlineStr">
        <is>
          <t>Day</t>
        </is>
      </c>
      <c r="F1656" t="inlineStr">
        <is>
          <t>Aug</t>
        </is>
      </c>
      <c r="G1656" s="18">
        <f>IF(D1656&lt;C1656,D1656+1-C1656,D1656-C1656)*24</f>
        <v/>
      </c>
      <c r="H1656" s="18">
        <f>MAX(0,G1656-8)</f>
        <v/>
      </c>
    </row>
    <row r="1657">
      <c r="A1657" t="n">
        <v>1209</v>
      </c>
      <c r="B1657" s="14" t="n">
        <v>46247</v>
      </c>
      <c r="C1657" s="17" t="n">
        <v>0.25</v>
      </c>
      <c r="D1657" s="17" t="n">
        <v>0.5833333333333334</v>
      </c>
      <c r="E1657" t="inlineStr">
        <is>
          <t>Day</t>
        </is>
      </c>
      <c r="F1657" t="inlineStr">
        <is>
          <t>Aug</t>
        </is>
      </c>
      <c r="G1657" s="18">
        <f>IF(D1657&lt;C1657,D1657+1-C1657,D1657-C1657)*24</f>
        <v/>
      </c>
      <c r="H1657" s="18">
        <f>MAX(0,G1657-8)</f>
        <v/>
      </c>
    </row>
    <row r="1658">
      <c r="A1658" t="n">
        <v>1210</v>
      </c>
      <c r="B1658" s="14" t="n">
        <v>46247</v>
      </c>
      <c r="C1658" s="17" t="n">
        <v>0.25</v>
      </c>
      <c r="D1658" s="17" t="n">
        <v>0.625</v>
      </c>
      <c r="E1658" t="inlineStr">
        <is>
          <t>Day</t>
        </is>
      </c>
      <c r="F1658" t="inlineStr">
        <is>
          <t>Aug</t>
        </is>
      </c>
      <c r="G1658" s="18">
        <f>IF(D1658&lt;C1658,D1658+1-C1658,D1658-C1658)*24</f>
        <v/>
      </c>
      <c r="H1658" s="18">
        <f>MAX(0,G1658-8)</f>
        <v/>
      </c>
    </row>
    <row r="1659">
      <c r="A1659" t="n">
        <v>1211</v>
      </c>
      <c r="B1659" s="14" t="n">
        <v>46247</v>
      </c>
      <c r="C1659" s="17" t="n">
        <v>0.25</v>
      </c>
      <c r="D1659" s="17" t="n">
        <v>0.5833333333333334</v>
      </c>
      <c r="E1659" t="inlineStr">
        <is>
          <t>Day</t>
        </is>
      </c>
      <c r="F1659" t="inlineStr">
        <is>
          <t>Aug</t>
        </is>
      </c>
      <c r="G1659" s="18">
        <f>IF(D1659&lt;C1659,D1659+1-C1659,D1659-C1659)*24</f>
        <v/>
      </c>
      <c r="H1659" s="18">
        <f>MAX(0,G1659-8)</f>
        <v/>
      </c>
    </row>
    <row r="1660">
      <c r="A1660" t="n">
        <v>1212</v>
      </c>
      <c r="B1660" s="14" t="n">
        <v>46247</v>
      </c>
      <c r="C1660" s="17" t="n">
        <v>0.25</v>
      </c>
      <c r="D1660" s="17" t="n">
        <v>0.5833333333333334</v>
      </c>
      <c r="E1660" t="inlineStr">
        <is>
          <t>Day</t>
        </is>
      </c>
      <c r="F1660" t="inlineStr">
        <is>
          <t>Aug</t>
        </is>
      </c>
      <c r="G1660" s="18">
        <f>IF(D1660&lt;C1660,D1660+1-C1660,D1660-C1660)*24</f>
        <v/>
      </c>
      <c r="H1660" s="18">
        <f>MAX(0,G1660-8)</f>
        <v/>
      </c>
    </row>
    <row r="1661">
      <c r="A1661" t="n">
        <v>1213</v>
      </c>
      <c r="B1661" s="14" t="n">
        <v>46247</v>
      </c>
      <c r="C1661" s="17" t="n">
        <v>0.2708333333333333</v>
      </c>
      <c r="D1661" s="17" t="n">
        <v>0.625</v>
      </c>
      <c r="E1661" t="inlineStr">
        <is>
          <t>Day</t>
        </is>
      </c>
      <c r="F1661" t="inlineStr">
        <is>
          <t>Aug</t>
        </is>
      </c>
      <c r="G1661" s="18">
        <f>IF(D1661&lt;C1661,D1661+1-C1661,D1661-C1661)*24</f>
        <v/>
      </c>
      <c r="H1661" s="18">
        <f>MAX(0,G1661-8)</f>
        <v/>
      </c>
    </row>
    <row r="1662">
      <c r="A1662" t="n">
        <v>1214</v>
      </c>
      <c r="B1662" s="14" t="n">
        <v>46247</v>
      </c>
      <c r="C1662" s="17" t="n">
        <v>0.2708333333333333</v>
      </c>
      <c r="D1662" s="17" t="n">
        <v>0.6041666666666666</v>
      </c>
      <c r="E1662" t="inlineStr">
        <is>
          <t>Day</t>
        </is>
      </c>
      <c r="F1662" t="inlineStr">
        <is>
          <t>Aug</t>
        </is>
      </c>
      <c r="G1662" s="18">
        <f>IF(D1662&lt;C1662,D1662+1-C1662,D1662-C1662)*24</f>
        <v/>
      </c>
      <c r="H1662" s="18">
        <f>MAX(0,G1662-8)</f>
        <v/>
      </c>
    </row>
    <row r="1663">
      <c r="A1663" t="n">
        <v>1215</v>
      </c>
      <c r="B1663" s="14" t="n">
        <v>46247</v>
      </c>
      <c r="C1663" s="17" t="n">
        <v>0.25</v>
      </c>
      <c r="D1663" s="17" t="n">
        <v>0.6666666666666666</v>
      </c>
      <c r="E1663" t="inlineStr">
        <is>
          <t>Day</t>
        </is>
      </c>
      <c r="F1663" t="inlineStr">
        <is>
          <t>Aug</t>
        </is>
      </c>
      <c r="G1663" s="18">
        <f>IF(D1663&lt;C1663,D1663+1-C1663,D1663-C1663)*24</f>
        <v/>
      </c>
      <c r="H1663" s="18">
        <f>MAX(0,G1663-8)</f>
        <v/>
      </c>
    </row>
    <row r="1664">
      <c r="A1664" t="n">
        <v>1216</v>
      </c>
      <c r="B1664" s="14" t="n">
        <v>46247</v>
      </c>
      <c r="C1664" s="17" t="n">
        <v>0.25</v>
      </c>
      <c r="D1664" s="17" t="n">
        <v>0.6666666666666666</v>
      </c>
      <c r="E1664" t="inlineStr">
        <is>
          <t>Day</t>
        </is>
      </c>
      <c r="F1664" t="inlineStr">
        <is>
          <t>Aug</t>
        </is>
      </c>
      <c r="G1664" s="18">
        <f>IF(D1664&lt;C1664,D1664+1-C1664,D1664-C1664)*24</f>
        <v/>
      </c>
      <c r="H1664" s="18">
        <f>MAX(0,G1664-8)</f>
        <v/>
      </c>
    </row>
    <row r="1665">
      <c r="A1665" t="n">
        <v>1217</v>
      </c>
      <c r="B1665" s="14" t="n">
        <v>46247</v>
      </c>
      <c r="C1665" s="17" t="n">
        <v>0.25</v>
      </c>
      <c r="D1665" s="17" t="n">
        <v>0.6666666666666666</v>
      </c>
      <c r="E1665" t="inlineStr">
        <is>
          <t>Day</t>
        </is>
      </c>
      <c r="F1665" t="inlineStr">
        <is>
          <t>Aug</t>
        </is>
      </c>
      <c r="G1665" s="18">
        <f>IF(D1665&lt;C1665,D1665+1-C1665,D1665-C1665)*24</f>
        <v/>
      </c>
      <c r="H1665" s="18">
        <f>MAX(0,G1665-8)</f>
        <v/>
      </c>
    </row>
    <row r="1666">
      <c r="A1666" t="n">
        <v>1218</v>
      </c>
      <c r="B1666" s="14" t="n">
        <v>46247</v>
      </c>
      <c r="C1666" s="17" t="n">
        <v>0.25</v>
      </c>
      <c r="D1666" s="17" t="n">
        <v>0.5833333333333334</v>
      </c>
      <c r="E1666" t="inlineStr">
        <is>
          <t>Day</t>
        </is>
      </c>
      <c r="F1666" t="inlineStr">
        <is>
          <t>Aug</t>
        </is>
      </c>
      <c r="G1666" s="18">
        <f>IF(D1666&lt;C1666,D1666+1-C1666,D1666-C1666)*24</f>
        <v/>
      </c>
      <c r="H1666" s="18">
        <f>MAX(0,G1666-8)</f>
        <v/>
      </c>
    </row>
    <row r="1667">
      <c r="A1667" t="n">
        <v>1219</v>
      </c>
      <c r="B1667" s="14" t="n">
        <v>46247</v>
      </c>
      <c r="C1667" s="17" t="n">
        <v>0.25</v>
      </c>
      <c r="D1667" s="17" t="n">
        <v>0.6041666666666666</v>
      </c>
      <c r="E1667" t="inlineStr">
        <is>
          <t>Day</t>
        </is>
      </c>
      <c r="F1667" t="inlineStr">
        <is>
          <t>Aug</t>
        </is>
      </c>
      <c r="G1667" s="18">
        <f>IF(D1667&lt;C1667,D1667+1-C1667,D1667-C1667)*24</f>
        <v/>
      </c>
      <c r="H1667" s="18">
        <f>MAX(0,G1667-8)</f>
        <v/>
      </c>
    </row>
    <row r="1668">
      <c r="A1668" t="n">
        <v>1220</v>
      </c>
      <c r="B1668" s="14" t="n">
        <v>46247</v>
      </c>
      <c r="C1668" s="17" t="n">
        <v>0.2708333333333333</v>
      </c>
      <c r="D1668" s="17" t="n">
        <v>0.625</v>
      </c>
      <c r="E1668" t="inlineStr">
        <is>
          <t>Day</t>
        </is>
      </c>
      <c r="F1668" t="inlineStr">
        <is>
          <t>Aug</t>
        </is>
      </c>
      <c r="G1668" s="18">
        <f>IF(D1668&lt;C1668,D1668+1-C1668,D1668-C1668)*24</f>
        <v/>
      </c>
      <c r="H1668" s="18">
        <f>MAX(0,G1668-8)</f>
        <v/>
      </c>
    </row>
    <row r="1669">
      <c r="A1669" t="n">
        <v>1101</v>
      </c>
      <c r="B1669" s="14" t="n">
        <v>46248</v>
      </c>
      <c r="C1669" s="17" t="n">
        <v>0.9270833333333334</v>
      </c>
      <c r="D1669" s="17" t="n">
        <v>0.09375</v>
      </c>
      <c r="E1669" t="inlineStr">
        <is>
          <t>Night</t>
        </is>
      </c>
      <c r="F1669" t="inlineStr">
        <is>
          <t>Aug</t>
        </is>
      </c>
      <c r="G1669" s="18">
        <f>IF(D1669&lt;C1669,D1669+1-C1669,D1669-C1669)*24</f>
        <v/>
      </c>
      <c r="H1669" s="18">
        <f>MAX(0,G1669-8)</f>
        <v/>
      </c>
    </row>
    <row r="1670">
      <c r="A1670" t="n">
        <v>1102</v>
      </c>
      <c r="B1670" s="14" t="n">
        <v>46248</v>
      </c>
      <c r="C1670" s="17" t="n">
        <v>0.9166666666666666</v>
      </c>
      <c r="D1670" s="17" t="n">
        <v>0.0625</v>
      </c>
      <c r="E1670" t="inlineStr">
        <is>
          <t>Night</t>
        </is>
      </c>
      <c r="F1670" t="inlineStr">
        <is>
          <t>Aug</t>
        </is>
      </c>
      <c r="G1670" s="18">
        <f>IF(D1670&lt;C1670,D1670+1-C1670,D1670-C1670)*24</f>
        <v/>
      </c>
      <c r="H1670" s="18">
        <f>MAX(0,G1670-8)</f>
        <v/>
      </c>
    </row>
    <row r="1671">
      <c r="A1671" t="n">
        <v>1103</v>
      </c>
      <c r="B1671" s="14" t="n">
        <v>46248</v>
      </c>
      <c r="C1671" s="17" t="n">
        <v>0.9270833333333334</v>
      </c>
      <c r="D1671" s="17" t="n">
        <v>0.07291666666666667</v>
      </c>
      <c r="E1671" t="inlineStr">
        <is>
          <t>Night</t>
        </is>
      </c>
      <c r="F1671" t="inlineStr">
        <is>
          <t>Aug</t>
        </is>
      </c>
      <c r="G1671" s="18">
        <f>IF(D1671&lt;C1671,D1671+1-C1671,D1671-C1671)*24</f>
        <v/>
      </c>
      <c r="H1671" s="18">
        <f>MAX(0,G1671-8)</f>
        <v/>
      </c>
    </row>
    <row r="1672">
      <c r="A1672" t="n">
        <v>1106</v>
      </c>
      <c r="B1672" s="14" t="n">
        <v>46248</v>
      </c>
      <c r="C1672" s="17" t="n">
        <v>0.9166666666666666</v>
      </c>
      <c r="D1672" s="17" t="n">
        <v>0.08333333333333333</v>
      </c>
      <c r="E1672" t="inlineStr">
        <is>
          <t>Night</t>
        </is>
      </c>
      <c r="F1672" t="inlineStr">
        <is>
          <t>Aug</t>
        </is>
      </c>
      <c r="G1672" s="18">
        <f>IF(D1672&lt;C1672,D1672+1-C1672,D1672-C1672)*24</f>
        <v/>
      </c>
      <c r="H1672" s="18">
        <f>MAX(0,G1672-8)</f>
        <v/>
      </c>
    </row>
    <row r="1673">
      <c r="A1673" t="n">
        <v>1107</v>
      </c>
      <c r="B1673" s="14" t="n">
        <v>46248</v>
      </c>
      <c r="C1673" s="17" t="n">
        <v>0.9375</v>
      </c>
      <c r="D1673" s="17" t="n">
        <v>0.1458333333333333</v>
      </c>
      <c r="E1673" t="inlineStr">
        <is>
          <t>Night</t>
        </is>
      </c>
      <c r="F1673" t="inlineStr">
        <is>
          <t>Aug</t>
        </is>
      </c>
      <c r="G1673" s="18">
        <f>IF(D1673&lt;C1673,D1673+1-C1673,D1673-C1673)*24</f>
        <v/>
      </c>
      <c r="H1673" s="18">
        <f>MAX(0,G1673-8)</f>
        <v/>
      </c>
    </row>
    <row r="1674">
      <c r="A1674" t="n">
        <v>1110</v>
      </c>
      <c r="B1674" s="14" t="n">
        <v>46248</v>
      </c>
      <c r="C1674" s="17" t="n">
        <v>0.9166666666666666</v>
      </c>
      <c r="D1674" s="17" t="n">
        <v>0.04166666666666666</v>
      </c>
      <c r="E1674" t="inlineStr">
        <is>
          <t>Night</t>
        </is>
      </c>
      <c r="F1674" t="inlineStr">
        <is>
          <t>Aug</t>
        </is>
      </c>
      <c r="G1674" s="18">
        <f>IF(D1674&lt;C1674,D1674+1-C1674,D1674-C1674)*24</f>
        <v/>
      </c>
      <c r="H1674" s="18">
        <f>MAX(0,G1674-8)</f>
        <v/>
      </c>
    </row>
    <row r="1675">
      <c r="A1675" t="n">
        <v>1111</v>
      </c>
      <c r="B1675" s="14" t="n">
        <v>46248</v>
      </c>
      <c r="C1675" s="17" t="n">
        <v>0.9270833333333334</v>
      </c>
      <c r="D1675" s="17" t="n">
        <v>0.05208333333333334</v>
      </c>
      <c r="E1675" t="inlineStr">
        <is>
          <t>Night</t>
        </is>
      </c>
      <c r="F1675" t="inlineStr">
        <is>
          <t>Aug</t>
        </is>
      </c>
      <c r="G1675" s="18">
        <f>IF(D1675&lt;C1675,D1675+1-C1675,D1675-C1675)*24</f>
        <v/>
      </c>
      <c r="H1675" s="18">
        <f>MAX(0,G1675-8)</f>
        <v/>
      </c>
    </row>
    <row r="1676">
      <c r="A1676" t="n">
        <v>1112</v>
      </c>
      <c r="B1676" s="14" t="n">
        <v>46248</v>
      </c>
      <c r="C1676" s="17" t="n">
        <v>0.9375</v>
      </c>
      <c r="D1676" s="17" t="n">
        <v>0.1458333333333333</v>
      </c>
      <c r="E1676" t="inlineStr">
        <is>
          <t>Night</t>
        </is>
      </c>
      <c r="F1676" t="inlineStr">
        <is>
          <t>Aug</t>
        </is>
      </c>
      <c r="G1676" s="18">
        <f>IF(D1676&lt;C1676,D1676+1-C1676,D1676-C1676)*24</f>
        <v/>
      </c>
      <c r="H1676" s="18">
        <f>MAX(0,G1676-8)</f>
        <v/>
      </c>
    </row>
    <row r="1677">
      <c r="A1677" t="n">
        <v>1113</v>
      </c>
      <c r="B1677" s="14" t="n">
        <v>46248</v>
      </c>
      <c r="C1677" s="17" t="n">
        <v>0.9166666666666666</v>
      </c>
      <c r="D1677" s="17" t="n">
        <v>0.08333333333333333</v>
      </c>
      <c r="E1677" t="inlineStr">
        <is>
          <t>Night</t>
        </is>
      </c>
      <c r="F1677" t="inlineStr">
        <is>
          <t>Aug</t>
        </is>
      </c>
      <c r="G1677" s="18">
        <f>IF(D1677&lt;C1677,D1677+1-C1677,D1677-C1677)*24</f>
        <v/>
      </c>
      <c r="H1677" s="18">
        <f>MAX(0,G1677-8)</f>
        <v/>
      </c>
    </row>
    <row r="1678">
      <c r="A1678" t="n">
        <v>1114</v>
      </c>
      <c r="B1678" s="14" t="n">
        <v>46248</v>
      </c>
      <c r="C1678" s="17" t="n">
        <v>0.9166666666666666</v>
      </c>
      <c r="D1678" s="17" t="n">
        <v>0.04166666666666666</v>
      </c>
      <c r="E1678" t="inlineStr">
        <is>
          <t>Night</t>
        </is>
      </c>
      <c r="F1678" t="inlineStr">
        <is>
          <t>Aug</t>
        </is>
      </c>
      <c r="G1678" s="18">
        <f>IF(D1678&lt;C1678,D1678+1-C1678,D1678-C1678)*24</f>
        <v/>
      </c>
      <c r="H1678" s="18">
        <f>MAX(0,G1678-8)</f>
        <v/>
      </c>
    </row>
    <row r="1679">
      <c r="A1679" t="n">
        <v>1115</v>
      </c>
      <c r="B1679" s="14" t="n">
        <v>46248</v>
      </c>
      <c r="C1679" s="17" t="n">
        <v>0.9166666666666666</v>
      </c>
      <c r="D1679" s="17" t="n">
        <v>0.08333333333333333</v>
      </c>
      <c r="E1679" t="inlineStr">
        <is>
          <t>Night</t>
        </is>
      </c>
      <c r="F1679" t="inlineStr">
        <is>
          <t>Aug</t>
        </is>
      </c>
      <c r="G1679" s="18">
        <f>IF(D1679&lt;C1679,D1679+1-C1679,D1679-C1679)*24</f>
        <v/>
      </c>
      <c r="H1679" s="18">
        <f>MAX(0,G1679-8)</f>
        <v/>
      </c>
    </row>
    <row r="1680">
      <c r="A1680" t="n">
        <v>1117</v>
      </c>
      <c r="B1680" s="14" t="n">
        <v>46248</v>
      </c>
      <c r="C1680" s="17" t="n">
        <v>0.9270833333333334</v>
      </c>
      <c r="D1680" s="17" t="n">
        <v>0.1354166666666667</v>
      </c>
      <c r="E1680" t="inlineStr">
        <is>
          <t>Night</t>
        </is>
      </c>
      <c r="F1680" t="inlineStr">
        <is>
          <t>Aug</t>
        </is>
      </c>
      <c r="G1680" s="18">
        <f>IF(D1680&lt;C1680,D1680+1-C1680,D1680-C1680)*24</f>
        <v/>
      </c>
      <c r="H1680" s="18">
        <f>MAX(0,G1680-8)</f>
        <v/>
      </c>
    </row>
    <row r="1681">
      <c r="A1681" t="n">
        <v>1118</v>
      </c>
      <c r="B1681" s="14" t="n">
        <v>46248</v>
      </c>
      <c r="C1681" s="17" t="n">
        <v>0.9270833333333334</v>
      </c>
      <c r="D1681" s="17" t="n">
        <v>0.05208333333333334</v>
      </c>
      <c r="E1681" t="inlineStr">
        <is>
          <t>Night</t>
        </is>
      </c>
      <c r="F1681" t="inlineStr">
        <is>
          <t>Aug</t>
        </is>
      </c>
      <c r="G1681" s="18">
        <f>IF(D1681&lt;C1681,D1681+1-C1681,D1681-C1681)*24</f>
        <v/>
      </c>
      <c r="H1681" s="18">
        <f>MAX(0,G1681-8)</f>
        <v/>
      </c>
    </row>
    <row r="1682">
      <c r="A1682" t="n">
        <v>1120</v>
      </c>
      <c r="B1682" s="14" t="n">
        <v>46248</v>
      </c>
      <c r="C1682" s="17" t="n">
        <v>0.9270833333333334</v>
      </c>
      <c r="D1682" s="17" t="n">
        <v>0.1354166666666667</v>
      </c>
      <c r="E1682" t="inlineStr">
        <is>
          <t>Night</t>
        </is>
      </c>
      <c r="F1682" t="inlineStr">
        <is>
          <t>Aug</t>
        </is>
      </c>
      <c r="G1682" s="18">
        <f>IF(D1682&lt;C1682,D1682+1-C1682,D1682-C1682)*24</f>
        <v/>
      </c>
      <c r="H1682" s="18">
        <f>MAX(0,G1682-8)</f>
        <v/>
      </c>
    </row>
    <row r="1683">
      <c r="A1683" t="n">
        <v>1122</v>
      </c>
      <c r="B1683" s="14" t="n">
        <v>46248</v>
      </c>
      <c r="C1683" s="17" t="n">
        <v>0.9375</v>
      </c>
      <c r="D1683" s="17" t="n">
        <v>0.08333333333333333</v>
      </c>
      <c r="E1683" t="inlineStr">
        <is>
          <t>Night</t>
        </is>
      </c>
      <c r="F1683" t="inlineStr">
        <is>
          <t>Aug</t>
        </is>
      </c>
      <c r="G1683" s="18">
        <f>IF(D1683&lt;C1683,D1683+1-C1683,D1683-C1683)*24</f>
        <v/>
      </c>
      <c r="H1683" s="18">
        <f>MAX(0,G1683-8)</f>
        <v/>
      </c>
    </row>
    <row r="1684">
      <c r="A1684" t="n">
        <v>1123</v>
      </c>
      <c r="B1684" s="14" t="n">
        <v>46248</v>
      </c>
      <c r="C1684" s="17" t="n">
        <v>0.9270833333333334</v>
      </c>
      <c r="D1684" s="17" t="n">
        <v>0.09375</v>
      </c>
      <c r="E1684" t="inlineStr">
        <is>
          <t>Night</t>
        </is>
      </c>
      <c r="F1684" t="inlineStr">
        <is>
          <t>Aug</t>
        </is>
      </c>
      <c r="G1684" s="18">
        <f>IF(D1684&lt;C1684,D1684+1-C1684,D1684-C1684)*24</f>
        <v/>
      </c>
      <c r="H1684" s="18">
        <f>MAX(0,G1684-8)</f>
        <v/>
      </c>
    </row>
    <row r="1685">
      <c r="A1685" t="n">
        <v>1124</v>
      </c>
      <c r="B1685" s="14" t="n">
        <v>46248</v>
      </c>
      <c r="C1685" s="17" t="n">
        <v>0.9166666666666666</v>
      </c>
      <c r="D1685" s="17" t="n">
        <v>0.0625</v>
      </c>
      <c r="E1685" t="inlineStr">
        <is>
          <t>Night</t>
        </is>
      </c>
      <c r="F1685" t="inlineStr">
        <is>
          <t>Aug</t>
        </is>
      </c>
      <c r="G1685" s="18">
        <f>IF(D1685&lt;C1685,D1685+1-C1685,D1685-C1685)*24</f>
        <v/>
      </c>
      <c r="H1685" s="18">
        <f>MAX(0,G1685-8)</f>
        <v/>
      </c>
    </row>
    <row r="1686">
      <c r="A1686" t="n">
        <v>1125</v>
      </c>
      <c r="B1686" s="14" t="n">
        <v>46248</v>
      </c>
      <c r="C1686" s="17" t="n">
        <v>0.9270833333333334</v>
      </c>
      <c r="D1686" s="17" t="n">
        <v>0.09375</v>
      </c>
      <c r="E1686" t="inlineStr">
        <is>
          <t>Night</t>
        </is>
      </c>
      <c r="F1686" t="inlineStr">
        <is>
          <t>Aug</t>
        </is>
      </c>
      <c r="G1686" s="18">
        <f>IF(D1686&lt;C1686,D1686+1-C1686,D1686-C1686)*24</f>
        <v/>
      </c>
      <c r="H1686" s="18">
        <f>MAX(0,G1686-8)</f>
        <v/>
      </c>
    </row>
    <row r="1687">
      <c r="A1687" t="n">
        <v>1127</v>
      </c>
      <c r="B1687" s="14" t="n">
        <v>46248</v>
      </c>
      <c r="C1687" s="17" t="n">
        <v>0.9270833333333334</v>
      </c>
      <c r="D1687" s="17" t="n">
        <v>0.05208333333333334</v>
      </c>
      <c r="E1687" t="inlineStr">
        <is>
          <t>Night</t>
        </is>
      </c>
      <c r="F1687" t="inlineStr">
        <is>
          <t>Aug</t>
        </is>
      </c>
      <c r="G1687" s="18">
        <f>IF(D1687&lt;C1687,D1687+1-C1687,D1687-C1687)*24</f>
        <v/>
      </c>
      <c r="H1687" s="18">
        <f>MAX(0,G1687-8)</f>
        <v/>
      </c>
    </row>
    <row r="1688">
      <c r="A1688" t="n">
        <v>1128</v>
      </c>
      <c r="B1688" s="14" t="n">
        <v>46248</v>
      </c>
      <c r="C1688" s="17" t="n">
        <v>0.9166666666666666</v>
      </c>
      <c r="D1688" s="17" t="n">
        <v>0.04166666666666666</v>
      </c>
      <c r="E1688" t="inlineStr">
        <is>
          <t>Night</t>
        </is>
      </c>
      <c r="F1688" t="inlineStr">
        <is>
          <t>Aug</t>
        </is>
      </c>
      <c r="G1688" s="18">
        <f>IF(D1688&lt;C1688,D1688+1-C1688,D1688-C1688)*24</f>
        <v/>
      </c>
      <c r="H1688" s="18">
        <f>MAX(0,G1688-8)</f>
        <v/>
      </c>
    </row>
    <row r="1689">
      <c r="A1689" t="n">
        <v>1129</v>
      </c>
      <c r="B1689" s="14" t="n">
        <v>46248</v>
      </c>
      <c r="C1689" s="17" t="n">
        <v>0.9166666666666666</v>
      </c>
      <c r="D1689" s="17" t="n">
        <v>0.125</v>
      </c>
      <c r="E1689" t="inlineStr">
        <is>
          <t>Night</t>
        </is>
      </c>
      <c r="F1689" t="inlineStr">
        <is>
          <t>Aug</t>
        </is>
      </c>
      <c r="G1689" s="18">
        <f>IF(D1689&lt;C1689,D1689+1-C1689,D1689-C1689)*24</f>
        <v/>
      </c>
      <c r="H1689" s="18">
        <f>MAX(0,G1689-8)</f>
        <v/>
      </c>
    </row>
    <row r="1690">
      <c r="A1690" t="n">
        <v>1130</v>
      </c>
      <c r="B1690" s="14" t="n">
        <v>46248</v>
      </c>
      <c r="C1690" s="17" t="n">
        <v>0.9166666666666666</v>
      </c>
      <c r="D1690" s="17" t="n">
        <v>0.08333333333333333</v>
      </c>
      <c r="E1690" t="inlineStr">
        <is>
          <t>Night</t>
        </is>
      </c>
      <c r="F1690" t="inlineStr">
        <is>
          <t>Aug</t>
        </is>
      </c>
      <c r="G1690" s="18">
        <f>IF(D1690&lt;C1690,D1690+1-C1690,D1690-C1690)*24</f>
        <v/>
      </c>
      <c r="H1690" s="18">
        <f>MAX(0,G1690-8)</f>
        <v/>
      </c>
    </row>
    <row r="1691">
      <c r="A1691" t="n">
        <v>1131</v>
      </c>
      <c r="B1691" s="14" t="n">
        <v>46248</v>
      </c>
      <c r="C1691" s="17" t="n">
        <v>0.9375</v>
      </c>
      <c r="D1691" s="17" t="n">
        <v>0.0625</v>
      </c>
      <c r="E1691" t="inlineStr">
        <is>
          <t>Night</t>
        </is>
      </c>
      <c r="F1691" t="inlineStr">
        <is>
          <t>Aug</t>
        </is>
      </c>
      <c r="G1691" s="18">
        <f>IF(D1691&lt;C1691,D1691+1-C1691,D1691-C1691)*24</f>
        <v/>
      </c>
      <c r="H1691" s="18">
        <f>MAX(0,G1691-8)</f>
        <v/>
      </c>
    </row>
    <row r="1692">
      <c r="A1692" t="n">
        <v>1134</v>
      </c>
      <c r="B1692" s="14" t="n">
        <v>46248</v>
      </c>
      <c r="C1692" s="17" t="n">
        <v>0.9166666666666666</v>
      </c>
      <c r="D1692" s="17" t="n">
        <v>0.04166666666666666</v>
      </c>
      <c r="E1692" t="inlineStr">
        <is>
          <t>Night</t>
        </is>
      </c>
      <c r="F1692" t="inlineStr">
        <is>
          <t>Aug</t>
        </is>
      </c>
      <c r="G1692" s="18">
        <f>IF(D1692&lt;C1692,D1692+1-C1692,D1692-C1692)*24</f>
        <v/>
      </c>
      <c r="H1692" s="18">
        <f>MAX(0,G1692-8)</f>
        <v/>
      </c>
    </row>
    <row r="1693">
      <c r="A1693" t="n">
        <v>1135</v>
      </c>
      <c r="B1693" s="14" t="n">
        <v>46248</v>
      </c>
      <c r="C1693" s="17" t="n">
        <v>0.9375</v>
      </c>
      <c r="D1693" s="17" t="n">
        <v>0.08333333333333333</v>
      </c>
      <c r="E1693" t="inlineStr">
        <is>
          <t>Night</t>
        </is>
      </c>
      <c r="F1693" t="inlineStr">
        <is>
          <t>Aug</t>
        </is>
      </c>
      <c r="G1693" s="18">
        <f>IF(D1693&lt;C1693,D1693+1-C1693,D1693-C1693)*24</f>
        <v/>
      </c>
      <c r="H1693" s="18">
        <f>MAX(0,G1693-8)</f>
        <v/>
      </c>
    </row>
    <row r="1694">
      <c r="A1694" t="n">
        <v>1136</v>
      </c>
      <c r="B1694" s="14" t="n">
        <v>46248</v>
      </c>
      <c r="C1694" s="17" t="n">
        <v>0.9166666666666666</v>
      </c>
      <c r="D1694" s="17" t="n">
        <v>0.04166666666666666</v>
      </c>
      <c r="E1694" t="inlineStr">
        <is>
          <t>Night</t>
        </is>
      </c>
      <c r="F1694" t="inlineStr">
        <is>
          <t>Aug</t>
        </is>
      </c>
      <c r="G1694" s="18">
        <f>IF(D1694&lt;C1694,D1694+1-C1694,D1694-C1694)*24</f>
        <v/>
      </c>
      <c r="H1694" s="18">
        <f>MAX(0,G1694-8)</f>
        <v/>
      </c>
    </row>
    <row r="1695">
      <c r="A1695" t="n">
        <v>1137</v>
      </c>
      <c r="B1695" s="14" t="n">
        <v>46248</v>
      </c>
      <c r="C1695" s="17" t="n">
        <v>0.9166666666666666</v>
      </c>
      <c r="D1695" s="17" t="n">
        <v>0.125</v>
      </c>
      <c r="E1695" t="inlineStr">
        <is>
          <t>Night</t>
        </is>
      </c>
      <c r="F1695" t="inlineStr">
        <is>
          <t>Aug</t>
        </is>
      </c>
      <c r="G1695" s="18">
        <f>IF(D1695&lt;C1695,D1695+1-C1695,D1695-C1695)*24</f>
        <v/>
      </c>
      <c r="H1695" s="18">
        <f>MAX(0,G1695-8)</f>
        <v/>
      </c>
    </row>
    <row r="1696">
      <c r="A1696" t="n">
        <v>1104</v>
      </c>
      <c r="B1696" s="14" t="n">
        <v>46248</v>
      </c>
      <c r="C1696" s="17" t="n">
        <v>0.02083333333333333</v>
      </c>
      <c r="D1696" s="17" t="n">
        <v>0.2291666666666667</v>
      </c>
      <c r="E1696" t="inlineStr">
        <is>
          <t>Night</t>
        </is>
      </c>
      <c r="F1696" t="inlineStr">
        <is>
          <t>Aug</t>
        </is>
      </c>
      <c r="G1696" s="18">
        <f>IF(D1696&lt;C1696,D1696+1-C1696,D1696-C1696)*24</f>
        <v/>
      </c>
      <c r="H1696" s="18">
        <f>MAX(0,G1696-8)</f>
        <v/>
      </c>
    </row>
    <row r="1697">
      <c r="A1697" t="n">
        <v>1116</v>
      </c>
      <c r="B1697" s="14" t="n">
        <v>46248</v>
      </c>
      <c r="C1697" s="17" t="n">
        <v>0.01041666666666667</v>
      </c>
      <c r="D1697" s="17" t="n">
        <v>0.1770833333333333</v>
      </c>
      <c r="E1697" t="inlineStr">
        <is>
          <t>Night</t>
        </is>
      </c>
      <c r="F1697" t="inlineStr">
        <is>
          <t>Aug</t>
        </is>
      </c>
      <c r="G1697" s="18">
        <f>IF(D1697&lt;C1697,D1697+1-C1697,D1697-C1697)*24</f>
        <v/>
      </c>
      <c r="H1697" s="18">
        <f>MAX(0,G1697-8)</f>
        <v/>
      </c>
    </row>
    <row r="1698">
      <c r="A1698" t="n">
        <v>1119</v>
      </c>
      <c r="B1698" s="14" t="n">
        <v>46248</v>
      </c>
      <c r="C1698" s="17" t="n">
        <v>0.02083333333333333</v>
      </c>
      <c r="D1698" s="17" t="n">
        <v>0.1666666666666667</v>
      </c>
      <c r="E1698" t="inlineStr">
        <is>
          <t>Night</t>
        </is>
      </c>
      <c r="F1698" t="inlineStr">
        <is>
          <t>Aug</t>
        </is>
      </c>
      <c r="G1698" s="18">
        <f>IF(D1698&lt;C1698,D1698+1-C1698,D1698-C1698)*24</f>
        <v/>
      </c>
      <c r="H1698" s="18">
        <f>MAX(0,G1698-8)</f>
        <v/>
      </c>
    </row>
    <row r="1699">
      <c r="A1699" t="n">
        <v>1121</v>
      </c>
      <c r="B1699" s="14" t="n">
        <v>46248</v>
      </c>
      <c r="C1699" s="17" t="n">
        <v>0.02083333333333333</v>
      </c>
      <c r="D1699" s="17" t="n">
        <v>0.2291666666666667</v>
      </c>
      <c r="E1699" t="inlineStr">
        <is>
          <t>Night</t>
        </is>
      </c>
      <c r="F1699" t="inlineStr">
        <is>
          <t>Aug</t>
        </is>
      </c>
      <c r="G1699" s="18">
        <f>IF(D1699&lt;C1699,D1699+1-C1699,D1699-C1699)*24</f>
        <v/>
      </c>
      <c r="H1699" s="18">
        <f>MAX(0,G1699-8)</f>
        <v/>
      </c>
    </row>
    <row r="1700">
      <c r="A1700" t="n">
        <v>1132</v>
      </c>
      <c r="B1700" s="14" t="n">
        <v>46248</v>
      </c>
      <c r="C1700" s="17" t="n">
        <v>0.01041666666666667</v>
      </c>
      <c r="D1700" s="17" t="n">
        <v>0.21875</v>
      </c>
      <c r="E1700" t="inlineStr">
        <is>
          <t>Night</t>
        </is>
      </c>
      <c r="F1700" t="inlineStr">
        <is>
          <t>Aug</t>
        </is>
      </c>
      <c r="G1700" s="18">
        <f>IF(D1700&lt;C1700,D1700+1-C1700,D1700-C1700)*24</f>
        <v/>
      </c>
      <c r="H1700" s="18">
        <f>MAX(0,G1700-8)</f>
        <v/>
      </c>
    </row>
    <row r="1701">
      <c r="A1701" t="n">
        <v>1147</v>
      </c>
      <c r="B1701" s="14" t="n">
        <v>46248</v>
      </c>
      <c r="C1701" s="17" t="n">
        <v>0.01041666666666667</v>
      </c>
      <c r="D1701" s="17" t="n">
        <v>0.15625</v>
      </c>
      <c r="E1701" t="inlineStr">
        <is>
          <t>Night</t>
        </is>
      </c>
      <c r="F1701" t="inlineStr">
        <is>
          <t>Aug</t>
        </is>
      </c>
      <c r="G1701" s="18">
        <f>IF(D1701&lt;C1701,D1701+1-C1701,D1701-C1701)*24</f>
        <v/>
      </c>
      <c r="H1701" s="18">
        <f>MAX(0,G1701-8)</f>
        <v/>
      </c>
    </row>
    <row r="1702">
      <c r="A1702" t="n">
        <v>1201</v>
      </c>
      <c r="B1702" s="14" t="n">
        <v>46248</v>
      </c>
      <c r="C1702" s="17" t="n">
        <v>0.25</v>
      </c>
      <c r="D1702" s="17" t="n">
        <v>0.625</v>
      </c>
      <c r="E1702" t="inlineStr">
        <is>
          <t>Day</t>
        </is>
      </c>
      <c r="F1702" t="inlineStr">
        <is>
          <t>Aug</t>
        </is>
      </c>
      <c r="G1702" s="18">
        <f>IF(D1702&lt;C1702,D1702+1-C1702,D1702-C1702)*24</f>
        <v/>
      </c>
      <c r="H1702" s="18">
        <f>MAX(0,G1702-8)</f>
        <v/>
      </c>
    </row>
    <row r="1703">
      <c r="A1703" t="n">
        <v>1202</v>
      </c>
      <c r="B1703" s="14" t="n">
        <v>46248</v>
      </c>
      <c r="C1703" s="17" t="n">
        <v>0.2708333333333333</v>
      </c>
      <c r="D1703" s="17" t="n">
        <v>0.6875</v>
      </c>
      <c r="E1703" t="inlineStr">
        <is>
          <t>Day</t>
        </is>
      </c>
      <c r="F1703" t="inlineStr">
        <is>
          <t>Aug</t>
        </is>
      </c>
      <c r="G1703" s="18">
        <f>IF(D1703&lt;C1703,D1703+1-C1703,D1703-C1703)*24</f>
        <v/>
      </c>
      <c r="H1703" s="18">
        <f>MAX(0,G1703-8)</f>
        <v/>
      </c>
    </row>
    <row r="1704">
      <c r="A1704" t="n">
        <v>1204</v>
      </c>
      <c r="B1704" s="14" t="n">
        <v>46248</v>
      </c>
      <c r="C1704" s="17" t="n">
        <v>0.25</v>
      </c>
      <c r="D1704" s="17" t="n">
        <v>0.625</v>
      </c>
      <c r="E1704" t="inlineStr">
        <is>
          <t>Day</t>
        </is>
      </c>
      <c r="F1704" t="inlineStr">
        <is>
          <t>Aug</t>
        </is>
      </c>
      <c r="G1704" s="18">
        <f>IF(D1704&lt;C1704,D1704+1-C1704,D1704-C1704)*24</f>
        <v/>
      </c>
      <c r="H1704" s="18">
        <f>MAX(0,G1704-8)</f>
        <v/>
      </c>
    </row>
    <row r="1705">
      <c r="A1705" t="n">
        <v>1205</v>
      </c>
      <c r="B1705" s="14" t="n">
        <v>46248</v>
      </c>
      <c r="C1705" s="17" t="n">
        <v>0.25</v>
      </c>
      <c r="D1705" s="17" t="n">
        <v>0.5833333333333334</v>
      </c>
      <c r="E1705" t="inlineStr">
        <is>
          <t>Day</t>
        </is>
      </c>
      <c r="F1705" t="inlineStr">
        <is>
          <t>Aug</t>
        </is>
      </c>
      <c r="G1705" s="18">
        <f>IF(D1705&lt;C1705,D1705+1-C1705,D1705-C1705)*24</f>
        <v/>
      </c>
      <c r="H1705" s="18">
        <f>MAX(0,G1705-8)</f>
        <v/>
      </c>
    </row>
    <row r="1706">
      <c r="A1706" t="n">
        <v>1206</v>
      </c>
      <c r="B1706" s="14" t="n">
        <v>46248</v>
      </c>
      <c r="C1706" s="17" t="n">
        <v>0.25</v>
      </c>
      <c r="D1706" s="17" t="n">
        <v>0.5833333333333334</v>
      </c>
      <c r="E1706" t="inlineStr">
        <is>
          <t>Day</t>
        </is>
      </c>
      <c r="F1706" t="inlineStr">
        <is>
          <t>Aug</t>
        </is>
      </c>
      <c r="G1706" s="18">
        <f>IF(D1706&lt;C1706,D1706+1-C1706,D1706-C1706)*24</f>
        <v/>
      </c>
      <c r="H1706" s="18">
        <f>MAX(0,G1706-8)</f>
        <v/>
      </c>
    </row>
    <row r="1707">
      <c r="A1707" t="n">
        <v>1207</v>
      </c>
      <c r="B1707" s="14" t="n">
        <v>46248</v>
      </c>
      <c r="C1707" s="17" t="n">
        <v>0.2708333333333333</v>
      </c>
      <c r="D1707" s="17" t="n">
        <v>0.6458333333333334</v>
      </c>
      <c r="E1707" t="inlineStr">
        <is>
          <t>Day</t>
        </is>
      </c>
      <c r="F1707" t="inlineStr">
        <is>
          <t>Aug</t>
        </is>
      </c>
      <c r="G1707" s="18">
        <f>IF(D1707&lt;C1707,D1707+1-C1707,D1707-C1707)*24</f>
        <v/>
      </c>
      <c r="H1707" s="18">
        <f>MAX(0,G1707-8)</f>
        <v/>
      </c>
    </row>
    <row r="1708">
      <c r="A1708" t="n">
        <v>1208</v>
      </c>
      <c r="B1708" s="14" t="n">
        <v>46248</v>
      </c>
      <c r="C1708" s="17" t="n">
        <v>0.25</v>
      </c>
      <c r="D1708" s="17" t="n">
        <v>0.625</v>
      </c>
      <c r="E1708" t="inlineStr">
        <is>
          <t>Day</t>
        </is>
      </c>
      <c r="F1708" t="inlineStr">
        <is>
          <t>Aug</t>
        </is>
      </c>
      <c r="G1708" s="18">
        <f>IF(D1708&lt;C1708,D1708+1-C1708,D1708-C1708)*24</f>
        <v/>
      </c>
      <c r="H1708" s="18">
        <f>MAX(0,G1708-8)</f>
        <v/>
      </c>
    </row>
    <row r="1709">
      <c r="A1709" t="n">
        <v>1209</v>
      </c>
      <c r="B1709" s="14" t="n">
        <v>46248</v>
      </c>
      <c r="C1709" s="17" t="n">
        <v>0.25</v>
      </c>
      <c r="D1709" s="17" t="n">
        <v>0.5833333333333334</v>
      </c>
      <c r="E1709" t="inlineStr">
        <is>
          <t>Day</t>
        </is>
      </c>
      <c r="F1709" t="inlineStr">
        <is>
          <t>Aug</t>
        </is>
      </c>
      <c r="G1709" s="18">
        <f>IF(D1709&lt;C1709,D1709+1-C1709,D1709-C1709)*24</f>
        <v/>
      </c>
      <c r="H1709" s="18">
        <f>MAX(0,G1709-8)</f>
        <v/>
      </c>
    </row>
    <row r="1710">
      <c r="A1710" t="n">
        <v>1210</v>
      </c>
      <c r="B1710" s="14" t="n">
        <v>46248</v>
      </c>
      <c r="C1710" s="17" t="n">
        <v>0.25</v>
      </c>
      <c r="D1710" s="17" t="n">
        <v>0.6041666666666666</v>
      </c>
      <c r="E1710" t="inlineStr">
        <is>
          <t>Day</t>
        </is>
      </c>
      <c r="F1710" t="inlineStr">
        <is>
          <t>Aug</t>
        </is>
      </c>
      <c r="G1710" s="18">
        <f>IF(D1710&lt;C1710,D1710+1-C1710,D1710-C1710)*24</f>
        <v/>
      </c>
      <c r="H1710" s="18">
        <f>MAX(0,G1710-8)</f>
        <v/>
      </c>
    </row>
    <row r="1711">
      <c r="A1711" t="n">
        <v>1211</v>
      </c>
      <c r="B1711" s="14" t="n">
        <v>46248</v>
      </c>
      <c r="C1711" s="17" t="n">
        <v>0.25</v>
      </c>
      <c r="D1711" s="17" t="n">
        <v>0.6666666666666666</v>
      </c>
      <c r="E1711" t="inlineStr">
        <is>
          <t>Day</t>
        </is>
      </c>
      <c r="F1711" t="inlineStr">
        <is>
          <t>Aug</t>
        </is>
      </c>
      <c r="G1711" s="18">
        <f>IF(D1711&lt;C1711,D1711+1-C1711,D1711-C1711)*24</f>
        <v/>
      </c>
      <c r="H1711" s="18">
        <f>MAX(0,G1711-8)</f>
        <v/>
      </c>
    </row>
    <row r="1712">
      <c r="A1712" t="n">
        <v>1212</v>
      </c>
      <c r="B1712" s="14" t="n">
        <v>46248</v>
      </c>
      <c r="C1712" s="17" t="n">
        <v>0.2708333333333333</v>
      </c>
      <c r="D1712" s="17" t="n">
        <v>0.625</v>
      </c>
      <c r="E1712" t="inlineStr">
        <is>
          <t>Day</t>
        </is>
      </c>
      <c r="F1712" t="inlineStr">
        <is>
          <t>Aug</t>
        </is>
      </c>
      <c r="G1712" s="18">
        <f>IF(D1712&lt;C1712,D1712+1-C1712,D1712-C1712)*24</f>
        <v/>
      </c>
      <c r="H1712" s="18">
        <f>MAX(0,G1712-8)</f>
        <v/>
      </c>
    </row>
    <row r="1713">
      <c r="A1713" t="n">
        <v>1213</v>
      </c>
      <c r="B1713" s="14" t="n">
        <v>46248</v>
      </c>
      <c r="C1713" s="17" t="n">
        <v>0.2708333333333333</v>
      </c>
      <c r="D1713" s="17" t="n">
        <v>0.6041666666666666</v>
      </c>
      <c r="E1713" t="inlineStr">
        <is>
          <t>Day</t>
        </is>
      </c>
      <c r="F1713" t="inlineStr">
        <is>
          <t>Aug</t>
        </is>
      </c>
      <c r="G1713" s="18">
        <f>IF(D1713&lt;C1713,D1713+1-C1713,D1713-C1713)*24</f>
        <v/>
      </c>
      <c r="H1713" s="18">
        <f>MAX(0,G1713-8)</f>
        <v/>
      </c>
    </row>
    <row r="1714">
      <c r="A1714" t="n">
        <v>1214</v>
      </c>
      <c r="B1714" s="14" t="n">
        <v>46248</v>
      </c>
      <c r="C1714" s="17" t="n">
        <v>0.2708333333333333</v>
      </c>
      <c r="D1714" s="17" t="n">
        <v>0.6458333333333334</v>
      </c>
      <c r="E1714" t="inlineStr">
        <is>
          <t>Day</t>
        </is>
      </c>
      <c r="F1714" t="inlineStr">
        <is>
          <t>Aug</t>
        </is>
      </c>
      <c r="G1714" s="18">
        <f>IF(D1714&lt;C1714,D1714+1-C1714,D1714-C1714)*24</f>
        <v/>
      </c>
      <c r="H1714" s="18">
        <f>MAX(0,G1714-8)</f>
        <v/>
      </c>
    </row>
    <row r="1715">
      <c r="A1715" t="n">
        <v>1215</v>
      </c>
      <c r="B1715" s="14" t="n">
        <v>46248</v>
      </c>
      <c r="C1715" s="17" t="n">
        <v>0.25</v>
      </c>
      <c r="D1715" s="17" t="n">
        <v>0.6666666666666666</v>
      </c>
      <c r="E1715" t="inlineStr">
        <is>
          <t>Day</t>
        </is>
      </c>
      <c r="F1715" t="inlineStr">
        <is>
          <t>Aug</t>
        </is>
      </c>
      <c r="G1715" s="18">
        <f>IF(D1715&lt;C1715,D1715+1-C1715,D1715-C1715)*24</f>
        <v/>
      </c>
      <c r="H1715" s="18">
        <f>MAX(0,G1715-8)</f>
        <v/>
      </c>
    </row>
    <row r="1716">
      <c r="A1716" t="n">
        <v>1216</v>
      </c>
      <c r="B1716" s="14" t="n">
        <v>46248</v>
      </c>
      <c r="C1716" s="17" t="n">
        <v>0.2708333333333333</v>
      </c>
      <c r="D1716" s="17" t="n">
        <v>0.6041666666666666</v>
      </c>
      <c r="E1716" t="inlineStr">
        <is>
          <t>Day</t>
        </is>
      </c>
      <c r="F1716" t="inlineStr">
        <is>
          <t>Aug</t>
        </is>
      </c>
      <c r="G1716" s="18">
        <f>IF(D1716&lt;C1716,D1716+1-C1716,D1716-C1716)*24</f>
        <v/>
      </c>
      <c r="H1716" s="18">
        <f>MAX(0,G1716-8)</f>
        <v/>
      </c>
    </row>
    <row r="1717">
      <c r="A1717" t="n">
        <v>1217</v>
      </c>
      <c r="B1717" s="14" t="n">
        <v>46248</v>
      </c>
      <c r="C1717" s="17" t="n">
        <v>0.25</v>
      </c>
      <c r="D1717" s="17" t="n">
        <v>0.625</v>
      </c>
      <c r="E1717" t="inlineStr">
        <is>
          <t>Day</t>
        </is>
      </c>
      <c r="F1717" t="inlineStr">
        <is>
          <t>Aug</t>
        </is>
      </c>
      <c r="G1717" s="18">
        <f>IF(D1717&lt;C1717,D1717+1-C1717,D1717-C1717)*24</f>
        <v/>
      </c>
      <c r="H1717" s="18">
        <f>MAX(0,G1717-8)</f>
        <v/>
      </c>
    </row>
    <row r="1718">
      <c r="A1718" t="n">
        <v>1219</v>
      </c>
      <c r="B1718" s="14" t="n">
        <v>46248</v>
      </c>
      <c r="C1718" s="17" t="n">
        <v>0.25</v>
      </c>
      <c r="D1718" s="17" t="n">
        <v>0.6666666666666666</v>
      </c>
      <c r="E1718" t="inlineStr">
        <is>
          <t>Day</t>
        </is>
      </c>
      <c r="F1718" t="inlineStr">
        <is>
          <t>Aug</t>
        </is>
      </c>
      <c r="G1718" s="18">
        <f>IF(D1718&lt;C1718,D1718+1-C1718,D1718-C1718)*24</f>
        <v/>
      </c>
      <c r="H1718" s="18">
        <f>MAX(0,G1718-8)</f>
        <v/>
      </c>
    </row>
    <row r="1719">
      <c r="A1719" t="n">
        <v>1220</v>
      </c>
      <c r="B1719" s="14" t="n">
        <v>46248</v>
      </c>
      <c r="C1719" s="17" t="n">
        <v>0.25</v>
      </c>
      <c r="D1719" s="17" t="n">
        <v>0.5833333333333334</v>
      </c>
      <c r="E1719" t="inlineStr">
        <is>
          <t>Day</t>
        </is>
      </c>
      <c r="F1719" t="inlineStr">
        <is>
          <t>Aug</t>
        </is>
      </c>
      <c r="G1719" s="18">
        <f>IF(D1719&lt;C1719,D1719+1-C1719,D1719-C1719)*24</f>
        <v/>
      </c>
      <c r="H1719" s="18">
        <f>MAX(0,G1719-8)</f>
        <v/>
      </c>
    </row>
    <row r="1720">
      <c r="A1720" t="n">
        <v>1101</v>
      </c>
      <c r="B1720" s="14" t="n">
        <v>46251</v>
      </c>
      <c r="C1720" s="17" t="n">
        <v>0.9270833333333334</v>
      </c>
      <c r="D1720" s="17" t="n">
        <v>0.3020833333333333</v>
      </c>
      <c r="E1720" t="inlineStr">
        <is>
          <t>Night</t>
        </is>
      </c>
      <c r="F1720" t="inlineStr">
        <is>
          <t>Aug</t>
        </is>
      </c>
      <c r="G1720" s="18">
        <f>IF(D1720&lt;C1720,D1720+1-C1720,D1720-C1720)*24</f>
        <v/>
      </c>
      <c r="H1720" s="18">
        <f>MAX(0,G1720-8)</f>
        <v/>
      </c>
    </row>
    <row r="1721">
      <c r="A1721" t="n">
        <v>1102</v>
      </c>
      <c r="B1721" s="14" t="n">
        <v>46251</v>
      </c>
      <c r="C1721" s="17" t="n">
        <v>0.9270833333333334</v>
      </c>
      <c r="D1721" s="17" t="n">
        <v>0.3854166666666667</v>
      </c>
      <c r="E1721" t="inlineStr">
        <is>
          <t>Night</t>
        </is>
      </c>
      <c r="F1721" t="inlineStr">
        <is>
          <t>Aug</t>
        </is>
      </c>
      <c r="G1721" s="18">
        <f>IF(D1721&lt;C1721,D1721+1-C1721,D1721-C1721)*24</f>
        <v/>
      </c>
      <c r="H1721" s="18">
        <f>MAX(0,G1721-8)</f>
        <v/>
      </c>
    </row>
    <row r="1722">
      <c r="A1722" t="n">
        <v>1103</v>
      </c>
      <c r="B1722" s="14" t="n">
        <v>46251</v>
      </c>
      <c r="C1722" s="17" t="n">
        <v>0.9375</v>
      </c>
      <c r="D1722" s="17" t="n">
        <v>0.2708333333333333</v>
      </c>
      <c r="E1722" t="inlineStr">
        <is>
          <t>Night</t>
        </is>
      </c>
      <c r="F1722" t="inlineStr">
        <is>
          <t>Aug</t>
        </is>
      </c>
      <c r="G1722" s="18">
        <f>IF(D1722&lt;C1722,D1722+1-C1722,D1722-C1722)*24</f>
        <v/>
      </c>
      <c r="H1722" s="18">
        <f>MAX(0,G1722-8)</f>
        <v/>
      </c>
    </row>
    <row r="1723">
      <c r="A1723" t="n">
        <v>1104</v>
      </c>
      <c r="B1723" s="14" t="n">
        <v>46251</v>
      </c>
      <c r="C1723" s="17" t="n">
        <v>0.9166666666666666</v>
      </c>
      <c r="D1723" s="17" t="n">
        <v>0.2916666666666667</v>
      </c>
      <c r="E1723" t="inlineStr">
        <is>
          <t>Night</t>
        </is>
      </c>
      <c r="F1723" t="inlineStr">
        <is>
          <t>Aug</t>
        </is>
      </c>
      <c r="G1723" s="18">
        <f>IF(D1723&lt;C1723,D1723+1-C1723,D1723-C1723)*24</f>
        <v/>
      </c>
      <c r="H1723" s="18">
        <f>MAX(0,G1723-8)</f>
        <v/>
      </c>
    </row>
    <row r="1724">
      <c r="A1724" t="n">
        <v>1106</v>
      </c>
      <c r="B1724" s="14" t="n">
        <v>46251</v>
      </c>
      <c r="C1724" s="17" t="n">
        <v>0.9166666666666666</v>
      </c>
      <c r="D1724" s="17" t="n">
        <v>0.25</v>
      </c>
      <c r="E1724" t="inlineStr">
        <is>
          <t>Night</t>
        </is>
      </c>
      <c r="F1724" t="inlineStr">
        <is>
          <t>Aug</t>
        </is>
      </c>
      <c r="G1724" s="18">
        <f>IF(D1724&lt;C1724,D1724+1-C1724,D1724-C1724)*24</f>
        <v/>
      </c>
      <c r="H1724" s="18">
        <f>MAX(0,G1724-8)</f>
        <v/>
      </c>
    </row>
    <row r="1725">
      <c r="A1725" t="n">
        <v>1107</v>
      </c>
      <c r="B1725" s="14" t="n">
        <v>46251</v>
      </c>
      <c r="C1725" s="17" t="n">
        <v>0.9166666666666666</v>
      </c>
      <c r="D1725" s="17" t="n">
        <v>0.3541666666666667</v>
      </c>
      <c r="E1725" t="inlineStr">
        <is>
          <t>Night</t>
        </is>
      </c>
      <c r="F1725" t="inlineStr">
        <is>
          <t>Aug</t>
        </is>
      </c>
      <c r="G1725" s="18">
        <f>IF(D1725&lt;C1725,D1725+1-C1725,D1725-C1725)*24</f>
        <v/>
      </c>
      <c r="H1725" s="18">
        <f>MAX(0,G1725-8)</f>
        <v/>
      </c>
    </row>
    <row r="1726">
      <c r="A1726" t="n">
        <v>1109</v>
      </c>
      <c r="B1726" s="14" t="n">
        <v>46251</v>
      </c>
      <c r="C1726" s="17" t="n">
        <v>0.9166666666666666</v>
      </c>
      <c r="D1726" s="17" t="n">
        <v>0.3541666666666667</v>
      </c>
      <c r="E1726" t="inlineStr">
        <is>
          <t>Night</t>
        </is>
      </c>
      <c r="F1726" t="inlineStr">
        <is>
          <t>Aug</t>
        </is>
      </c>
      <c r="G1726" s="18">
        <f>IF(D1726&lt;C1726,D1726+1-C1726,D1726-C1726)*24</f>
        <v/>
      </c>
      <c r="H1726" s="18">
        <f>MAX(0,G1726-8)</f>
        <v/>
      </c>
    </row>
    <row r="1727">
      <c r="A1727" t="n">
        <v>1110</v>
      </c>
      <c r="B1727" s="14" t="n">
        <v>46251</v>
      </c>
      <c r="C1727" s="17" t="n">
        <v>0.9166666666666666</v>
      </c>
      <c r="D1727" s="17" t="n">
        <v>0.3333333333333333</v>
      </c>
      <c r="E1727" t="inlineStr">
        <is>
          <t>Night</t>
        </is>
      </c>
      <c r="F1727" t="inlineStr">
        <is>
          <t>Aug</t>
        </is>
      </c>
      <c r="G1727" s="18">
        <f>IF(D1727&lt;C1727,D1727+1-C1727,D1727-C1727)*24</f>
        <v/>
      </c>
      <c r="H1727" s="18">
        <f>MAX(0,G1727-8)</f>
        <v/>
      </c>
    </row>
    <row r="1728">
      <c r="A1728" t="n">
        <v>1111</v>
      </c>
      <c r="B1728" s="14" t="n">
        <v>46251</v>
      </c>
      <c r="C1728" s="17" t="n">
        <v>0.9166666666666666</v>
      </c>
      <c r="D1728" s="17" t="n">
        <v>0.25</v>
      </c>
      <c r="E1728" t="inlineStr">
        <is>
          <t>Night</t>
        </is>
      </c>
      <c r="F1728" t="inlineStr">
        <is>
          <t>Aug</t>
        </is>
      </c>
      <c r="G1728" s="18">
        <f>IF(D1728&lt;C1728,D1728+1-C1728,D1728-C1728)*24</f>
        <v/>
      </c>
      <c r="H1728" s="18">
        <f>MAX(0,G1728-8)</f>
        <v/>
      </c>
    </row>
    <row r="1729">
      <c r="A1729" t="n">
        <v>1112</v>
      </c>
      <c r="B1729" s="14" t="n">
        <v>46251</v>
      </c>
      <c r="C1729" s="17" t="n">
        <v>0.9166666666666666</v>
      </c>
      <c r="D1729" s="17" t="n">
        <v>0.25</v>
      </c>
      <c r="E1729" t="inlineStr">
        <is>
          <t>Night</t>
        </is>
      </c>
      <c r="F1729" t="inlineStr">
        <is>
          <t>Aug</t>
        </is>
      </c>
      <c r="G1729" s="18">
        <f>IF(D1729&lt;C1729,D1729+1-C1729,D1729-C1729)*24</f>
        <v/>
      </c>
      <c r="H1729" s="18">
        <f>MAX(0,G1729-8)</f>
        <v/>
      </c>
    </row>
    <row r="1730">
      <c r="A1730" t="n">
        <v>1113</v>
      </c>
      <c r="B1730" s="14" t="n">
        <v>46251</v>
      </c>
      <c r="C1730" s="17" t="n">
        <v>0.9166666666666666</v>
      </c>
      <c r="D1730" s="17" t="n">
        <v>0.2916666666666667</v>
      </c>
      <c r="E1730" t="inlineStr">
        <is>
          <t>Night</t>
        </is>
      </c>
      <c r="F1730" t="inlineStr">
        <is>
          <t>Aug</t>
        </is>
      </c>
      <c r="G1730" s="18">
        <f>IF(D1730&lt;C1730,D1730+1-C1730,D1730-C1730)*24</f>
        <v/>
      </c>
      <c r="H1730" s="18">
        <f>MAX(0,G1730-8)</f>
        <v/>
      </c>
    </row>
    <row r="1731">
      <c r="A1731" t="n">
        <v>1114</v>
      </c>
      <c r="B1731" s="14" t="n">
        <v>46251</v>
      </c>
      <c r="C1731" s="17" t="n">
        <v>0.9166666666666666</v>
      </c>
      <c r="D1731" s="17" t="n">
        <v>0.2708333333333333</v>
      </c>
      <c r="E1731" t="inlineStr">
        <is>
          <t>Night</t>
        </is>
      </c>
      <c r="F1731" t="inlineStr">
        <is>
          <t>Aug</t>
        </is>
      </c>
      <c r="G1731" s="18">
        <f>IF(D1731&lt;C1731,D1731+1-C1731,D1731-C1731)*24</f>
        <v/>
      </c>
      <c r="H1731" s="18">
        <f>MAX(0,G1731-8)</f>
        <v/>
      </c>
    </row>
    <row r="1732">
      <c r="A1732" t="n">
        <v>1115</v>
      </c>
      <c r="B1732" s="14" t="n">
        <v>46251</v>
      </c>
      <c r="C1732" s="17" t="n">
        <v>0.9375</v>
      </c>
      <c r="D1732" s="17" t="n">
        <v>0.2708333333333333</v>
      </c>
      <c r="E1732" t="inlineStr">
        <is>
          <t>Night</t>
        </is>
      </c>
      <c r="F1732" t="inlineStr">
        <is>
          <t>Aug</t>
        </is>
      </c>
      <c r="G1732" s="18">
        <f>IF(D1732&lt;C1732,D1732+1-C1732,D1732-C1732)*24</f>
        <v/>
      </c>
      <c r="H1732" s="18">
        <f>MAX(0,G1732-8)</f>
        <v/>
      </c>
    </row>
    <row r="1733">
      <c r="A1733" t="n">
        <v>1116</v>
      </c>
      <c r="B1733" s="14" t="n">
        <v>46251</v>
      </c>
      <c r="C1733" s="17" t="n">
        <v>0.9270833333333334</v>
      </c>
      <c r="D1733" s="17" t="n">
        <v>0.28125</v>
      </c>
      <c r="E1733" t="inlineStr">
        <is>
          <t>Night</t>
        </is>
      </c>
      <c r="F1733" t="inlineStr">
        <is>
          <t>Aug</t>
        </is>
      </c>
      <c r="G1733" s="18">
        <f>IF(D1733&lt;C1733,D1733+1-C1733,D1733-C1733)*24</f>
        <v/>
      </c>
      <c r="H1733" s="18">
        <f>MAX(0,G1733-8)</f>
        <v/>
      </c>
    </row>
    <row r="1734">
      <c r="A1734" t="n">
        <v>1117</v>
      </c>
      <c r="B1734" s="14" t="n">
        <v>46251</v>
      </c>
      <c r="C1734" s="17" t="n">
        <v>0.9375</v>
      </c>
      <c r="D1734" s="17" t="n">
        <v>0.3541666666666667</v>
      </c>
      <c r="E1734" t="inlineStr">
        <is>
          <t>Night</t>
        </is>
      </c>
      <c r="F1734" t="inlineStr">
        <is>
          <t>Aug</t>
        </is>
      </c>
      <c r="G1734" s="18">
        <f>IF(D1734&lt;C1734,D1734+1-C1734,D1734-C1734)*24</f>
        <v/>
      </c>
      <c r="H1734" s="18">
        <f>MAX(0,G1734-8)</f>
        <v/>
      </c>
    </row>
    <row r="1735">
      <c r="A1735" t="n">
        <v>1118</v>
      </c>
      <c r="B1735" s="14" t="n">
        <v>46251</v>
      </c>
      <c r="C1735" s="17" t="n">
        <v>0.9166666666666666</v>
      </c>
      <c r="D1735" s="17" t="n">
        <v>0.2708333333333333</v>
      </c>
      <c r="E1735" t="inlineStr">
        <is>
          <t>Night</t>
        </is>
      </c>
      <c r="F1735" t="inlineStr">
        <is>
          <t>Aug</t>
        </is>
      </c>
      <c r="G1735" s="18">
        <f>IF(D1735&lt;C1735,D1735+1-C1735,D1735-C1735)*24</f>
        <v/>
      </c>
      <c r="H1735" s="18">
        <f>MAX(0,G1735-8)</f>
        <v/>
      </c>
    </row>
    <row r="1736">
      <c r="A1736" t="n">
        <v>1119</v>
      </c>
      <c r="B1736" s="14" t="n">
        <v>46251</v>
      </c>
      <c r="C1736" s="17" t="n">
        <v>0.9166666666666666</v>
      </c>
      <c r="D1736" s="17" t="n">
        <v>0.2708333333333333</v>
      </c>
      <c r="E1736" t="inlineStr">
        <is>
          <t>Night</t>
        </is>
      </c>
      <c r="F1736" t="inlineStr">
        <is>
          <t>Aug</t>
        </is>
      </c>
      <c r="G1736" s="18">
        <f>IF(D1736&lt;C1736,D1736+1-C1736,D1736-C1736)*24</f>
        <v/>
      </c>
      <c r="H1736" s="18">
        <f>MAX(0,G1736-8)</f>
        <v/>
      </c>
    </row>
    <row r="1737">
      <c r="A1737" t="n">
        <v>1120</v>
      </c>
      <c r="B1737" s="14" t="n">
        <v>46251</v>
      </c>
      <c r="C1737" s="17" t="n">
        <v>0.9166666666666666</v>
      </c>
      <c r="D1737" s="17" t="n">
        <v>0.2916666666666667</v>
      </c>
      <c r="E1737" t="inlineStr">
        <is>
          <t>Night</t>
        </is>
      </c>
      <c r="F1737" t="inlineStr">
        <is>
          <t>Aug</t>
        </is>
      </c>
      <c r="G1737" s="18">
        <f>IF(D1737&lt;C1737,D1737+1-C1737,D1737-C1737)*24</f>
        <v/>
      </c>
      <c r="H1737" s="18">
        <f>MAX(0,G1737-8)</f>
        <v/>
      </c>
    </row>
    <row r="1738">
      <c r="A1738" t="n">
        <v>1121</v>
      </c>
      <c r="B1738" s="14" t="n">
        <v>46251</v>
      </c>
      <c r="C1738" s="17" t="n">
        <v>0.9166666666666666</v>
      </c>
      <c r="D1738" s="17" t="n">
        <v>0.2708333333333333</v>
      </c>
      <c r="E1738" t="inlineStr">
        <is>
          <t>Night</t>
        </is>
      </c>
      <c r="F1738" t="inlineStr">
        <is>
          <t>Aug</t>
        </is>
      </c>
      <c r="G1738" s="18">
        <f>IF(D1738&lt;C1738,D1738+1-C1738,D1738-C1738)*24</f>
        <v/>
      </c>
      <c r="H1738" s="18">
        <f>MAX(0,G1738-8)</f>
        <v/>
      </c>
    </row>
    <row r="1739">
      <c r="A1739" t="n">
        <v>1123</v>
      </c>
      <c r="B1739" s="14" t="n">
        <v>46251</v>
      </c>
      <c r="C1739" s="17" t="n">
        <v>0.9166666666666666</v>
      </c>
      <c r="D1739" s="17" t="n">
        <v>0.375</v>
      </c>
      <c r="E1739" t="inlineStr">
        <is>
          <t>Night</t>
        </is>
      </c>
      <c r="F1739" t="inlineStr">
        <is>
          <t>Aug</t>
        </is>
      </c>
      <c r="G1739" s="18">
        <f>IF(D1739&lt;C1739,D1739+1-C1739,D1739-C1739)*24</f>
        <v/>
      </c>
      <c r="H1739" s="18">
        <f>MAX(0,G1739-8)</f>
        <v/>
      </c>
    </row>
    <row r="1740">
      <c r="A1740" t="n">
        <v>1124</v>
      </c>
      <c r="B1740" s="14" t="n">
        <v>46251</v>
      </c>
      <c r="C1740" s="17" t="n">
        <v>0.9166666666666666</v>
      </c>
      <c r="D1740" s="17" t="n">
        <v>0.2708333333333333</v>
      </c>
      <c r="E1740" t="inlineStr">
        <is>
          <t>Night</t>
        </is>
      </c>
      <c r="F1740" t="inlineStr">
        <is>
          <t>Aug</t>
        </is>
      </c>
      <c r="G1740" s="18">
        <f>IF(D1740&lt;C1740,D1740+1-C1740,D1740-C1740)*24</f>
        <v/>
      </c>
      <c r="H1740" s="18">
        <f>MAX(0,G1740-8)</f>
        <v/>
      </c>
    </row>
    <row r="1741">
      <c r="A1741" t="n">
        <v>1125</v>
      </c>
      <c r="B1741" s="14" t="n">
        <v>46251</v>
      </c>
      <c r="C1741" s="17" t="n">
        <v>0.9166666666666666</v>
      </c>
      <c r="D1741" s="17" t="n">
        <v>0.2708333333333333</v>
      </c>
      <c r="E1741" t="inlineStr">
        <is>
          <t>Night</t>
        </is>
      </c>
      <c r="F1741" t="inlineStr">
        <is>
          <t>Aug</t>
        </is>
      </c>
      <c r="G1741" s="18">
        <f>IF(D1741&lt;C1741,D1741+1-C1741,D1741-C1741)*24</f>
        <v/>
      </c>
      <c r="H1741" s="18">
        <f>MAX(0,G1741-8)</f>
        <v/>
      </c>
    </row>
    <row r="1742">
      <c r="A1742" t="n">
        <v>1126</v>
      </c>
      <c r="B1742" s="14" t="n">
        <v>46251</v>
      </c>
      <c r="C1742" s="17" t="n">
        <v>0.9270833333333334</v>
      </c>
      <c r="D1742" s="17" t="n">
        <v>0.2604166666666667</v>
      </c>
      <c r="E1742" t="inlineStr">
        <is>
          <t>Night</t>
        </is>
      </c>
      <c r="F1742" t="inlineStr">
        <is>
          <t>Aug</t>
        </is>
      </c>
      <c r="G1742" s="18">
        <f>IF(D1742&lt;C1742,D1742+1-C1742,D1742-C1742)*24</f>
        <v/>
      </c>
      <c r="H1742" s="18">
        <f>MAX(0,G1742-8)</f>
        <v/>
      </c>
    </row>
    <row r="1743">
      <c r="A1743" t="n">
        <v>1129</v>
      </c>
      <c r="B1743" s="14" t="n">
        <v>46251</v>
      </c>
      <c r="C1743" s="17" t="n">
        <v>0.9166666666666666</v>
      </c>
      <c r="D1743" s="17" t="n">
        <v>0.3958333333333333</v>
      </c>
      <c r="E1743" t="inlineStr">
        <is>
          <t>Night</t>
        </is>
      </c>
      <c r="F1743" t="inlineStr">
        <is>
          <t>Aug</t>
        </is>
      </c>
      <c r="G1743" s="18">
        <f>IF(D1743&lt;C1743,D1743+1-C1743,D1743-C1743)*24</f>
        <v/>
      </c>
      <c r="H1743" s="18">
        <f>MAX(0,G1743-8)</f>
        <v/>
      </c>
    </row>
    <row r="1744">
      <c r="A1744" t="n">
        <v>1130</v>
      </c>
      <c r="B1744" s="14" t="n">
        <v>46251</v>
      </c>
      <c r="C1744" s="17" t="n">
        <v>0.9166666666666666</v>
      </c>
      <c r="D1744" s="17" t="n">
        <v>0.3333333333333333</v>
      </c>
      <c r="E1744" t="inlineStr">
        <is>
          <t>Night</t>
        </is>
      </c>
      <c r="F1744" t="inlineStr">
        <is>
          <t>Aug</t>
        </is>
      </c>
      <c r="G1744" s="18">
        <f>IF(D1744&lt;C1744,D1744+1-C1744,D1744-C1744)*24</f>
        <v/>
      </c>
      <c r="H1744" s="18">
        <f>MAX(0,G1744-8)</f>
        <v/>
      </c>
    </row>
    <row r="1745">
      <c r="A1745" t="n">
        <v>1131</v>
      </c>
      <c r="B1745" s="14" t="n">
        <v>46251</v>
      </c>
      <c r="C1745" s="17" t="n">
        <v>0.9166666666666666</v>
      </c>
      <c r="D1745" s="17" t="n">
        <v>0.3958333333333333</v>
      </c>
      <c r="E1745" t="inlineStr">
        <is>
          <t>Night</t>
        </is>
      </c>
      <c r="F1745" t="inlineStr">
        <is>
          <t>Aug</t>
        </is>
      </c>
      <c r="G1745" s="18">
        <f>IF(D1745&lt;C1745,D1745+1-C1745,D1745-C1745)*24</f>
        <v/>
      </c>
      <c r="H1745" s="18">
        <f>MAX(0,G1745-8)</f>
        <v/>
      </c>
    </row>
    <row r="1746">
      <c r="A1746" t="n">
        <v>1134</v>
      </c>
      <c r="B1746" s="14" t="n">
        <v>46251</v>
      </c>
      <c r="C1746" s="17" t="n">
        <v>0.9166666666666666</v>
      </c>
      <c r="D1746" s="17" t="n">
        <v>0.25</v>
      </c>
      <c r="E1746" t="inlineStr">
        <is>
          <t>Night</t>
        </is>
      </c>
      <c r="F1746" t="inlineStr">
        <is>
          <t>Aug</t>
        </is>
      </c>
      <c r="G1746" s="18">
        <f>IF(D1746&lt;C1746,D1746+1-C1746,D1746-C1746)*24</f>
        <v/>
      </c>
      <c r="H1746" s="18">
        <f>MAX(0,G1746-8)</f>
        <v/>
      </c>
    </row>
    <row r="1747">
      <c r="A1747" t="n">
        <v>1135</v>
      </c>
      <c r="B1747" s="14" t="n">
        <v>46251</v>
      </c>
      <c r="C1747" s="17" t="n">
        <v>0.9375</v>
      </c>
      <c r="D1747" s="17" t="n">
        <v>0.3541666666666667</v>
      </c>
      <c r="E1747" t="inlineStr">
        <is>
          <t>Night</t>
        </is>
      </c>
      <c r="F1747" t="inlineStr">
        <is>
          <t>Aug</t>
        </is>
      </c>
      <c r="G1747" s="18">
        <f>IF(D1747&lt;C1747,D1747+1-C1747,D1747-C1747)*24</f>
        <v/>
      </c>
      <c r="H1747" s="18">
        <f>MAX(0,G1747-8)</f>
        <v/>
      </c>
    </row>
    <row r="1748">
      <c r="A1748" t="n">
        <v>1136</v>
      </c>
      <c r="B1748" s="14" t="n">
        <v>46251</v>
      </c>
      <c r="C1748" s="17" t="n">
        <v>0.9166666666666666</v>
      </c>
      <c r="D1748" s="17" t="n">
        <v>0.25</v>
      </c>
      <c r="E1748" t="inlineStr">
        <is>
          <t>Night</t>
        </is>
      </c>
      <c r="F1748" t="inlineStr">
        <is>
          <t>Aug</t>
        </is>
      </c>
      <c r="G1748" s="18">
        <f>IF(D1748&lt;C1748,D1748+1-C1748,D1748-C1748)*24</f>
        <v/>
      </c>
      <c r="H1748" s="18">
        <f>MAX(0,G1748-8)</f>
        <v/>
      </c>
    </row>
    <row r="1749">
      <c r="A1749" t="n">
        <v>1147</v>
      </c>
      <c r="B1749" s="14" t="n">
        <v>46251</v>
      </c>
      <c r="C1749" s="17" t="n">
        <v>0.9166666666666666</v>
      </c>
      <c r="D1749" s="17" t="n">
        <v>0.25</v>
      </c>
      <c r="E1749" t="inlineStr">
        <is>
          <t>Night</t>
        </is>
      </c>
      <c r="F1749" t="inlineStr">
        <is>
          <t>Aug</t>
        </is>
      </c>
      <c r="G1749" s="18">
        <f>IF(D1749&lt;C1749,D1749+1-C1749,D1749-C1749)*24</f>
        <v/>
      </c>
      <c r="H1749" s="18">
        <f>MAX(0,G1749-8)</f>
        <v/>
      </c>
    </row>
    <row r="1750">
      <c r="A1750" t="n">
        <v>1108</v>
      </c>
      <c r="B1750" s="14" t="n">
        <v>46251</v>
      </c>
      <c r="C1750" s="17" t="n">
        <v>0.01041666666666667</v>
      </c>
      <c r="D1750" s="17" t="n">
        <v>0.4479166666666667</v>
      </c>
      <c r="E1750" t="inlineStr">
        <is>
          <t>Night</t>
        </is>
      </c>
      <c r="F1750" t="inlineStr">
        <is>
          <t>Aug</t>
        </is>
      </c>
      <c r="G1750" s="18">
        <f>IF(D1750&lt;C1750,D1750+1-C1750,D1750-C1750)*24</f>
        <v/>
      </c>
      <c r="H1750" s="18">
        <f>MAX(0,G1750-8)</f>
        <v/>
      </c>
    </row>
    <row r="1751">
      <c r="A1751" t="n">
        <v>1122</v>
      </c>
      <c r="B1751" s="14" t="n">
        <v>46251</v>
      </c>
      <c r="C1751" s="17" t="n">
        <v>0.01041666666666667</v>
      </c>
      <c r="D1751" s="17" t="n">
        <v>0.4270833333333333</v>
      </c>
      <c r="E1751" t="inlineStr">
        <is>
          <t>Night</t>
        </is>
      </c>
      <c r="F1751" t="inlineStr">
        <is>
          <t>Aug</t>
        </is>
      </c>
      <c r="G1751" s="18">
        <f>IF(D1751&lt;C1751,D1751+1-C1751,D1751-C1751)*24</f>
        <v/>
      </c>
      <c r="H1751" s="18">
        <f>MAX(0,G1751-8)</f>
        <v/>
      </c>
    </row>
    <row r="1752">
      <c r="A1752" t="n">
        <v>1127</v>
      </c>
      <c r="B1752" s="14" t="n">
        <v>46251</v>
      </c>
      <c r="C1752" s="17" t="n">
        <v>0.02083333333333333</v>
      </c>
      <c r="D1752" s="17" t="n">
        <v>0.4791666666666667</v>
      </c>
      <c r="E1752" t="inlineStr">
        <is>
          <t>Night</t>
        </is>
      </c>
      <c r="F1752" t="inlineStr">
        <is>
          <t>Aug</t>
        </is>
      </c>
      <c r="G1752" s="18">
        <f>IF(D1752&lt;C1752,D1752+1-C1752,D1752-C1752)*24</f>
        <v/>
      </c>
      <c r="H1752" s="18">
        <f>MAX(0,G1752-8)</f>
        <v/>
      </c>
    </row>
    <row r="1753">
      <c r="A1753" t="n">
        <v>1128</v>
      </c>
      <c r="B1753" s="14" t="n">
        <v>46251</v>
      </c>
      <c r="C1753" s="17" t="n">
        <v>0.01041666666666667</v>
      </c>
      <c r="D1753" s="17" t="n">
        <v>0.4895833333333333</v>
      </c>
      <c r="E1753" t="inlineStr">
        <is>
          <t>Night</t>
        </is>
      </c>
      <c r="F1753" t="inlineStr">
        <is>
          <t>Aug</t>
        </is>
      </c>
      <c r="G1753" s="18">
        <f>IF(D1753&lt;C1753,D1753+1-C1753,D1753-C1753)*24</f>
        <v/>
      </c>
      <c r="H1753" s="18">
        <f>MAX(0,G1753-8)</f>
        <v/>
      </c>
    </row>
    <row r="1754">
      <c r="A1754" t="n">
        <v>1132</v>
      </c>
      <c r="B1754" s="14" t="n">
        <v>46251</v>
      </c>
      <c r="C1754" s="17" t="n">
        <v>0.01041666666666667</v>
      </c>
      <c r="D1754" s="17" t="n">
        <v>0.3645833333333333</v>
      </c>
      <c r="E1754" t="inlineStr">
        <is>
          <t>Night</t>
        </is>
      </c>
      <c r="F1754" t="inlineStr">
        <is>
          <t>Aug</t>
        </is>
      </c>
      <c r="G1754" s="18">
        <f>IF(D1754&lt;C1754,D1754+1-C1754,D1754-C1754)*24</f>
        <v/>
      </c>
      <c r="H1754" s="18">
        <f>MAX(0,G1754-8)</f>
        <v/>
      </c>
    </row>
    <row r="1755">
      <c r="A1755" t="n">
        <v>1133</v>
      </c>
      <c r="B1755" s="14" t="n">
        <v>46251</v>
      </c>
      <c r="C1755" s="17" t="n">
        <v>0.01041666666666667</v>
      </c>
      <c r="D1755" s="17" t="n">
        <v>0.3854166666666667</v>
      </c>
      <c r="E1755" t="inlineStr">
        <is>
          <t>Night</t>
        </is>
      </c>
      <c r="F1755" t="inlineStr">
        <is>
          <t>Aug</t>
        </is>
      </c>
      <c r="G1755" s="18">
        <f>IF(D1755&lt;C1755,D1755+1-C1755,D1755-C1755)*24</f>
        <v/>
      </c>
      <c r="H1755" s="18">
        <f>MAX(0,G1755-8)</f>
        <v/>
      </c>
    </row>
    <row r="1756">
      <c r="A1756" t="n">
        <v>1137</v>
      </c>
      <c r="B1756" s="14" t="n">
        <v>46251</v>
      </c>
      <c r="C1756" s="17" t="n">
        <v>0.01041666666666667</v>
      </c>
      <c r="D1756" s="17" t="n">
        <v>0.34375</v>
      </c>
      <c r="E1756" t="inlineStr">
        <is>
          <t>Night</t>
        </is>
      </c>
      <c r="F1756" t="inlineStr">
        <is>
          <t>Aug</t>
        </is>
      </c>
      <c r="G1756" s="18">
        <f>IF(D1756&lt;C1756,D1756+1-C1756,D1756-C1756)*24</f>
        <v/>
      </c>
      <c r="H1756" s="18">
        <f>MAX(0,G1756-8)</f>
        <v/>
      </c>
    </row>
    <row r="1757">
      <c r="A1757" t="n">
        <v>1201</v>
      </c>
      <c r="B1757" s="14" t="n">
        <v>46251</v>
      </c>
      <c r="C1757" s="17" t="n">
        <v>0.2708333333333333</v>
      </c>
      <c r="D1757" s="17" t="n">
        <v>0.6041666666666666</v>
      </c>
      <c r="E1757" t="inlineStr">
        <is>
          <t>Day</t>
        </is>
      </c>
      <c r="F1757" t="inlineStr">
        <is>
          <t>Aug</t>
        </is>
      </c>
      <c r="G1757" s="18">
        <f>IF(D1757&lt;C1757,D1757+1-C1757,D1757-C1757)*24</f>
        <v/>
      </c>
      <c r="H1757" s="18">
        <f>MAX(0,G1757-8)</f>
        <v/>
      </c>
    </row>
    <row r="1758">
      <c r="A1758" t="n">
        <v>1202</v>
      </c>
      <c r="B1758" s="14" t="n">
        <v>46251</v>
      </c>
      <c r="C1758" s="17" t="n">
        <v>0.2708333333333333</v>
      </c>
      <c r="D1758" s="17" t="n">
        <v>0.6041666666666666</v>
      </c>
      <c r="E1758" t="inlineStr">
        <is>
          <t>Day</t>
        </is>
      </c>
      <c r="F1758" t="inlineStr">
        <is>
          <t>Aug</t>
        </is>
      </c>
      <c r="G1758" s="18">
        <f>IF(D1758&lt;C1758,D1758+1-C1758,D1758-C1758)*24</f>
        <v/>
      </c>
      <c r="H1758" s="18">
        <f>MAX(0,G1758-8)</f>
        <v/>
      </c>
    </row>
    <row r="1759">
      <c r="A1759" t="n">
        <v>1204</v>
      </c>
      <c r="B1759" s="14" t="n">
        <v>46251</v>
      </c>
      <c r="C1759" s="17" t="n">
        <v>0.25</v>
      </c>
      <c r="D1759" s="17" t="n">
        <v>0.625</v>
      </c>
      <c r="E1759" t="inlineStr">
        <is>
          <t>Day</t>
        </is>
      </c>
      <c r="F1759" t="inlineStr">
        <is>
          <t>Aug</t>
        </is>
      </c>
      <c r="G1759" s="18">
        <f>IF(D1759&lt;C1759,D1759+1-C1759,D1759-C1759)*24</f>
        <v/>
      </c>
      <c r="H1759" s="18">
        <f>MAX(0,G1759-8)</f>
        <v/>
      </c>
    </row>
    <row r="1760">
      <c r="A1760" t="n">
        <v>1205</v>
      </c>
      <c r="B1760" s="14" t="n">
        <v>46251</v>
      </c>
      <c r="C1760" s="17" t="n">
        <v>0.2708333333333333</v>
      </c>
      <c r="D1760" s="17" t="n">
        <v>0.6875</v>
      </c>
      <c r="E1760" t="inlineStr">
        <is>
          <t>Day</t>
        </is>
      </c>
      <c r="F1760" t="inlineStr">
        <is>
          <t>Aug</t>
        </is>
      </c>
      <c r="G1760" s="18">
        <f>IF(D1760&lt;C1760,D1760+1-C1760,D1760-C1760)*24</f>
        <v/>
      </c>
      <c r="H1760" s="18">
        <f>MAX(0,G1760-8)</f>
        <v/>
      </c>
    </row>
    <row r="1761">
      <c r="A1761" t="n">
        <v>1206</v>
      </c>
      <c r="B1761" s="14" t="n">
        <v>46251</v>
      </c>
      <c r="C1761" s="17" t="n">
        <v>0.2708333333333333</v>
      </c>
      <c r="D1761" s="17" t="n">
        <v>0.6041666666666666</v>
      </c>
      <c r="E1761" t="inlineStr">
        <is>
          <t>Day</t>
        </is>
      </c>
      <c r="F1761" t="inlineStr">
        <is>
          <t>Aug</t>
        </is>
      </c>
      <c r="G1761" s="18">
        <f>IF(D1761&lt;C1761,D1761+1-C1761,D1761-C1761)*24</f>
        <v/>
      </c>
      <c r="H1761" s="18">
        <f>MAX(0,G1761-8)</f>
        <v/>
      </c>
    </row>
    <row r="1762">
      <c r="A1762" t="n">
        <v>1207</v>
      </c>
      <c r="B1762" s="14" t="n">
        <v>46251</v>
      </c>
      <c r="C1762" s="17" t="n">
        <v>0.25</v>
      </c>
      <c r="D1762" s="17" t="n">
        <v>0.6666666666666666</v>
      </c>
      <c r="E1762" t="inlineStr">
        <is>
          <t>Day</t>
        </is>
      </c>
      <c r="F1762" t="inlineStr">
        <is>
          <t>Aug</t>
        </is>
      </c>
      <c r="G1762" s="18">
        <f>IF(D1762&lt;C1762,D1762+1-C1762,D1762-C1762)*24</f>
        <v/>
      </c>
      <c r="H1762" s="18">
        <f>MAX(0,G1762-8)</f>
        <v/>
      </c>
    </row>
    <row r="1763">
      <c r="A1763" t="n">
        <v>1208</v>
      </c>
      <c r="B1763" s="14" t="n">
        <v>46251</v>
      </c>
      <c r="C1763" s="17" t="n">
        <v>0.2708333333333333</v>
      </c>
      <c r="D1763" s="17" t="n">
        <v>0.6875</v>
      </c>
      <c r="E1763" t="inlineStr">
        <is>
          <t>Day</t>
        </is>
      </c>
      <c r="F1763" t="inlineStr">
        <is>
          <t>Aug</t>
        </is>
      </c>
      <c r="G1763" s="18">
        <f>IF(D1763&lt;C1763,D1763+1-C1763,D1763-C1763)*24</f>
        <v/>
      </c>
      <c r="H1763" s="18">
        <f>MAX(0,G1763-8)</f>
        <v/>
      </c>
    </row>
    <row r="1764">
      <c r="A1764" t="n">
        <v>1209</v>
      </c>
      <c r="B1764" s="14" t="n">
        <v>46251</v>
      </c>
      <c r="C1764" s="17" t="n">
        <v>0.2708333333333333</v>
      </c>
      <c r="D1764" s="17" t="n">
        <v>0.625</v>
      </c>
      <c r="E1764" t="inlineStr">
        <is>
          <t>Day</t>
        </is>
      </c>
      <c r="F1764" t="inlineStr">
        <is>
          <t>Aug</t>
        </is>
      </c>
      <c r="G1764" s="18">
        <f>IF(D1764&lt;C1764,D1764+1-C1764,D1764-C1764)*24</f>
        <v/>
      </c>
      <c r="H1764" s="18">
        <f>MAX(0,G1764-8)</f>
        <v/>
      </c>
    </row>
    <row r="1765">
      <c r="A1765" t="n">
        <v>1212</v>
      </c>
      <c r="B1765" s="14" t="n">
        <v>46251</v>
      </c>
      <c r="C1765" s="17" t="n">
        <v>0.25</v>
      </c>
      <c r="D1765" s="17" t="n">
        <v>0.5833333333333334</v>
      </c>
      <c r="E1765" t="inlineStr">
        <is>
          <t>Day</t>
        </is>
      </c>
      <c r="F1765" t="inlineStr">
        <is>
          <t>Aug</t>
        </is>
      </c>
      <c r="G1765" s="18">
        <f>IF(D1765&lt;C1765,D1765+1-C1765,D1765-C1765)*24</f>
        <v/>
      </c>
      <c r="H1765" s="18">
        <f>MAX(0,G1765-8)</f>
        <v/>
      </c>
    </row>
    <row r="1766">
      <c r="A1766" t="n">
        <v>1214</v>
      </c>
      <c r="B1766" s="14" t="n">
        <v>46251</v>
      </c>
      <c r="C1766" s="17" t="n">
        <v>0.25</v>
      </c>
      <c r="D1766" s="17" t="n">
        <v>0.5833333333333334</v>
      </c>
      <c r="E1766" t="inlineStr">
        <is>
          <t>Day</t>
        </is>
      </c>
      <c r="F1766" t="inlineStr">
        <is>
          <t>Aug</t>
        </is>
      </c>
      <c r="G1766" s="18">
        <f>IF(D1766&lt;C1766,D1766+1-C1766,D1766-C1766)*24</f>
        <v/>
      </c>
      <c r="H1766" s="18">
        <f>MAX(0,G1766-8)</f>
        <v/>
      </c>
    </row>
    <row r="1767">
      <c r="A1767" t="n">
        <v>1215</v>
      </c>
      <c r="B1767" s="14" t="n">
        <v>46251</v>
      </c>
      <c r="C1767" s="17" t="n">
        <v>0.2708333333333333</v>
      </c>
      <c r="D1767" s="17" t="n">
        <v>0.6041666666666666</v>
      </c>
      <c r="E1767" t="inlineStr">
        <is>
          <t>Day</t>
        </is>
      </c>
      <c r="F1767" t="inlineStr">
        <is>
          <t>Aug</t>
        </is>
      </c>
      <c r="G1767" s="18">
        <f>IF(D1767&lt;C1767,D1767+1-C1767,D1767-C1767)*24</f>
        <v/>
      </c>
      <c r="H1767" s="18">
        <f>MAX(0,G1767-8)</f>
        <v/>
      </c>
    </row>
    <row r="1768">
      <c r="A1768" t="n">
        <v>1216</v>
      </c>
      <c r="B1768" s="14" t="n">
        <v>46251</v>
      </c>
      <c r="C1768" s="17" t="n">
        <v>0.2708333333333333</v>
      </c>
      <c r="D1768" s="17" t="n">
        <v>0.6875</v>
      </c>
      <c r="E1768" t="inlineStr">
        <is>
          <t>Day</t>
        </is>
      </c>
      <c r="F1768" t="inlineStr">
        <is>
          <t>Aug</t>
        </is>
      </c>
      <c r="G1768" s="18">
        <f>IF(D1768&lt;C1768,D1768+1-C1768,D1768-C1768)*24</f>
        <v/>
      </c>
      <c r="H1768" s="18">
        <f>MAX(0,G1768-8)</f>
        <v/>
      </c>
    </row>
    <row r="1769">
      <c r="A1769" t="n">
        <v>1217</v>
      </c>
      <c r="B1769" s="14" t="n">
        <v>46251</v>
      </c>
      <c r="C1769" s="17" t="n">
        <v>0.25</v>
      </c>
      <c r="D1769" s="17" t="n">
        <v>0.5833333333333334</v>
      </c>
      <c r="E1769" t="inlineStr">
        <is>
          <t>Day</t>
        </is>
      </c>
      <c r="F1769" t="inlineStr">
        <is>
          <t>Aug</t>
        </is>
      </c>
      <c r="G1769" s="18">
        <f>IF(D1769&lt;C1769,D1769+1-C1769,D1769-C1769)*24</f>
        <v/>
      </c>
      <c r="H1769" s="18">
        <f>MAX(0,G1769-8)</f>
        <v/>
      </c>
    </row>
    <row r="1770">
      <c r="A1770" t="n">
        <v>1218</v>
      </c>
      <c r="B1770" s="14" t="n">
        <v>46251</v>
      </c>
      <c r="C1770" s="17" t="n">
        <v>0.25</v>
      </c>
      <c r="D1770" s="17" t="n">
        <v>0.625</v>
      </c>
      <c r="E1770" t="inlineStr">
        <is>
          <t>Day</t>
        </is>
      </c>
      <c r="F1770" t="inlineStr">
        <is>
          <t>Aug</t>
        </is>
      </c>
      <c r="G1770" s="18">
        <f>IF(D1770&lt;C1770,D1770+1-C1770,D1770-C1770)*24</f>
        <v/>
      </c>
      <c r="H1770" s="18">
        <f>MAX(0,G1770-8)</f>
        <v/>
      </c>
    </row>
    <row r="1771">
      <c r="A1771" t="n">
        <v>1219</v>
      </c>
      <c r="B1771" s="14" t="n">
        <v>46251</v>
      </c>
      <c r="C1771" s="17" t="n">
        <v>0.25</v>
      </c>
      <c r="D1771" s="17" t="n">
        <v>0.625</v>
      </c>
      <c r="E1771" t="inlineStr">
        <is>
          <t>Day</t>
        </is>
      </c>
      <c r="F1771" t="inlineStr">
        <is>
          <t>Aug</t>
        </is>
      </c>
      <c r="G1771" s="18">
        <f>IF(D1771&lt;C1771,D1771+1-C1771,D1771-C1771)*24</f>
        <v/>
      </c>
      <c r="H1771" s="18">
        <f>MAX(0,G1771-8)</f>
        <v/>
      </c>
    </row>
    <row r="1772">
      <c r="A1772" t="n">
        <v>1220</v>
      </c>
      <c r="B1772" s="14" t="n">
        <v>46251</v>
      </c>
      <c r="C1772" s="17" t="n">
        <v>0.25</v>
      </c>
      <c r="D1772" s="17" t="n">
        <v>0.5833333333333334</v>
      </c>
      <c r="E1772" t="inlineStr">
        <is>
          <t>Day</t>
        </is>
      </c>
      <c r="F1772" t="inlineStr">
        <is>
          <t>Aug</t>
        </is>
      </c>
      <c r="G1772" s="18">
        <f>IF(D1772&lt;C1772,D1772+1-C1772,D1772-C1772)*24</f>
        <v/>
      </c>
      <c r="H1772" s="18">
        <f>MAX(0,G1772-8)</f>
        <v/>
      </c>
    </row>
    <row r="1773">
      <c r="A1773" t="n">
        <v>1101</v>
      </c>
      <c r="B1773" s="14" t="n">
        <v>46252</v>
      </c>
      <c r="C1773" s="17" t="n">
        <v>0.9166666666666666</v>
      </c>
      <c r="D1773" s="17" t="n">
        <v>0.3125</v>
      </c>
      <c r="E1773" t="inlineStr">
        <is>
          <t>Night</t>
        </is>
      </c>
      <c r="F1773" t="inlineStr">
        <is>
          <t>Aug</t>
        </is>
      </c>
      <c r="G1773" s="18">
        <f>IF(D1773&lt;C1773,D1773+1-C1773,D1773-C1773)*24</f>
        <v/>
      </c>
      <c r="H1773" s="18">
        <f>MAX(0,G1773-8)</f>
        <v/>
      </c>
    </row>
    <row r="1774">
      <c r="A1774" t="n">
        <v>1102</v>
      </c>
      <c r="B1774" s="14" t="n">
        <v>46252</v>
      </c>
      <c r="C1774" s="17" t="n">
        <v>0.9166666666666666</v>
      </c>
      <c r="D1774" s="17" t="n">
        <v>0.25</v>
      </c>
      <c r="E1774" t="inlineStr">
        <is>
          <t>Night</t>
        </is>
      </c>
      <c r="F1774" t="inlineStr">
        <is>
          <t>Aug</t>
        </is>
      </c>
      <c r="G1774" s="18">
        <f>IF(D1774&lt;C1774,D1774+1-C1774,D1774-C1774)*24</f>
        <v/>
      </c>
      <c r="H1774" s="18">
        <f>MAX(0,G1774-8)</f>
        <v/>
      </c>
    </row>
    <row r="1775">
      <c r="A1775" t="n">
        <v>1103</v>
      </c>
      <c r="B1775" s="14" t="n">
        <v>46252</v>
      </c>
      <c r="C1775" s="17" t="n">
        <v>0.9166666666666666</v>
      </c>
      <c r="D1775" s="17" t="n">
        <v>0.2708333333333333</v>
      </c>
      <c r="E1775" t="inlineStr">
        <is>
          <t>Night</t>
        </is>
      </c>
      <c r="F1775" t="inlineStr">
        <is>
          <t>Aug</t>
        </is>
      </c>
      <c r="G1775" s="18">
        <f>IF(D1775&lt;C1775,D1775+1-C1775,D1775-C1775)*24</f>
        <v/>
      </c>
      <c r="H1775" s="18">
        <f>MAX(0,G1775-8)</f>
        <v/>
      </c>
    </row>
    <row r="1776">
      <c r="A1776" t="n">
        <v>1104</v>
      </c>
      <c r="B1776" s="14" t="n">
        <v>46252</v>
      </c>
      <c r="C1776" s="17" t="n">
        <v>0.9166666666666666</v>
      </c>
      <c r="D1776" s="17" t="n">
        <v>0.25</v>
      </c>
      <c r="E1776" t="inlineStr">
        <is>
          <t>Night</t>
        </is>
      </c>
      <c r="F1776" t="inlineStr">
        <is>
          <t>Aug</t>
        </is>
      </c>
      <c r="G1776" s="18">
        <f>IF(D1776&lt;C1776,D1776+1-C1776,D1776-C1776)*24</f>
        <v/>
      </c>
      <c r="H1776" s="18">
        <f>MAX(0,G1776-8)</f>
        <v/>
      </c>
    </row>
    <row r="1777">
      <c r="A1777" t="n">
        <v>1106</v>
      </c>
      <c r="B1777" s="14" t="n">
        <v>46252</v>
      </c>
      <c r="C1777" s="17" t="n">
        <v>0.9166666666666666</v>
      </c>
      <c r="D1777" s="17" t="n">
        <v>0.3333333333333333</v>
      </c>
      <c r="E1777" t="inlineStr">
        <is>
          <t>Night</t>
        </is>
      </c>
      <c r="F1777" t="inlineStr">
        <is>
          <t>Aug</t>
        </is>
      </c>
      <c r="G1777" s="18">
        <f>IF(D1777&lt;C1777,D1777+1-C1777,D1777-C1777)*24</f>
        <v/>
      </c>
      <c r="H1777" s="18">
        <f>MAX(0,G1777-8)</f>
        <v/>
      </c>
    </row>
    <row r="1778">
      <c r="A1778" t="n">
        <v>1107</v>
      </c>
      <c r="B1778" s="14" t="n">
        <v>46252</v>
      </c>
      <c r="C1778" s="17" t="n">
        <v>0.9166666666666666</v>
      </c>
      <c r="D1778" s="17" t="n">
        <v>0.3125</v>
      </c>
      <c r="E1778" t="inlineStr">
        <is>
          <t>Night</t>
        </is>
      </c>
      <c r="F1778" t="inlineStr">
        <is>
          <t>Aug</t>
        </is>
      </c>
      <c r="G1778" s="18">
        <f>IF(D1778&lt;C1778,D1778+1-C1778,D1778-C1778)*24</f>
        <v/>
      </c>
      <c r="H1778" s="18">
        <f>MAX(0,G1778-8)</f>
        <v/>
      </c>
    </row>
    <row r="1779">
      <c r="A1779" t="n">
        <v>1108</v>
      </c>
      <c r="B1779" s="14" t="n">
        <v>46252</v>
      </c>
      <c r="C1779" s="17" t="n">
        <v>0.9166666666666666</v>
      </c>
      <c r="D1779" s="17" t="n">
        <v>0.2708333333333333</v>
      </c>
      <c r="E1779" t="inlineStr">
        <is>
          <t>Night</t>
        </is>
      </c>
      <c r="F1779" t="inlineStr">
        <is>
          <t>Aug</t>
        </is>
      </c>
      <c r="G1779" s="18">
        <f>IF(D1779&lt;C1779,D1779+1-C1779,D1779-C1779)*24</f>
        <v/>
      </c>
      <c r="H1779" s="18">
        <f>MAX(0,G1779-8)</f>
        <v/>
      </c>
    </row>
    <row r="1780">
      <c r="A1780" t="n">
        <v>1109</v>
      </c>
      <c r="B1780" s="14" t="n">
        <v>46252</v>
      </c>
      <c r="C1780" s="17" t="n">
        <v>0.9375</v>
      </c>
      <c r="D1780" s="17" t="n">
        <v>0.2708333333333333</v>
      </c>
      <c r="E1780" t="inlineStr">
        <is>
          <t>Night</t>
        </is>
      </c>
      <c r="F1780" t="inlineStr">
        <is>
          <t>Aug</t>
        </is>
      </c>
      <c r="G1780" s="18">
        <f>IF(D1780&lt;C1780,D1780+1-C1780,D1780-C1780)*24</f>
        <v/>
      </c>
      <c r="H1780" s="18">
        <f>MAX(0,G1780-8)</f>
        <v/>
      </c>
    </row>
    <row r="1781">
      <c r="A1781" t="n">
        <v>1110</v>
      </c>
      <c r="B1781" s="14" t="n">
        <v>46252</v>
      </c>
      <c r="C1781" s="17" t="n">
        <v>0.9166666666666666</v>
      </c>
      <c r="D1781" s="17" t="n">
        <v>0.375</v>
      </c>
      <c r="E1781" t="inlineStr">
        <is>
          <t>Night</t>
        </is>
      </c>
      <c r="F1781" t="inlineStr">
        <is>
          <t>Aug</t>
        </is>
      </c>
      <c r="G1781" s="18">
        <f>IF(D1781&lt;C1781,D1781+1-C1781,D1781-C1781)*24</f>
        <v/>
      </c>
      <c r="H1781" s="18">
        <f>MAX(0,G1781-8)</f>
        <v/>
      </c>
    </row>
    <row r="1782">
      <c r="A1782" t="n">
        <v>1113</v>
      </c>
      <c r="B1782" s="14" t="n">
        <v>46252</v>
      </c>
      <c r="C1782" s="17" t="n">
        <v>0.9166666666666666</v>
      </c>
      <c r="D1782" s="17" t="n">
        <v>0.3333333333333333</v>
      </c>
      <c r="E1782" t="inlineStr">
        <is>
          <t>Night</t>
        </is>
      </c>
      <c r="F1782" t="inlineStr">
        <is>
          <t>Aug</t>
        </is>
      </c>
      <c r="G1782" s="18">
        <f>IF(D1782&lt;C1782,D1782+1-C1782,D1782-C1782)*24</f>
        <v/>
      </c>
      <c r="H1782" s="18">
        <f>MAX(0,G1782-8)</f>
        <v/>
      </c>
    </row>
    <row r="1783">
      <c r="A1783" t="n">
        <v>1115</v>
      </c>
      <c r="B1783" s="14" t="n">
        <v>46252</v>
      </c>
      <c r="C1783" s="17" t="n">
        <v>0.9270833333333334</v>
      </c>
      <c r="D1783" s="17" t="n">
        <v>0.3020833333333333</v>
      </c>
      <c r="E1783" t="inlineStr">
        <is>
          <t>Night</t>
        </is>
      </c>
      <c r="F1783" t="inlineStr">
        <is>
          <t>Aug</t>
        </is>
      </c>
      <c r="G1783" s="18">
        <f>IF(D1783&lt;C1783,D1783+1-C1783,D1783-C1783)*24</f>
        <v/>
      </c>
      <c r="H1783" s="18">
        <f>MAX(0,G1783-8)</f>
        <v/>
      </c>
    </row>
    <row r="1784">
      <c r="A1784" t="n">
        <v>1116</v>
      </c>
      <c r="B1784" s="14" t="n">
        <v>46252</v>
      </c>
      <c r="C1784" s="17" t="n">
        <v>0.9166666666666666</v>
      </c>
      <c r="D1784" s="17" t="n">
        <v>0.3541666666666667</v>
      </c>
      <c r="E1784" t="inlineStr">
        <is>
          <t>Night</t>
        </is>
      </c>
      <c r="F1784" t="inlineStr">
        <is>
          <t>Aug</t>
        </is>
      </c>
      <c r="G1784" s="18">
        <f>IF(D1784&lt;C1784,D1784+1-C1784,D1784-C1784)*24</f>
        <v/>
      </c>
      <c r="H1784" s="18">
        <f>MAX(0,G1784-8)</f>
        <v/>
      </c>
    </row>
    <row r="1785">
      <c r="A1785" t="n">
        <v>1117</v>
      </c>
      <c r="B1785" s="14" t="n">
        <v>46252</v>
      </c>
      <c r="C1785" s="17" t="n">
        <v>0.9166666666666666</v>
      </c>
      <c r="D1785" s="17" t="n">
        <v>0.3333333333333333</v>
      </c>
      <c r="E1785" t="inlineStr">
        <is>
          <t>Night</t>
        </is>
      </c>
      <c r="F1785" t="inlineStr">
        <is>
          <t>Aug</t>
        </is>
      </c>
      <c r="G1785" s="18">
        <f>IF(D1785&lt;C1785,D1785+1-C1785,D1785-C1785)*24</f>
        <v/>
      </c>
      <c r="H1785" s="18">
        <f>MAX(0,G1785-8)</f>
        <v/>
      </c>
    </row>
    <row r="1786">
      <c r="A1786" t="n">
        <v>1118</v>
      </c>
      <c r="B1786" s="14" t="n">
        <v>46252</v>
      </c>
      <c r="C1786" s="17" t="n">
        <v>0.9166666666666666</v>
      </c>
      <c r="D1786" s="17" t="n">
        <v>0.3125</v>
      </c>
      <c r="E1786" t="inlineStr">
        <is>
          <t>Night</t>
        </is>
      </c>
      <c r="F1786" t="inlineStr">
        <is>
          <t>Aug</t>
        </is>
      </c>
      <c r="G1786" s="18">
        <f>IF(D1786&lt;C1786,D1786+1-C1786,D1786-C1786)*24</f>
        <v/>
      </c>
      <c r="H1786" s="18">
        <f>MAX(0,G1786-8)</f>
        <v/>
      </c>
    </row>
    <row r="1787">
      <c r="A1787" t="n">
        <v>1119</v>
      </c>
      <c r="B1787" s="14" t="n">
        <v>46252</v>
      </c>
      <c r="C1787" s="17" t="n">
        <v>0.9166666666666666</v>
      </c>
      <c r="D1787" s="17" t="n">
        <v>0.25</v>
      </c>
      <c r="E1787" t="inlineStr">
        <is>
          <t>Night</t>
        </is>
      </c>
      <c r="F1787" t="inlineStr">
        <is>
          <t>Aug</t>
        </is>
      </c>
      <c r="G1787" s="18">
        <f>IF(D1787&lt;C1787,D1787+1-C1787,D1787-C1787)*24</f>
        <v/>
      </c>
      <c r="H1787" s="18">
        <f>MAX(0,G1787-8)</f>
        <v/>
      </c>
    </row>
    <row r="1788">
      <c r="A1788" t="n">
        <v>1121</v>
      </c>
      <c r="B1788" s="14" t="n">
        <v>46252</v>
      </c>
      <c r="C1788" s="17" t="n">
        <v>0.9166666666666666</v>
      </c>
      <c r="D1788" s="17" t="n">
        <v>0.3958333333333333</v>
      </c>
      <c r="E1788" t="inlineStr">
        <is>
          <t>Night</t>
        </is>
      </c>
      <c r="F1788" t="inlineStr">
        <is>
          <t>Aug</t>
        </is>
      </c>
      <c r="G1788" s="18">
        <f>IF(D1788&lt;C1788,D1788+1-C1788,D1788-C1788)*24</f>
        <v/>
      </c>
      <c r="H1788" s="18">
        <f>MAX(0,G1788-8)</f>
        <v/>
      </c>
    </row>
    <row r="1789">
      <c r="A1789" t="n">
        <v>1123</v>
      </c>
      <c r="B1789" s="14" t="n">
        <v>46252</v>
      </c>
      <c r="C1789" s="17" t="n">
        <v>0.9166666666666666</v>
      </c>
      <c r="D1789" s="17" t="n">
        <v>0.2916666666666667</v>
      </c>
      <c r="E1789" t="inlineStr">
        <is>
          <t>Night</t>
        </is>
      </c>
      <c r="F1789" t="inlineStr">
        <is>
          <t>Aug</t>
        </is>
      </c>
      <c r="G1789" s="18">
        <f>IF(D1789&lt;C1789,D1789+1-C1789,D1789-C1789)*24</f>
        <v/>
      </c>
      <c r="H1789" s="18">
        <f>MAX(0,G1789-8)</f>
        <v/>
      </c>
    </row>
    <row r="1790">
      <c r="A1790" t="n">
        <v>1125</v>
      </c>
      <c r="B1790" s="14" t="n">
        <v>46252</v>
      </c>
      <c r="C1790" s="17" t="n">
        <v>0.9166666666666666</v>
      </c>
      <c r="D1790" s="17" t="n">
        <v>0.25</v>
      </c>
      <c r="E1790" t="inlineStr">
        <is>
          <t>Night</t>
        </is>
      </c>
      <c r="F1790" t="inlineStr">
        <is>
          <t>Aug</t>
        </is>
      </c>
      <c r="G1790" s="18">
        <f>IF(D1790&lt;C1790,D1790+1-C1790,D1790-C1790)*24</f>
        <v/>
      </c>
      <c r="H1790" s="18">
        <f>MAX(0,G1790-8)</f>
        <v/>
      </c>
    </row>
    <row r="1791">
      <c r="A1791" t="n">
        <v>1126</v>
      </c>
      <c r="B1791" s="14" t="n">
        <v>46252</v>
      </c>
      <c r="C1791" s="17" t="n">
        <v>0.9166666666666666</v>
      </c>
      <c r="D1791" s="17" t="n">
        <v>0.3958333333333333</v>
      </c>
      <c r="E1791" t="inlineStr">
        <is>
          <t>Night</t>
        </is>
      </c>
      <c r="F1791" t="inlineStr">
        <is>
          <t>Aug</t>
        </is>
      </c>
      <c r="G1791" s="18">
        <f>IF(D1791&lt;C1791,D1791+1-C1791,D1791-C1791)*24</f>
        <v/>
      </c>
      <c r="H1791" s="18">
        <f>MAX(0,G1791-8)</f>
        <v/>
      </c>
    </row>
    <row r="1792">
      <c r="A1792" t="n">
        <v>1127</v>
      </c>
      <c r="B1792" s="14" t="n">
        <v>46252</v>
      </c>
      <c r="C1792" s="17" t="n">
        <v>0.9166666666666666</v>
      </c>
      <c r="D1792" s="17" t="n">
        <v>0.25</v>
      </c>
      <c r="E1792" t="inlineStr">
        <is>
          <t>Night</t>
        </is>
      </c>
      <c r="F1792" t="inlineStr">
        <is>
          <t>Aug</t>
        </is>
      </c>
      <c r="G1792" s="18">
        <f>IF(D1792&lt;C1792,D1792+1-C1792,D1792-C1792)*24</f>
        <v/>
      </c>
      <c r="H1792" s="18">
        <f>MAX(0,G1792-8)</f>
        <v/>
      </c>
    </row>
    <row r="1793">
      <c r="A1793" t="n">
        <v>1128</v>
      </c>
      <c r="B1793" s="14" t="n">
        <v>46252</v>
      </c>
      <c r="C1793" s="17" t="n">
        <v>0.9166666666666666</v>
      </c>
      <c r="D1793" s="17" t="n">
        <v>0.3541666666666667</v>
      </c>
      <c r="E1793" t="inlineStr">
        <is>
          <t>Night</t>
        </is>
      </c>
      <c r="F1793" t="inlineStr">
        <is>
          <t>Aug</t>
        </is>
      </c>
      <c r="G1793" s="18">
        <f>IF(D1793&lt;C1793,D1793+1-C1793,D1793-C1793)*24</f>
        <v/>
      </c>
      <c r="H1793" s="18">
        <f>MAX(0,G1793-8)</f>
        <v/>
      </c>
    </row>
    <row r="1794">
      <c r="A1794" t="n">
        <v>1129</v>
      </c>
      <c r="B1794" s="14" t="n">
        <v>46252</v>
      </c>
      <c r="C1794" s="17" t="n">
        <v>0.9166666666666666</v>
      </c>
      <c r="D1794" s="17" t="n">
        <v>0.375</v>
      </c>
      <c r="E1794" t="inlineStr">
        <is>
          <t>Night</t>
        </is>
      </c>
      <c r="F1794" t="inlineStr">
        <is>
          <t>Aug</t>
        </is>
      </c>
      <c r="G1794" s="18">
        <f>IF(D1794&lt;C1794,D1794+1-C1794,D1794-C1794)*24</f>
        <v/>
      </c>
      <c r="H1794" s="18">
        <f>MAX(0,G1794-8)</f>
        <v/>
      </c>
    </row>
    <row r="1795">
      <c r="A1795" t="n">
        <v>1132</v>
      </c>
      <c r="B1795" s="14" t="n">
        <v>46252</v>
      </c>
      <c r="C1795" s="17" t="n">
        <v>0.9375</v>
      </c>
      <c r="D1795" s="17" t="n">
        <v>0.3958333333333333</v>
      </c>
      <c r="E1795" t="inlineStr">
        <is>
          <t>Night</t>
        </is>
      </c>
      <c r="F1795" t="inlineStr">
        <is>
          <t>Aug</t>
        </is>
      </c>
      <c r="G1795" s="18">
        <f>IF(D1795&lt;C1795,D1795+1-C1795,D1795-C1795)*24</f>
        <v/>
      </c>
      <c r="H1795" s="18">
        <f>MAX(0,G1795-8)</f>
        <v/>
      </c>
    </row>
    <row r="1796">
      <c r="A1796" t="n">
        <v>1133</v>
      </c>
      <c r="B1796" s="14" t="n">
        <v>46252</v>
      </c>
      <c r="C1796" s="17" t="n">
        <v>0.9166666666666666</v>
      </c>
      <c r="D1796" s="17" t="n">
        <v>0.25</v>
      </c>
      <c r="E1796" t="inlineStr">
        <is>
          <t>Night</t>
        </is>
      </c>
      <c r="F1796" t="inlineStr">
        <is>
          <t>Aug</t>
        </is>
      </c>
      <c r="G1796" s="18">
        <f>IF(D1796&lt;C1796,D1796+1-C1796,D1796-C1796)*24</f>
        <v/>
      </c>
      <c r="H1796" s="18">
        <f>MAX(0,G1796-8)</f>
        <v/>
      </c>
    </row>
    <row r="1797">
      <c r="A1797" t="n">
        <v>1134</v>
      </c>
      <c r="B1797" s="14" t="n">
        <v>46252</v>
      </c>
      <c r="C1797" s="17" t="n">
        <v>0.9375</v>
      </c>
      <c r="D1797" s="17" t="n">
        <v>0.3333333333333333</v>
      </c>
      <c r="E1797" t="inlineStr">
        <is>
          <t>Night</t>
        </is>
      </c>
      <c r="F1797" t="inlineStr">
        <is>
          <t>Aug</t>
        </is>
      </c>
      <c r="G1797" s="18">
        <f>IF(D1797&lt;C1797,D1797+1-C1797,D1797-C1797)*24</f>
        <v/>
      </c>
      <c r="H1797" s="18">
        <f>MAX(0,G1797-8)</f>
        <v/>
      </c>
    </row>
    <row r="1798">
      <c r="A1798" t="n">
        <v>1135</v>
      </c>
      <c r="B1798" s="14" t="n">
        <v>46252</v>
      </c>
      <c r="C1798" s="17" t="n">
        <v>0.9166666666666666</v>
      </c>
      <c r="D1798" s="17" t="n">
        <v>0.3125</v>
      </c>
      <c r="E1798" t="inlineStr">
        <is>
          <t>Night</t>
        </is>
      </c>
      <c r="F1798" t="inlineStr">
        <is>
          <t>Aug</t>
        </is>
      </c>
      <c r="G1798" s="18">
        <f>IF(D1798&lt;C1798,D1798+1-C1798,D1798-C1798)*24</f>
        <v/>
      </c>
      <c r="H1798" s="18">
        <f>MAX(0,G1798-8)</f>
        <v/>
      </c>
    </row>
    <row r="1799">
      <c r="A1799" t="n">
        <v>1136</v>
      </c>
      <c r="B1799" s="14" t="n">
        <v>46252</v>
      </c>
      <c r="C1799" s="17" t="n">
        <v>0.9166666666666666</v>
      </c>
      <c r="D1799" s="17" t="n">
        <v>0.3541666666666667</v>
      </c>
      <c r="E1799" t="inlineStr">
        <is>
          <t>Night</t>
        </is>
      </c>
      <c r="F1799" t="inlineStr">
        <is>
          <t>Aug</t>
        </is>
      </c>
      <c r="G1799" s="18">
        <f>IF(D1799&lt;C1799,D1799+1-C1799,D1799-C1799)*24</f>
        <v/>
      </c>
      <c r="H1799" s="18">
        <f>MAX(0,G1799-8)</f>
        <v/>
      </c>
    </row>
    <row r="1800">
      <c r="A1800" t="n">
        <v>1137</v>
      </c>
      <c r="B1800" s="14" t="n">
        <v>46252</v>
      </c>
      <c r="C1800" s="17" t="n">
        <v>0.9166666666666666</v>
      </c>
      <c r="D1800" s="17" t="n">
        <v>0.25</v>
      </c>
      <c r="E1800" t="inlineStr">
        <is>
          <t>Night</t>
        </is>
      </c>
      <c r="F1800" t="inlineStr">
        <is>
          <t>Aug</t>
        </is>
      </c>
      <c r="G1800" s="18">
        <f>IF(D1800&lt;C1800,D1800+1-C1800,D1800-C1800)*24</f>
        <v/>
      </c>
      <c r="H1800" s="18">
        <f>MAX(0,G1800-8)</f>
        <v/>
      </c>
    </row>
    <row r="1801">
      <c r="A1801" t="n">
        <v>1147</v>
      </c>
      <c r="B1801" s="14" t="n">
        <v>46252</v>
      </c>
      <c r="C1801" s="17" t="n">
        <v>0.9166666666666666</v>
      </c>
      <c r="D1801" s="17" t="n">
        <v>0.3541666666666667</v>
      </c>
      <c r="E1801" t="inlineStr">
        <is>
          <t>Night</t>
        </is>
      </c>
      <c r="F1801" t="inlineStr">
        <is>
          <t>Aug</t>
        </is>
      </c>
      <c r="G1801" s="18">
        <f>IF(D1801&lt;C1801,D1801+1-C1801,D1801-C1801)*24</f>
        <v/>
      </c>
      <c r="H1801" s="18">
        <f>MAX(0,G1801-8)</f>
        <v/>
      </c>
    </row>
    <row r="1802">
      <c r="A1802" t="n">
        <v>1111</v>
      </c>
      <c r="B1802" s="14" t="n">
        <v>46252</v>
      </c>
      <c r="C1802" s="17" t="n">
        <v>0.01041666666666667</v>
      </c>
      <c r="D1802" s="17" t="n">
        <v>0.46875</v>
      </c>
      <c r="E1802" t="inlineStr">
        <is>
          <t>Night</t>
        </is>
      </c>
      <c r="F1802" t="inlineStr">
        <is>
          <t>Aug</t>
        </is>
      </c>
      <c r="G1802" s="18">
        <f>IF(D1802&lt;C1802,D1802+1-C1802,D1802-C1802)*24</f>
        <v/>
      </c>
      <c r="H1802" s="18">
        <f>MAX(0,G1802-8)</f>
        <v/>
      </c>
    </row>
    <row r="1803">
      <c r="A1803" t="n">
        <v>1112</v>
      </c>
      <c r="B1803" s="14" t="n">
        <v>46252</v>
      </c>
      <c r="C1803" s="17" t="n">
        <v>0.02083333333333333</v>
      </c>
      <c r="D1803" s="17" t="n">
        <v>0.4791666666666667</v>
      </c>
      <c r="E1803" t="inlineStr">
        <is>
          <t>Night</t>
        </is>
      </c>
      <c r="F1803" t="inlineStr">
        <is>
          <t>Aug</t>
        </is>
      </c>
      <c r="G1803" s="18">
        <f>IF(D1803&lt;C1803,D1803+1-C1803,D1803-C1803)*24</f>
        <v/>
      </c>
      <c r="H1803" s="18">
        <f>MAX(0,G1803-8)</f>
        <v/>
      </c>
    </row>
    <row r="1804">
      <c r="A1804" t="n">
        <v>1114</v>
      </c>
      <c r="B1804" s="14" t="n">
        <v>46252</v>
      </c>
      <c r="C1804" s="17" t="n">
        <v>0.02083333333333333</v>
      </c>
      <c r="D1804" s="17" t="n">
        <v>0.375</v>
      </c>
      <c r="E1804" t="inlineStr">
        <is>
          <t>Night</t>
        </is>
      </c>
      <c r="F1804" t="inlineStr">
        <is>
          <t>Aug</t>
        </is>
      </c>
      <c r="G1804" s="18">
        <f>IF(D1804&lt;C1804,D1804+1-C1804,D1804-C1804)*24</f>
        <v/>
      </c>
      <c r="H1804" s="18">
        <f>MAX(0,G1804-8)</f>
        <v/>
      </c>
    </row>
    <row r="1805">
      <c r="A1805" t="n">
        <v>1120</v>
      </c>
      <c r="B1805" s="14" t="n">
        <v>46252</v>
      </c>
      <c r="C1805" s="17" t="n">
        <v>0.01041666666666667</v>
      </c>
      <c r="D1805" s="17" t="n">
        <v>0.3645833333333333</v>
      </c>
      <c r="E1805" t="inlineStr">
        <is>
          <t>Night</t>
        </is>
      </c>
      <c r="F1805" t="inlineStr">
        <is>
          <t>Aug</t>
        </is>
      </c>
      <c r="G1805" s="18">
        <f>IF(D1805&lt;C1805,D1805+1-C1805,D1805-C1805)*24</f>
        <v/>
      </c>
      <c r="H1805" s="18">
        <f>MAX(0,G1805-8)</f>
        <v/>
      </c>
    </row>
    <row r="1806">
      <c r="A1806" t="n">
        <v>1131</v>
      </c>
      <c r="B1806" s="14" t="n">
        <v>46252</v>
      </c>
      <c r="C1806" s="17" t="n">
        <v>0.01041666666666667</v>
      </c>
      <c r="D1806" s="17" t="n">
        <v>0.34375</v>
      </c>
      <c r="E1806" t="inlineStr">
        <is>
          <t>Night</t>
        </is>
      </c>
      <c r="F1806" t="inlineStr">
        <is>
          <t>Aug</t>
        </is>
      </c>
      <c r="G1806" s="18">
        <f>IF(D1806&lt;C1806,D1806+1-C1806,D1806-C1806)*24</f>
        <v/>
      </c>
      <c r="H1806" s="18">
        <f>MAX(0,G1806-8)</f>
        <v/>
      </c>
    </row>
    <row r="1807">
      <c r="A1807" t="n">
        <v>1201</v>
      </c>
      <c r="B1807" s="14" t="n">
        <v>46252</v>
      </c>
      <c r="C1807" s="17" t="n">
        <v>0.2708333333333333</v>
      </c>
      <c r="D1807" s="17" t="n">
        <v>0.6041666666666666</v>
      </c>
      <c r="E1807" t="inlineStr">
        <is>
          <t>Day</t>
        </is>
      </c>
      <c r="F1807" t="inlineStr">
        <is>
          <t>Aug</t>
        </is>
      </c>
      <c r="G1807" s="18">
        <f>IF(D1807&lt;C1807,D1807+1-C1807,D1807-C1807)*24</f>
        <v/>
      </c>
      <c r="H1807" s="18">
        <f>MAX(0,G1807-8)</f>
        <v/>
      </c>
    </row>
    <row r="1808">
      <c r="A1808" t="n">
        <v>1202</v>
      </c>
      <c r="B1808" s="14" t="n">
        <v>46252</v>
      </c>
      <c r="C1808" s="17" t="n">
        <v>0.25</v>
      </c>
      <c r="D1808" s="17" t="n">
        <v>0.625</v>
      </c>
      <c r="E1808" t="inlineStr">
        <is>
          <t>Day</t>
        </is>
      </c>
      <c r="F1808" t="inlineStr">
        <is>
          <t>Aug</t>
        </is>
      </c>
      <c r="G1808" s="18">
        <f>IF(D1808&lt;C1808,D1808+1-C1808,D1808-C1808)*24</f>
        <v/>
      </c>
      <c r="H1808" s="18">
        <f>MAX(0,G1808-8)</f>
        <v/>
      </c>
    </row>
    <row r="1809">
      <c r="A1809" t="n">
        <v>1203</v>
      </c>
      <c r="B1809" s="14" t="n">
        <v>46252</v>
      </c>
      <c r="C1809" s="17" t="n">
        <v>0.2708333333333333</v>
      </c>
      <c r="D1809" s="17" t="n">
        <v>0.6458333333333334</v>
      </c>
      <c r="E1809" t="inlineStr">
        <is>
          <t>Day</t>
        </is>
      </c>
      <c r="F1809" t="inlineStr">
        <is>
          <t>Aug</t>
        </is>
      </c>
      <c r="G1809" s="18">
        <f>IF(D1809&lt;C1809,D1809+1-C1809,D1809-C1809)*24</f>
        <v/>
      </c>
      <c r="H1809" s="18">
        <f>MAX(0,G1809-8)</f>
        <v/>
      </c>
    </row>
    <row r="1810">
      <c r="A1810" t="n">
        <v>1204</v>
      </c>
      <c r="B1810" s="14" t="n">
        <v>46252</v>
      </c>
      <c r="C1810" s="17" t="n">
        <v>0.2708333333333333</v>
      </c>
      <c r="D1810" s="17" t="n">
        <v>0.6458333333333334</v>
      </c>
      <c r="E1810" t="inlineStr">
        <is>
          <t>Day</t>
        </is>
      </c>
      <c r="F1810" t="inlineStr">
        <is>
          <t>Aug</t>
        </is>
      </c>
      <c r="G1810" s="18">
        <f>IF(D1810&lt;C1810,D1810+1-C1810,D1810-C1810)*24</f>
        <v/>
      </c>
      <c r="H1810" s="18">
        <f>MAX(0,G1810-8)</f>
        <v/>
      </c>
    </row>
    <row r="1811">
      <c r="A1811" t="n">
        <v>1205</v>
      </c>
      <c r="B1811" s="14" t="n">
        <v>46252</v>
      </c>
      <c r="C1811" s="17" t="n">
        <v>0.2708333333333333</v>
      </c>
      <c r="D1811" s="17" t="n">
        <v>0.6875</v>
      </c>
      <c r="E1811" t="inlineStr">
        <is>
          <t>Day</t>
        </is>
      </c>
      <c r="F1811" t="inlineStr">
        <is>
          <t>Aug</t>
        </is>
      </c>
      <c r="G1811" s="18">
        <f>IF(D1811&lt;C1811,D1811+1-C1811,D1811-C1811)*24</f>
        <v/>
      </c>
      <c r="H1811" s="18">
        <f>MAX(0,G1811-8)</f>
        <v/>
      </c>
    </row>
    <row r="1812">
      <c r="A1812" t="n">
        <v>1206</v>
      </c>
      <c r="B1812" s="14" t="n">
        <v>46252</v>
      </c>
      <c r="C1812" s="17" t="n">
        <v>0.25</v>
      </c>
      <c r="D1812" s="17" t="n">
        <v>0.625</v>
      </c>
      <c r="E1812" t="inlineStr">
        <is>
          <t>Day</t>
        </is>
      </c>
      <c r="F1812" t="inlineStr">
        <is>
          <t>Aug</t>
        </is>
      </c>
      <c r="G1812" s="18">
        <f>IF(D1812&lt;C1812,D1812+1-C1812,D1812-C1812)*24</f>
        <v/>
      </c>
      <c r="H1812" s="18">
        <f>MAX(0,G1812-8)</f>
        <v/>
      </c>
    </row>
    <row r="1813">
      <c r="A1813" t="n">
        <v>1207</v>
      </c>
      <c r="B1813" s="14" t="n">
        <v>46252</v>
      </c>
      <c r="C1813" s="17" t="n">
        <v>0.25</v>
      </c>
      <c r="D1813" s="17" t="n">
        <v>0.5833333333333334</v>
      </c>
      <c r="E1813" t="inlineStr">
        <is>
          <t>Day</t>
        </is>
      </c>
      <c r="F1813" t="inlineStr">
        <is>
          <t>Aug</t>
        </is>
      </c>
      <c r="G1813" s="18">
        <f>IF(D1813&lt;C1813,D1813+1-C1813,D1813-C1813)*24</f>
        <v/>
      </c>
      <c r="H1813" s="18">
        <f>MAX(0,G1813-8)</f>
        <v/>
      </c>
    </row>
    <row r="1814">
      <c r="A1814" t="n">
        <v>1208</v>
      </c>
      <c r="B1814" s="14" t="n">
        <v>46252</v>
      </c>
      <c r="C1814" s="17" t="n">
        <v>0.25</v>
      </c>
      <c r="D1814" s="17" t="n">
        <v>0.5833333333333334</v>
      </c>
      <c r="E1814" t="inlineStr">
        <is>
          <t>Day</t>
        </is>
      </c>
      <c r="F1814" t="inlineStr">
        <is>
          <t>Aug</t>
        </is>
      </c>
      <c r="G1814" s="18">
        <f>IF(D1814&lt;C1814,D1814+1-C1814,D1814-C1814)*24</f>
        <v/>
      </c>
      <c r="H1814" s="18">
        <f>MAX(0,G1814-8)</f>
        <v/>
      </c>
    </row>
    <row r="1815">
      <c r="A1815" t="n">
        <v>1209</v>
      </c>
      <c r="B1815" s="14" t="n">
        <v>46252</v>
      </c>
      <c r="C1815" s="17" t="n">
        <v>0.2708333333333333</v>
      </c>
      <c r="D1815" s="17" t="n">
        <v>0.6041666666666666</v>
      </c>
      <c r="E1815" t="inlineStr">
        <is>
          <t>Day</t>
        </is>
      </c>
      <c r="F1815" t="inlineStr">
        <is>
          <t>Aug</t>
        </is>
      </c>
      <c r="G1815" s="18">
        <f>IF(D1815&lt;C1815,D1815+1-C1815,D1815-C1815)*24</f>
        <v/>
      </c>
      <c r="H1815" s="18">
        <f>MAX(0,G1815-8)</f>
        <v/>
      </c>
    </row>
    <row r="1816">
      <c r="A1816" t="n">
        <v>1210</v>
      </c>
      <c r="B1816" s="14" t="n">
        <v>46252</v>
      </c>
      <c r="C1816" s="17" t="n">
        <v>0.25</v>
      </c>
      <c r="D1816" s="17" t="n">
        <v>0.5833333333333334</v>
      </c>
      <c r="E1816" t="inlineStr">
        <is>
          <t>Day</t>
        </is>
      </c>
      <c r="F1816" t="inlineStr">
        <is>
          <t>Aug</t>
        </is>
      </c>
      <c r="G1816" s="18">
        <f>IF(D1816&lt;C1816,D1816+1-C1816,D1816-C1816)*24</f>
        <v/>
      </c>
      <c r="H1816" s="18">
        <f>MAX(0,G1816-8)</f>
        <v/>
      </c>
    </row>
    <row r="1817">
      <c r="A1817" t="n">
        <v>1211</v>
      </c>
      <c r="B1817" s="14" t="n">
        <v>46252</v>
      </c>
      <c r="C1817" s="17" t="n">
        <v>0.2708333333333333</v>
      </c>
      <c r="D1817" s="17" t="n">
        <v>0.6041666666666666</v>
      </c>
      <c r="E1817" t="inlineStr">
        <is>
          <t>Day</t>
        </is>
      </c>
      <c r="F1817" t="inlineStr">
        <is>
          <t>Aug</t>
        </is>
      </c>
      <c r="G1817" s="18">
        <f>IF(D1817&lt;C1817,D1817+1-C1817,D1817-C1817)*24</f>
        <v/>
      </c>
      <c r="H1817" s="18">
        <f>MAX(0,G1817-8)</f>
        <v/>
      </c>
    </row>
    <row r="1818">
      <c r="A1818" t="n">
        <v>1212</v>
      </c>
      <c r="B1818" s="14" t="n">
        <v>46252</v>
      </c>
      <c r="C1818" s="17" t="n">
        <v>0.2708333333333333</v>
      </c>
      <c r="D1818" s="17" t="n">
        <v>0.6458333333333334</v>
      </c>
      <c r="E1818" t="inlineStr">
        <is>
          <t>Day</t>
        </is>
      </c>
      <c r="F1818" t="inlineStr">
        <is>
          <t>Aug</t>
        </is>
      </c>
      <c r="G1818" s="18">
        <f>IF(D1818&lt;C1818,D1818+1-C1818,D1818-C1818)*24</f>
        <v/>
      </c>
      <c r="H1818" s="18">
        <f>MAX(0,G1818-8)</f>
        <v/>
      </c>
    </row>
    <row r="1819">
      <c r="A1819" t="n">
        <v>1213</v>
      </c>
      <c r="B1819" s="14" t="n">
        <v>46252</v>
      </c>
      <c r="C1819" s="17" t="n">
        <v>0.2708333333333333</v>
      </c>
      <c r="D1819" s="17" t="n">
        <v>0.6458333333333334</v>
      </c>
      <c r="E1819" t="inlineStr">
        <is>
          <t>Day</t>
        </is>
      </c>
      <c r="F1819" t="inlineStr">
        <is>
          <t>Aug</t>
        </is>
      </c>
      <c r="G1819" s="18">
        <f>IF(D1819&lt;C1819,D1819+1-C1819,D1819-C1819)*24</f>
        <v/>
      </c>
      <c r="H1819" s="18">
        <f>MAX(0,G1819-8)</f>
        <v/>
      </c>
    </row>
    <row r="1820">
      <c r="A1820" t="n">
        <v>1214</v>
      </c>
      <c r="B1820" s="14" t="n">
        <v>46252</v>
      </c>
      <c r="C1820" s="17" t="n">
        <v>0.25</v>
      </c>
      <c r="D1820" s="17" t="n">
        <v>0.625</v>
      </c>
      <c r="E1820" t="inlineStr">
        <is>
          <t>Day</t>
        </is>
      </c>
      <c r="F1820" t="inlineStr">
        <is>
          <t>Aug</t>
        </is>
      </c>
      <c r="G1820" s="18">
        <f>IF(D1820&lt;C1820,D1820+1-C1820,D1820-C1820)*24</f>
        <v/>
      </c>
      <c r="H1820" s="18">
        <f>MAX(0,G1820-8)</f>
        <v/>
      </c>
    </row>
    <row r="1821">
      <c r="A1821" t="n">
        <v>1215</v>
      </c>
      <c r="B1821" s="14" t="n">
        <v>46252</v>
      </c>
      <c r="C1821" s="17" t="n">
        <v>0.2708333333333333</v>
      </c>
      <c r="D1821" s="17" t="n">
        <v>0.6041666666666666</v>
      </c>
      <c r="E1821" t="inlineStr">
        <is>
          <t>Day</t>
        </is>
      </c>
      <c r="F1821" t="inlineStr">
        <is>
          <t>Aug</t>
        </is>
      </c>
      <c r="G1821" s="18">
        <f>IF(D1821&lt;C1821,D1821+1-C1821,D1821-C1821)*24</f>
        <v/>
      </c>
      <c r="H1821" s="18">
        <f>MAX(0,G1821-8)</f>
        <v/>
      </c>
    </row>
    <row r="1822">
      <c r="A1822" t="n">
        <v>1216</v>
      </c>
      <c r="B1822" s="14" t="n">
        <v>46252</v>
      </c>
      <c r="C1822" s="17" t="n">
        <v>0.2708333333333333</v>
      </c>
      <c r="D1822" s="17" t="n">
        <v>0.6041666666666666</v>
      </c>
      <c r="E1822" t="inlineStr">
        <is>
          <t>Day</t>
        </is>
      </c>
      <c r="F1822" t="inlineStr">
        <is>
          <t>Aug</t>
        </is>
      </c>
      <c r="G1822" s="18">
        <f>IF(D1822&lt;C1822,D1822+1-C1822,D1822-C1822)*24</f>
        <v/>
      </c>
      <c r="H1822" s="18">
        <f>MAX(0,G1822-8)</f>
        <v/>
      </c>
    </row>
    <row r="1823">
      <c r="A1823" t="n">
        <v>1217</v>
      </c>
      <c r="B1823" s="14" t="n">
        <v>46252</v>
      </c>
      <c r="C1823" s="17" t="n">
        <v>0.25</v>
      </c>
      <c r="D1823" s="17" t="n">
        <v>0.625</v>
      </c>
      <c r="E1823" t="inlineStr">
        <is>
          <t>Day</t>
        </is>
      </c>
      <c r="F1823" t="inlineStr">
        <is>
          <t>Aug</t>
        </is>
      </c>
      <c r="G1823" s="18">
        <f>IF(D1823&lt;C1823,D1823+1-C1823,D1823-C1823)*24</f>
        <v/>
      </c>
      <c r="H1823" s="18">
        <f>MAX(0,G1823-8)</f>
        <v/>
      </c>
    </row>
    <row r="1824">
      <c r="A1824" t="n">
        <v>1218</v>
      </c>
      <c r="B1824" s="14" t="n">
        <v>46252</v>
      </c>
      <c r="C1824" s="17" t="n">
        <v>0.25</v>
      </c>
      <c r="D1824" s="17" t="n">
        <v>0.5833333333333334</v>
      </c>
      <c r="E1824" t="inlineStr">
        <is>
          <t>Day</t>
        </is>
      </c>
      <c r="F1824" t="inlineStr">
        <is>
          <t>Aug</t>
        </is>
      </c>
      <c r="G1824" s="18">
        <f>IF(D1824&lt;C1824,D1824+1-C1824,D1824-C1824)*24</f>
        <v/>
      </c>
      <c r="H1824" s="18">
        <f>MAX(0,G1824-8)</f>
        <v/>
      </c>
    </row>
    <row r="1825">
      <c r="A1825" t="n">
        <v>1219</v>
      </c>
      <c r="B1825" s="14" t="n">
        <v>46252</v>
      </c>
      <c r="C1825" s="17" t="n">
        <v>0.2708333333333333</v>
      </c>
      <c r="D1825" s="17" t="n">
        <v>0.6041666666666666</v>
      </c>
      <c r="E1825" t="inlineStr">
        <is>
          <t>Day</t>
        </is>
      </c>
      <c r="F1825" t="inlineStr">
        <is>
          <t>Aug</t>
        </is>
      </c>
      <c r="G1825" s="18">
        <f>IF(D1825&lt;C1825,D1825+1-C1825,D1825-C1825)*24</f>
        <v/>
      </c>
      <c r="H1825" s="18">
        <f>MAX(0,G1825-8)</f>
        <v/>
      </c>
    </row>
    <row r="1826">
      <c r="A1826" t="n">
        <v>1220</v>
      </c>
      <c r="B1826" s="14" t="n">
        <v>46252</v>
      </c>
      <c r="C1826" s="17" t="n">
        <v>0.25</v>
      </c>
      <c r="D1826" s="17" t="n">
        <v>0.625</v>
      </c>
      <c r="E1826" t="inlineStr">
        <is>
          <t>Day</t>
        </is>
      </c>
      <c r="F1826" t="inlineStr">
        <is>
          <t>Aug</t>
        </is>
      </c>
      <c r="G1826" s="18">
        <f>IF(D1826&lt;C1826,D1826+1-C1826,D1826-C1826)*24</f>
        <v/>
      </c>
      <c r="H1826" s="18">
        <f>MAX(0,G1826-8)</f>
        <v/>
      </c>
    </row>
    <row r="1827">
      <c r="A1827" t="n">
        <v>1101</v>
      </c>
      <c r="B1827" s="14" t="n">
        <v>46253</v>
      </c>
      <c r="C1827" s="17" t="n">
        <v>0.9166666666666666</v>
      </c>
      <c r="D1827" s="17" t="n">
        <v>0.375</v>
      </c>
      <c r="E1827" t="inlineStr">
        <is>
          <t>Night</t>
        </is>
      </c>
      <c r="F1827" t="inlineStr">
        <is>
          <t>Aug</t>
        </is>
      </c>
      <c r="G1827" s="18">
        <f>IF(D1827&lt;C1827,D1827+1-C1827,D1827-C1827)*24</f>
        <v/>
      </c>
      <c r="H1827" s="18">
        <f>MAX(0,G1827-8)</f>
        <v/>
      </c>
    </row>
    <row r="1828">
      <c r="A1828" t="n">
        <v>1102</v>
      </c>
      <c r="B1828" s="14" t="n">
        <v>46253</v>
      </c>
      <c r="C1828" s="17" t="n">
        <v>0.9166666666666666</v>
      </c>
      <c r="D1828" s="17" t="n">
        <v>0.3958333333333333</v>
      </c>
      <c r="E1828" t="inlineStr">
        <is>
          <t>Night</t>
        </is>
      </c>
      <c r="F1828" t="inlineStr">
        <is>
          <t>Aug</t>
        </is>
      </c>
      <c r="G1828" s="18">
        <f>IF(D1828&lt;C1828,D1828+1-C1828,D1828-C1828)*24</f>
        <v/>
      </c>
      <c r="H1828" s="18">
        <f>MAX(0,G1828-8)</f>
        <v/>
      </c>
    </row>
    <row r="1829">
      <c r="A1829" t="n">
        <v>1103</v>
      </c>
      <c r="B1829" s="14" t="n">
        <v>46253</v>
      </c>
      <c r="C1829" s="17" t="n">
        <v>0.9166666666666666</v>
      </c>
      <c r="D1829" s="17" t="n">
        <v>0.2916666666666667</v>
      </c>
      <c r="E1829" t="inlineStr">
        <is>
          <t>Night</t>
        </is>
      </c>
      <c r="F1829" t="inlineStr">
        <is>
          <t>Aug</t>
        </is>
      </c>
      <c r="G1829" s="18">
        <f>IF(D1829&lt;C1829,D1829+1-C1829,D1829-C1829)*24</f>
        <v/>
      </c>
      <c r="H1829" s="18">
        <f>MAX(0,G1829-8)</f>
        <v/>
      </c>
    </row>
    <row r="1830">
      <c r="A1830" t="n">
        <v>1104</v>
      </c>
      <c r="B1830" s="14" t="n">
        <v>46253</v>
      </c>
      <c r="C1830" s="17" t="n">
        <v>0.9166666666666666</v>
      </c>
      <c r="D1830" s="17" t="n">
        <v>0.25</v>
      </c>
      <c r="E1830" t="inlineStr">
        <is>
          <t>Night</t>
        </is>
      </c>
      <c r="F1830" t="inlineStr">
        <is>
          <t>Aug</t>
        </is>
      </c>
      <c r="G1830" s="18">
        <f>IF(D1830&lt;C1830,D1830+1-C1830,D1830-C1830)*24</f>
        <v/>
      </c>
      <c r="H1830" s="18">
        <f>MAX(0,G1830-8)</f>
        <v/>
      </c>
    </row>
    <row r="1831">
      <c r="A1831" t="n">
        <v>1106</v>
      </c>
      <c r="B1831" s="14" t="n">
        <v>46253</v>
      </c>
      <c r="C1831" s="17" t="n">
        <v>0.9166666666666666</v>
      </c>
      <c r="D1831" s="17" t="n">
        <v>0.2708333333333333</v>
      </c>
      <c r="E1831" t="inlineStr">
        <is>
          <t>Night</t>
        </is>
      </c>
      <c r="F1831" t="inlineStr">
        <is>
          <t>Aug</t>
        </is>
      </c>
      <c r="G1831" s="18">
        <f>IF(D1831&lt;C1831,D1831+1-C1831,D1831-C1831)*24</f>
        <v/>
      </c>
      <c r="H1831" s="18">
        <f>MAX(0,G1831-8)</f>
        <v/>
      </c>
    </row>
    <row r="1832">
      <c r="A1832" t="n">
        <v>1107</v>
      </c>
      <c r="B1832" s="14" t="n">
        <v>46253</v>
      </c>
      <c r="C1832" s="17" t="n">
        <v>0.9375</v>
      </c>
      <c r="D1832" s="17" t="n">
        <v>0.4166666666666667</v>
      </c>
      <c r="E1832" t="inlineStr">
        <is>
          <t>Night</t>
        </is>
      </c>
      <c r="F1832" t="inlineStr">
        <is>
          <t>Aug</t>
        </is>
      </c>
      <c r="G1832" s="18">
        <f>IF(D1832&lt;C1832,D1832+1-C1832,D1832-C1832)*24</f>
        <v/>
      </c>
      <c r="H1832" s="18">
        <f>MAX(0,G1832-8)</f>
        <v/>
      </c>
    </row>
    <row r="1833">
      <c r="A1833" t="n">
        <v>1108</v>
      </c>
      <c r="B1833" s="14" t="n">
        <v>46253</v>
      </c>
      <c r="C1833" s="17" t="n">
        <v>0.9166666666666666</v>
      </c>
      <c r="D1833" s="17" t="n">
        <v>0.3125</v>
      </c>
      <c r="E1833" t="inlineStr">
        <is>
          <t>Night</t>
        </is>
      </c>
      <c r="F1833" t="inlineStr">
        <is>
          <t>Aug</t>
        </is>
      </c>
      <c r="G1833" s="18">
        <f>IF(D1833&lt;C1833,D1833+1-C1833,D1833-C1833)*24</f>
        <v/>
      </c>
      <c r="H1833" s="18">
        <f>MAX(0,G1833-8)</f>
        <v/>
      </c>
    </row>
    <row r="1834">
      <c r="A1834" t="n">
        <v>1109</v>
      </c>
      <c r="B1834" s="14" t="n">
        <v>46253</v>
      </c>
      <c r="C1834" s="17" t="n">
        <v>0.9166666666666666</v>
      </c>
      <c r="D1834" s="17" t="n">
        <v>0.3958333333333333</v>
      </c>
      <c r="E1834" t="inlineStr">
        <is>
          <t>Night</t>
        </is>
      </c>
      <c r="F1834" t="inlineStr">
        <is>
          <t>Aug</t>
        </is>
      </c>
      <c r="G1834" s="18">
        <f>IF(D1834&lt;C1834,D1834+1-C1834,D1834-C1834)*24</f>
        <v/>
      </c>
      <c r="H1834" s="18">
        <f>MAX(0,G1834-8)</f>
        <v/>
      </c>
    </row>
    <row r="1835">
      <c r="A1835" t="n">
        <v>1110</v>
      </c>
      <c r="B1835" s="14" t="n">
        <v>46253</v>
      </c>
      <c r="C1835" s="17" t="n">
        <v>0.9166666666666666</v>
      </c>
      <c r="D1835" s="17" t="n">
        <v>0.3541666666666667</v>
      </c>
      <c r="E1835" t="inlineStr">
        <is>
          <t>Night</t>
        </is>
      </c>
      <c r="F1835" t="inlineStr">
        <is>
          <t>Aug</t>
        </is>
      </c>
      <c r="G1835" s="18">
        <f>IF(D1835&lt;C1835,D1835+1-C1835,D1835-C1835)*24</f>
        <v/>
      </c>
      <c r="H1835" s="18">
        <f>MAX(0,G1835-8)</f>
        <v/>
      </c>
    </row>
    <row r="1836">
      <c r="A1836" t="n">
        <v>1111</v>
      </c>
      <c r="B1836" s="14" t="n">
        <v>46253</v>
      </c>
      <c r="C1836" s="17" t="n">
        <v>0.9166666666666666</v>
      </c>
      <c r="D1836" s="17" t="n">
        <v>0.2916666666666667</v>
      </c>
      <c r="E1836" t="inlineStr">
        <is>
          <t>Night</t>
        </is>
      </c>
      <c r="F1836" t="inlineStr">
        <is>
          <t>Aug</t>
        </is>
      </c>
      <c r="G1836" s="18">
        <f>IF(D1836&lt;C1836,D1836+1-C1836,D1836-C1836)*24</f>
        <v/>
      </c>
      <c r="H1836" s="18">
        <f>MAX(0,G1836-8)</f>
        <v/>
      </c>
    </row>
    <row r="1837">
      <c r="A1837" t="n">
        <v>1112</v>
      </c>
      <c r="B1837" s="14" t="n">
        <v>46253</v>
      </c>
      <c r="C1837" s="17" t="n">
        <v>0.9166666666666666</v>
      </c>
      <c r="D1837" s="17" t="n">
        <v>0.2916666666666667</v>
      </c>
      <c r="E1837" t="inlineStr">
        <is>
          <t>Night</t>
        </is>
      </c>
      <c r="F1837" t="inlineStr">
        <is>
          <t>Aug</t>
        </is>
      </c>
      <c r="G1837" s="18">
        <f>IF(D1837&lt;C1837,D1837+1-C1837,D1837-C1837)*24</f>
        <v/>
      </c>
      <c r="H1837" s="18">
        <f>MAX(0,G1837-8)</f>
        <v/>
      </c>
    </row>
    <row r="1838">
      <c r="A1838" t="n">
        <v>1113</v>
      </c>
      <c r="B1838" s="14" t="n">
        <v>46253</v>
      </c>
      <c r="C1838" s="17" t="n">
        <v>0.9166666666666666</v>
      </c>
      <c r="D1838" s="17" t="n">
        <v>0.2708333333333333</v>
      </c>
      <c r="E1838" t="inlineStr">
        <is>
          <t>Night</t>
        </is>
      </c>
      <c r="F1838" t="inlineStr">
        <is>
          <t>Aug</t>
        </is>
      </c>
      <c r="G1838" s="18">
        <f>IF(D1838&lt;C1838,D1838+1-C1838,D1838-C1838)*24</f>
        <v/>
      </c>
      <c r="H1838" s="18">
        <f>MAX(0,G1838-8)</f>
        <v/>
      </c>
    </row>
    <row r="1839">
      <c r="A1839" t="n">
        <v>1114</v>
      </c>
      <c r="B1839" s="14" t="n">
        <v>46253</v>
      </c>
      <c r="C1839" s="17" t="n">
        <v>0.9166666666666666</v>
      </c>
      <c r="D1839" s="17" t="n">
        <v>0.375</v>
      </c>
      <c r="E1839" t="inlineStr">
        <is>
          <t>Night</t>
        </is>
      </c>
      <c r="F1839" t="inlineStr">
        <is>
          <t>Aug</t>
        </is>
      </c>
      <c r="G1839" s="18">
        <f>IF(D1839&lt;C1839,D1839+1-C1839,D1839-C1839)*24</f>
        <v/>
      </c>
      <c r="H1839" s="18">
        <f>MAX(0,G1839-8)</f>
        <v/>
      </c>
    </row>
    <row r="1840">
      <c r="A1840" t="n">
        <v>1115</v>
      </c>
      <c r="B1840" s="14" t="n">
        <v>46253</v>
      </c>
      <c r="C1840" s="17" t="n">
        <v>0.9166666666666666</v>
      </c>
      <c r="D1840" s="17" t="n">
        <v>0.2708333333333333</v>
      </c>
      <c r="E1840" t="inlineStr">
        <is>
          <t>Night</t>
        </is>
      </c>
      <c r="F1840" t="inlineStr">
        <is>
          <t>Aug</t>
        </is>
      </c>
      <c r="G1840" s="18">
        <f>IF(D1840&lt;C1840,D1840+1-C1840,D1840-C1840)*24</f>
        <v/>
      </c>
      <c r="H1840" s="18">
        <f>MAX(0,G1840-8)</f>
        <v/>
      </c>
    </row>
    <row r="1841">
      <c r="A1841" t="n">
        <v>1116</v>
      </c>
      <c r="B1841" s="14" t="n">
        <v>46253</v>
      </c>
      <c r="C1841" s="17" t="n">
        <v>0.9375</v>
      </c>
      <c r="D1841" s="17" t="n">
        <v>0.2708333333333333</v>
      </c>
      <c r="E1841" t="inlineStr">
        <is>
          <t>Night</t>
        </is>
      </c>
      <c r="F1841" t="inlineStr">
        <is>
          <t>Aug</t>
        </is>
      </c>
      <c r="G1841" s="18">
        <f>IF(D1841&lt;C1841,D1841+1-C1841,D1841-C1841)*24</f>
        <v/>
      </c>
      <c r="H1841" s="18">
        <f>MAX(0,G1841-8)</f>
        <v/>
      </c>
    </row>
    <row r="1842">
      <c r="A1842" t="n">
        <v>1117</v>
      </c>
      <c r="B1842" s="14" t="n">
        <v>46253</v>
      </c>
      <c r="C1842" s="17" t="n">
        <v>0.9166666666666666</v>
      </c>
      <c r="D1842" s="17" t="n">
        <v>0.3958333333333333</v>
      </c>
      <c r="E1842" t="inlineStr">
        <is>
          <t>Night</t>
        </is>
      </c>
      <c r="F1842" t="inlineStr">
        <is>
          <t>Aug</t>
        </is>
      </c>
      <c r="G1842" s="18">
        <f>IF(D1842&lt;C1842,D1842+1-C1842,D1842-C1842)*24</f>
        <v/>
      </c>
      <c r="H1842" s="18">
        <f>MAX(0,G1842-8)</f>
        <v/>
      </c>
    </row>
    <row r="1843">
      <c r="A1843" t="n">
        <v>1118</v>
      </c>
      <c r="B1843" s="14" t="n">
        <v>46253</v>
      </c>
      <c r="C1843" s="17" t="n">
        <v>0.9375</v>
      </c>
      <c r="D1843" s="17" t="n">
        <v>0.3958333333333333</v>
      </c>
      <c r="E1843" t="inlineStr">
        <is>
          <t>Night</t>
        </is>
      </c>
      <c r="F1843" t="inlineStr">
        <is>
          <t>Aug</t>
        </is>
      </c>
      <c r="G1843" s="18">
        <f>IF(D1843&lt;C1843,D1843+1-C1843,D1843-C1843)*24</f>
        <v/>
      </c>
      <c r="H1843" s="18">
        <f>MAX(0,G1843-8)</f>
        <v/>
      </c>
    </row>
    <row r="1844">
      <c r="A1844" t="n">
        <v>1119</v>
      </c>
      <c r="B1844" s="14" t="n">
        <v>46253</v>
      </c>
      <c r="C1844" s="17" t="n">
        <v>0.9166666666666666</v>
      </c>
      <c r="D1844" s="17" t="n">
        <v>0.25</v>
      </c>
      <c r="E1844" t="inlineStr">
        <is>
          <t>Night</t>
        </is>
      </c>
      <c r="F1844" t="inlineStr">
        <is>
          <t>Aug</t>
        </is>
      </c>
      <c r="G1844" s="18">
        <f>IF(D1844&lt;C1844,D1844+1-C1844,D1844-C1844)*24</f>
        <v/>
      </c>
      <c r="H1844" s="18">
        <f>MAX(0,G1844-8)</f>
        <v/>
      </c>
    </row>
    <row r="1845">
      <c r="A1845" t="n">
        <v>1121</v>
      </c>
      <c r="B1845" s="14" t="n">
        <v>46253</v>
      </c>
      <c r="C1845" s="17" t="n">
        <v>0.9166666666666666</v>
      </c>
      <c r="D1845" s="17" t="n">
        <v>0.3125</v>
      </c>
      <c r="E1845" t="inlineStr">
        <is>
          <t>Night</t>
        </is>
      </c>
      <c r="F1845" t="inlineStr">
        <is>
          <t>Aug</t>
        </is>
      </c>
      <c r="G1845" s="18">
        <f>IF(D1845&lt;C1845,D1845+1-C1845,D1845-C1845)*24</f>
        <v/>
      </c>
      <c r="H1845" s="18">
        <f>MAX(0,G1845-8)</f>
        <v/>
      </c>
    </row>
    <row r="1846">
      <c r="A1846" t="n">
        <v>1122</v>
      </c>
      <c r="B1846" s="14" t="n">
        <v>46253</v>
      </c>
      <c r="C1846" s="17" t="n">
        <v>0.9375</v>
      </c>
      <c r="D1846" s="17" t="n">
        <v>0.4166666666666667</v>
      </c>
      <c r="E1846" t="inlineStr">
        <is>
          <t>Night</t>
        </is>
      </c>
      <c r="F1846" t="inlineStr">
        <is>
          <t>Aug</t>
        </is>
      </c>
      <c r="G1846" s="18">
        <f>IF(D1846&lt;C1846,D1846+1-C1846,D1846-C1846)*24</f>
        <v/>
      </c>
      <c r="H1846" s="18">
        <f>MAX(0,G1846-8)</f>
        <v/>
      </c>
    </row>
    <row r="1847">
      <c r="A1847" t="n">
        <v>1123</v>
      </c>
      <c r="B1847" s="14" t="n">
        <v>46253</v>
      </c>
      <c r="C1847" s="17" t="n">
        <v>0.9166666666666666</v>
      </c>
      <c r="D1847" s="17" t="n">
        <v>0.2708333333333333</v>
      </c>
      <c r="E1847" t="inlineStr">
        <is>
          <t>Night</t>
        </is>
      </c>
      <c r="F1847" t="inlineStr">
        <is>
          <t>Aug</t>
        </is>
      </c>
      <c r="G1847" s="18">
        <f>IF(D1847&lt;C1847,D1847+1-C1847,D1847-C1847)*24</f>
        <v/>
      </c>
      <c r="H1847" s="18">
        <f>MAX(0,G1847-8)</f>
        <v/>
      </c>
    </row>
    <row r="1848">
      <c r="A1848" t="n">
        <v>1125</v>
      </c>
      <c r="B1848" s="14" t="n">
        <v>46253</v>
      </c>
      <c r="C1848" s="17" t="n">
        <v>0.9166666666666666</v>
      </c>
      <c r="D1848" s="17" t="n">
        <v>0.375</v>
      </c>
      <c r="E1848" t="inlineStr">
        <is>
          <t>Night</t>
        </is>
      </c>
      <c r="F1848" t="inlineStr">
        <is>
          <t>Aug</t>
        </is>
      </c>
      <c r="G1848" s="18">
        <f>IF(D1848&lt;C1848,D1848+1-C1848,D1848-C1848)*24</f>
        <v/>
      </c>
      <c r="H1848" s="18">
        <f>MAX(0,G1848-8)</f>
        <v/>
      </c>
    </row>
    <row r="1849">
      <c r="A1849" t="n">
        <v>1126</v>
      </c>
      <c r="B1849" s="14" t="n">
        <v>46253</v>
      </c>
      <c r="C1849" s="17" t="n">
        <v>0.9375</v>
      </c>
      <c r="D1849" s="17" t="n">
        <v>0.4166666666666667</v>
      </c>
      <c r="E1849" t="inlineStr">
        <is>
          <t>Night</t>
        </is>
      </c>
      <c r="F1849" t="inlineStr">
        <is>
          <t>Aug</t>
        </is>
      </c>
      <c r="G1849" s="18">
        <f>IF(D1849&lt;C1849,D1849+1-C1849,D1849-C1849)*24</f>
        <v/>
      </c>
      <c r="H1849" s="18">
        <f>MAX(0,G1849-8)</f>
        <v/>
      </c>
    </row>
    <row r="1850">
      <c r="A1850" t="n">
        <v>1127</v>
      </c>
      <c r="B1850" s="14" t="n">
        <v>46253</v>
      </c>
      <c r="C1850" s="17" t="n">
        <v>0.9166666666666666</v>
      </c>
      <c r="D1850" s="17" t="n">
        <v>0.3541666666666667</v>
      </c>
      <c r="E1850" t="inlineStr">
        <is>
          <t>Night</t>
        </is>
      </c>
      <c r="F1850" t="inlineStr">
        <is>
          <t>Aug</t>
        </is>
      </c>
      <c r="G1850" s="18">
        <f>IF(D1850&lt;C1850,D1850+1-C1850,D1850-C1850)*24</f>
        <v/>
      </c>
      <c r="H1850" s="18">
        <f>MAX(0,G1850-8)</f>
        <v/>
      </c>
    </row>
    <row r="1851">
      <c r="A1851" t="n">
        <v>1128</v>
      </c>
      <c r="B1851" s="14" t="n">
        <v>46253</v>
      </c>
      <c r="C1851" s="17" t="n">
        <v>0.9166666666666666</v>
      </c>
      <c r="D1851" s="17" t="n">
        <v>0.3958333333333333</v>
      </c>
      <c r="E1851" t="inlineStr">
        <is>
          <t>Night</t>
        </is>
      </c>
      <c r="F1851" t="inlineStr">
        <is>
          <t>Aug</t>
        </is>
      </c>
      <c r="G1851" s="18">
        <f>IF(D1851&lt;C1851,D1851+1-C1851,D1851-C1851)*24</f>
        <v/>
      </c>
      <c r="H1851" s="18">
        <f>MAX(0,G1851-8)</f>
        <v/>
      </c>
    </row>
    <row r="1852">
      <c r="A1852" t="n">
        <v>1129</v>
      </c>
      <c r="B1852" s="14" t="n">
        <v>46253</v>
      </c>
      <c r="C1852" s="17" t="n">
        <v>0.9375</v>
      </c>
      <c r="D1852" s="17" t="n">
        <v>0.2708333333333333</v>
      </c>
      <c r="E1852" t="inlineStr">
        <is>
          <t>Night</t>
        </is>
      </c>
      <c r="F1852" t="inlineStr">
        <is>
          <t>Aug</t>
        </is>
      </c>
      <c r="G1852" s="18">
        <f>IF(D1852&lt;C1852,D1852+1-C1852,D1852-C1852)*24</f>
        <v/>
      </c>
      <c r="H1852" s="18">
        <f>MAX(0,G1852-8)</f>
        <v/>
      </c>
    </row>
    <row r="1853">
      <c r="A1853" t="n">
        <v>1130</v>
      </c>
      <c r="B1853" s="14" t="n">
        <v>46253</v>
      </c>
      <c r="C1853" s="17" t="n">
        <v>0.9270833333333334</v>
      </c>
      <c r="D1853" s="17" t="n">
        <v>0.2604166666666667</v>
      </c>
      <c r="E1853" t="inlineStr">
        <is>
          <t>Night</t>
        </is>
      </c>
      <c r="F1853" t="inlineStr">
        <is>
          <t>Aug</t>
        </is>
      </c>
      <c r="G1853" s="18">
        <f>IF(D1853&lt;C1853,D1853+1-C1853,D1853-C1853)*24</f>
        <v/>
      </c>
      <c r="H1853" s="18">
        <f>MAX(0,G1853-8)</f>
        <v/>
      </c>
    </row>
    <row r="1854">
      <c r="A1854" t="n">
        <v>1131</v>
      </c>
      <c r="B1854" s="14" t="n">
        <v>46253</v>
      </c>
      <c r="C1854" s="17" t="n">
        <v>0.9166666666666666</v>
      </c>
      <c r="D1854" s="17" t="n">
        <v>0.2916666666666667</v>
      </c>
      <c r="E1854" t="inlineStr">
        <is>
          <t>Night</t>
        </is>
      </c>
      <c r="F1854" t="inlineStr">
        <is>
          <t>Aug</t>
        </is>
      </c>
      <c r="G1854" s="18">
        <f>IF(D1854&lt;C1854,D1854+1-C1854,D1854-C1854)*24</f>
        <v/>
      </c>
      <c r="H1854" s="18">
        <f>MAX(0,G1854-8)</f>
        <v/>
      </c>
    </row>
    <row r="1855">
      <c r="A1855" t="n">
        <v>1132</v>
      </c>
      <c r="B1855" s="14" t="n">
        <v>46253</v>
      </c>
      <c r="C1855" s="17" t="n">
        <v>0.9166666666666666</v>
      </c>
      <c r="D1855" s="17" t="n">
        <v>0.25</v>
      </c>
      <c r="E1855" t="inlineStr">
        <is>
          <t>Night</t>
        </is>
      </c>
      <c r="F1855" t="inlineStr">
        <is>
          <t>Aug</t>
        </is>
      </c>
      <c r="G1855" s="18">
        <f>IF(D1855&lt;C1855,D1855+1-C1855,D1855-C1855)*24</f>
        <v/>
      </c>
      <c r="H1855" s="18">
        <f>MAX(0,G1855-8)</f>
        <v/>
      </c>
    </row>
    <row r="1856">
      <c r="A1856" t="n">
        <v>1133</v>
      </c>
      <c r="B1856" s="14" t="n">
        <v>46253</v>
      </c>
      <c r="C1856" s="17" t="n">
        <v>0.9166666666666666</v>
      </c>
      <c r="D1856" s="17" t="n">
        <v>0.3541666666666667</v>
      </c>
      <c r="E1856" t="inlineStr">
        <is>
          <t>Night</t>
        </is>
      </c>
      <c r="F1856" t="inlineStr">
        <is>
          <t>Aug</t>
        </is>
      </c>
      <c r="G1856" s="18">
        <f>IF(D1856&lt;C1856,D1856+1-C1856,D1856-C1856)*24</f>
        <v/>
      </c>
      <c r="H1856" s="18">
        <f>MAX(0,G1856-8)</f>
        <v/>
      </c>
    </row>
    <row r="1857">
      <c r="A1857" t="n">
        <v>1134</v>
      </c>
      <c r="B1857" s="14" t="n">
        <v>46253</v>
      </c>
      <c r="C1857" s="17" t="n">
        <v>0.9166666666666666</v>
      </c>
      <c r="D1857" s="17" t="n">
        <v>0.25</v>
      </c>
      <c r="E1857" t="inlineStr">
        <is>
          <t>Night</t>
        </is>
      </c>
      <c r="F1857" t="inlineStr">
        <is>
          <t>Aug</t>
        </is>
      </c>
      <c r="G1857" s="18">
        <f>IF(D1857&lt;C1857,D1857+1-C1857,D1857-C1857)*24</f>
        <v/>
      </c>
      <c r="H1857" s="18">
        <f>MAX(0,G1857-8)</f>
        <v/>
      </c>
    </row>
    <row r="1858">
      <c r="A1858" t="n">
        <v>1135</v>
      </c>
      <c r="B1858" s="14" t="n">
        <v>46253</v>
      </c>
      <c r="C1858" s="17" t="n">
        <v>0.9270833333333334</v>
      </c>
      <c r="D1858" s="17" t="n">
        <v>0.28125</v>
      </c>
      <c r="E1858" t="inlineStr">
        <is>
          <t>Night</t>
        </is>
      </c>
      <c r="F1858" t="inlineStr">
        <is>
          <t>Aug</t>
        </is>
      </c>
      <c r="G1858" s="18">
        <f>IF(D1858&lt;C1858,D1858+1-C1858,D1858-C1858)*24</f>
        <v/>
      </c>
      <c r="H1858" s="18">
        <f>MAX(0,G1858-8)</f>
        <v/>
      </c>
    </row>
    <row r="1859">
      <c r="A1859" t="n">
        <v>1147</v>
      </c>
      <c r="B1859" s="14" t="n">
        <v>46253</v>
      </c>
      <c r="C1859" s="17" t="n">
        <v>0.9166666666666666</v>
      </c>
      <c r="D1859" s="17" t="n">
        <v>0.3125</v>
      </c>
      <c r="E1859" t="inlineStr">
        <is>
          <t>Night</t>
        </is>
      </c>
      <c r="F1859" t="inlineStr">
        <is>
          <t>Aug</t>
        </is>
      </c>
      <c r="G1859" s="18">
        <f>IF(D1859&lt;C1859,D1859+1-C1859,D1859-C1859)*24</f>
        <v/>
      </c>
      <c r="H1859" s="18">
        <f>MAX(0,G1859-8)</f>
        <v/>
      </c>
    </row>
    <row r="1860">
      <c r="A1860" t="n">
        <v>1120</v>
      </c>
      <c r="B1860" s="14" t="n">
        <v>46253</v>
      </c>
      <c r="C1860" s="17" t="n">
        <v>0.02083333333333333</v>
      </c>
      <c r="D1860" s="17" t="n">
        <v>0.3541666666666667</v>
      </c>
      <c r="E1860" t="inlineStr">
        <is>
          <t>Night</t>
        </is>
      </c>
      <c r="F1860" t="inlineStr">
        <is>
          <t>Aug</t>
        </is>
      </c>
      <c r="G1860" s="18">
        <f>IF(D1860&lt;C1860,D1860+1-C1860,D1860-C1860)*24</f>
        <v/>
      </c>
      <c r="H1860" s="18">
        <f>MAX(0,G1860-8)</f>
        <v/>
      </c>
    </row>
    <row r="1861">
      <c r="A1861" t="n">
        <v>1137</v>
      </c>
      <c r="B1861" s="14" t="n">
        <v>46253</v>
      </c>
      <c r="C1861" s="17" t="n">
        <v>0.02083333333333333</v>
      </c>
      <c r="D1861" s="17" t="n">
        <v>0.5</v>
      </c>
      <c r="E1861" t="inlineStr">
        <is>
          <t>Night</t>
        </is>
      </c>
      <c r="F1861" t="inlineStr">
        <is>
          <t>Aug</t>
        </is>
      </c>
      <c r="G1861" s="18">
        <f>IF(D1861&lt;C1861,D1861+1-C1861,D1861-C1861)*24</f>
        <v/>
      </c>
      <c r="H1861" s="18">
        <f>MAX(0,G1861-8)</f>
        <v/>
      </c>
    </row>
    <row r="1862">
      <c r="A1862" t="n">
        <v>1201</v>
      </c>
      <c r="B1862" s="14" t="n">
        <v>46253</v>
      </c>
      <c r="C1862" s="17" t="n">
        <v>0.2708333333333333</v>
      </c>
      <c r="D1862" s="17" t="n">
        <v>0.6041666666666666</v>
      </c>
      <c r="E1862" t="inlineStr">
        <is>
          <t>Day</t>
        </is>
      </c>
      <c r="F1862" t="inlineStr">
        <is>
          <t>Aug</t>
        </is>
      </c>
      <c r="G1862" s="18">
        <f>IF(D1862&lt;C1862,D1862+1-C1862,D1862-C1862)*24</f>
        <v/>
      </c>
      <c r="H1862" s="18">
        <f>MAX(0,G1862-8)</f>
        <v/>
      </c>
    </row>
    <row r="1863">
      <c r="A1863" t="n">
        <v>1202</v>
      </c>
      <c r="B1863" s="14" t="n">
        <v>46253</v>
      </c>
      <c r="C1863" s="17" t="n">
        <v>0.25</v>
      </c>
      <c r="D1863" s="17" t="n">
        <v>0.625</v>
      </c>
      <c r="E1863" t="inlineStr">
        <is>
          <t>Day</t>
        </is>
      </c>
      <c r="F1863" t="inlineStr">
        <is>
          <t>Aug</t>
        </is>
      </c>
      <c r="G1863" s="18">
        <f>IF(D1863&lt;C1863,D1863+1-C1863,D1863-C1863)*24</f>
        <v/>
      </c>
      <c r="H1863" s="18">
        <f>MAX(0,G1863-8)</f>
        <v/>
      </c>
    </row>
    <row r="1864">
      <c r="A1864" t="n">
        <v>1203</v>
      </c>
      <c r="B1864" s="14" t="n">
        <v>46253</v>
      </c>
      <c r="C1864" s="17" t="n">
        <v>0.2708333333333333</v>
      </c>
      <c r="D1864" s="17" t="n">
        <v>0.6041666666666666</v>
      </c>
      <c r="E1864" t="inlineStr">
        <is>
          <t>Day</t>
        </is>
      </c>
      <c r="F1864" t="inlineStr">
        <is>
          <t>Aug</t>
        </is>
      </c>
      <c r="G1864" s="18">
        <f>IF(D1864&lt;C1864,D1864+1-C1864,D1864-C1864)*24</f>
        <v/>
      </c>
      <c r="H1864" s="18">
        <f>MAX(0,G1864-8)</f>
        <v/>
      </c>
    </row>
    <row r="1865">
      <c r="A1865" t="n">
        <v>1204</v>
      </c>
      <c r="B1865" s="14" t="n">
        <v>46253</v>
      </c>
      <c r="C1865" s="17" t="n">
        <v>0.25</v>
      </c>
      <c r="D1865" s="17" t="n">
        <v>0.625</v>
      </c>
      <c r="E1865" t="inlineStr">
        <is>
          <t>Day</t>
        </is>
      </c>
      <c r="F1865" t="inlineStr">
        <is>
          <t>Aug</t>
        </is>
      </c>
      <c r="G1865" s="18">
        <f>IF(D1865&lt;C1865,D1865+1-C1865,D1865-C1865)*24</f>
        <v/>
      </c>
      <c r="H1865" s="18">
        <f>MAX(0,G1865-8)</f>
        <v/>
      </c>
    </row>
    <row r="1866">
      <c r="A1866" t="n">
        <v>1205</v>
      </c>
      <c r="B1866" s="14" t="n">
        <v>46253</v>
      </c>
      <c r="C1866" s="17" t="n">
        <v>0.25</v>
      </c>
      <c r="D1866" s="17" t="n">
        <v>0.5833333333333334</v>
      </c>
      <c r="E1866" t="inlineStr">
        <is>
          <t>Day</t>
        </is>
      </c>
      <c r="F1866" t="inlineStr">
        <is>
          <t>Aug</t>
        </is>
      </c>
      <c r="G1866" s="18">
        <f>IF(D1866&lt;C1866,D1866+1-C1866,D1866-C1866)*24</f>
        <v/>
      </c>
      <c r="H1866" s="18">
        <f>MAX(0,G1866-8)</f>
        <v/>
      </c>
    </row>
    <row r="1867">
      <c r="A1867" t="n">
        <v>1206</v>
      </c>
      <c r="B1867" s="14" t="n">
        <v>46253</v>
      </c>
      <c r="C1867" s="17" t="n">
        <v>0.25</v>
      </c>
      <c r="D1867" s="17" t="n">
        <v>0.5833333333333334</v>
      </c>
      <c r="E1867" t="inlineStr">
        <is>
          <t>Day</t>
        </is>
      </c>
      <c r="F1867" t="inlineStr">
        <is>
          <t>Aug</t>
        </is>
      </c>
      <c r="G1867" s="18">
        <f>IF(D1867&lt;C1867,D1867+1-C1867,D1867-C1867)*24</f>
        <v/>
      </c>
      <c r="H1867" s="18">
        <f>MAX(0,G1867-8)</f>
        <v/>
      </c>
    </row>
    <row r="1868">
      <c r="A1868" t="n">
        <v>1207</v>
      </c>
      <c r="B1868" s="14" t="n">
        <v>46253</v>
      </c>
      <c r="C1868" s="17" t="n">
        <v>0.2708333333333333</v>
      </c>
      <c r="D1868" s="17" t="n">
        <v>0.6041666666666666</v>
      </c>
      <c r="E1868" t="inlineStr">
        <is>
          <t>Day</t>
        </is>
      </c>
      <c r="F1868" t="inlineStr">
        <is>
          <t>Aug</t>
        </is>
      </c>
      <c r="G1868" s="18">
        <f>IF(D1868&lt;C1868,D1868+1-C1868,D1868-C1868)*24</f>
        <v/>
      </c>
      <c r="H1868" s="18">
        <f>MAX(0,G1868-8)</f>
        <v/>
      </c>
    </row>
    <row r="1869">
      <c r="A1869" t="n">
        <v>1208</v>
      </c>
      <c r="B1869" s="14" t="n">
        <v>46253</v>
      </c>
      <c r="C1869" s="17" t="n">
        <v>0.25</v>
      </c>
      <c r="D1869" s="17" t="n">
        <v>0.5833333333333334</v>
      </c>
      <c r="E1869" t="inlineStr">
        <is>
          <t>Day</t>
        </is>
      </c>
      <c r="F1869" t="inlineStr">
        <is>
          <t>Aug</t>
        </is>
      </c>
      <c r="G1869" s="18">
        <f>IF(D1869&lt;C1869,D1869+1-C1869,D1869-C1869)*24</f>
        <v/>
      </c>
      <c r="H1869" s="18">
        <f>MAX(0,G1869-8)</f>
        <v/>
      </c>
    </row>
    <row r="1870">
      <c r="A1870" t="n">
        <v>1210</v>
      </c>
      <c r="B1870" s="14" t="n">
        <v>46253</v>
      </c>
      <c r="C1870" s="17" t="n">
        <v>0.2708333333333333</v>
      </c>
      <c r="D1870" s="17" t="n">
        <v>0.6875</v>
      </c>
      <c r="E1870" t="inlineStr">
        <is>
          <t>Day</t>
        </is>
      </c>
      <c r="F1870" t="inlineStr">
        <is>
          <t>Aug</t>
        </is>
      </c>
      <c r="G1870" s="18">
        <f>IF(D1870&lt;C1870,D1870+1-C1870,D1870-C1870)*24</f>
        <v/>
      </c>
      <c r="H1870" s="18">
        <f>MAX(0,G1870-8)</f>
        <v/>
      </c>
    </row>
    <row r="1871">
      <c r="A1871" t="n">
        <v>1211</v>
      </c>
      <c r="B1871" s="14" t="n">
        <v>46253</v>
      </c>
      <c r="C1871" s="17" t="n">
        <v>0.25</v>
      </c>
      <c r="D1871" s="17" t="n">
        <v>0.625</v>
      </c>
      <c r="E1871" t="inlineStr">
        <is>
          <t>Day</t>
        </is>
      </c>
      <c r="F1871" t="inlineStr">
        <is>
          <t>Aug</t>
        </is>
      </c>
      <c r="G1871" s="18">
        <f>IF(D1871&lt;C1871,D1871+1-C1871,D1871-C1871)*24</f>
        <v/>
      </c>
      <c r="H1871" s="18">
        <f>MAX(0,G1871-8)</f>
        <v/>
      </c>
    </row>
    <row r="1872">
      <c r="A1872" t="n">
        <v>1212</v>
      </c>
      <c r="B1872" s="14" t="n">
        <v>46253</v>
      </c>
      <c r="C1872" s="17" t="n">
        <v>0.2708333333333333</v>
      </c>
      <c r="D1872" s="17" t="n">
        <v>0.625</v>
      </c>
      <c r="E1872" t="inlineStr">
        <is>
          <t>Day</t>
        </is>
      </c>
      <c r="F1872" t="inlineStr">
        <is>
          <t>Aug</t>
        </is>
      </c>
      <c r="G1872" s="18">
        <f>IF(D1872&lt;C1872,D1872+1-C1872,D1872-C1872)*24</f>
        <v/>
      </c>
      <c r="H1872" s="18">
        <f>MAX(0,G1872-8)</f>
        <v/>
      </c>
    </row>
    <row r="1873">
      <c r="A1873" t="n">
        <v>1213</v>
      </c>
      <c r="B1873" s="14" t="n">
        <v>46253</v>
      </c>
      <c r="C1873" s="17" t="n">
        <v>0.25</v>
      </c>
      <c r="D1873" s="17" t="n">
        <v>0.6041666666666666</v>
      </c>
      <c r="E1873" t="inlineStr">
        <is>
          <t>Day</t>
        </is>
      </c>
      <c r="F1873" t="inlineStr">
        <is>
          <t>Aug</t>
        </is>
      </c>
      <c r="G1873" s="18">
        <f>IF(D1873&lt;C1873,D1873+1-C1873,D1873-C1873)*24</f>
        <v/>
      </c>
      <c r="H1873" s="18">
        <f>MAX(0,G1873-8)</f>
        <v/>
      </c>
    </row>
    <row r="1874">
      <c r="A1874" t="n">
        <v>1214</v>
      </c>
      <c r="B1874" s="14" t="n">
        <v>46253</v>
      </c>
      <c r="C1874" s="17" t="n">
        <v>0.2708333333333333</v>
      </c>
      <c r="D1874" s="17" t="n">
        <v>0.6041666666666666</v>
      </c>
      <c r="E1874" t="inlineStr">
        <is>
          <t>Day</t>
        </is>
      </c>
      <c r="F1874" t="inlineStr">
        <is>
          <t>Aug</t>
        </is>
      </c>
      <c r="G1874" s="18">
        <f>IF(D1874&lt;C1874,D1874+1-C1874,D1874-C1874)*24</f>
        <v/>
      </c>
      <c r="H1874" s="18">
        <f>MAX(0,G1874-8)</f>
        <v/>
      </c>
    </row>
    <row r="1875">
      <c r="A1875" t="n">
        <v>1215</v>
      </c>
      <c r="B1875" s="14" t="n">
        <v>46253</v>
      </c>
      <c r="C1875" s="17" t="n">
        <v>0.25</v>
      </c>
      <c r="D1875" s="17" t="n">
        <v>0.625</v>
      </c>
      <c r="E1875" t="inlineStr">
        <is>
          <t>Day</t>
        </is>
      </c>
      <c r="F1875" t="inlineStr">
        <is>
          <t>Aug</t>
        </is>
      </c>
      <c r="G1875" s="18">
        <f>IF(D1875&lt;C1875,D1875+1-C1875,D1875-C1875)*24</f>
        <v/>
      </c>
      <c r="H1875" s="18">
        <f>MAX(0,G1875-8)</f>
        <v/>
      </c>
    </row>
    <row r="1876">
      <c r="A1876" t="n">
        <v>1216</v>
      </c>
      <c r="B1876" s="14" t="n">
        <v>46253</v>
      </c>
      <c r="C1876" s="17" t="n">
        <v>0.25</v>
      </c>
      <c r="D1876" s="17" t="n">
        <v>0.6041666666666666</v>
      </c>
      <c r="E1876" t="inlineStr">
        <is>
          <t>Day</t>
        </is>
      </c>
      <c r="F1876" t="inlineStr">
        <is>
          <t>Aug</t>
        </is>
      </c>
      <c r="G1876" s="18">
        <f>IF(D1876&lt;C1876,D1876+1-C1876,D1876-C1876)*24</f>
        <v/>
      </c>
      <c r="H1876" s="18">
        <f>MAX(0,G1876-8)</f>
        <v/>
      </c>
    </row>
    <row r="1877">
      <c r="A1877" t="n">
        <v>1217</v>
      </c>
      <c r="B1877" s="14" t="n">
        <v>46253</v>
      </c>
      <c r="C1877" s="17" t="n">
        <v>0.2708333333333333</v>
      </c>
      <c r="D1877" s="17" t="n">
        <v>0.6041666666666666</v>
      </c>
      <c r="E1877" t="inlineStr">
        <is>
          <t>Day</t>
        </is>
      </c>
      <c r="F1877" t="inlineStr">
        <is>
          <t>Aug</t>
        </is>
      </c>
      <c r="G1877" s="18">
        <f>IF(D1877&lt;C1877,D1877+1-C1877,D1877-C1877)*24</f>
        <v/>
      </c>
      <c r="H1877" s="18">
        <f>MAX(0,G1877-8)</f>
        <v/>
      </c>
    </row>
    <row r="1878">
      <c r="A1878" t="n">
        <v>1219</v>
      </c>
      <c r="B1878" s="14" t="n">
        <v>46253</v>
      </c>
      <c r="C1878" s="17" t="n">
        <v>0.25</v>
      </c>
      <c r="D1878" s="17" t="n">
        <v>0.5833333333333334</v>
      </c>
      <c r="E1878" t="inlineStr">
        <is>
          <t>Day</t>
        </is>
      </c>
      <c r="F1878" t="inlineStr">
        <is>
          <t>Aug</t>
        </is>
      </c>
      <c r="G1878" s="18">
        <f>IF(D1878&lt;C1878,D1878+1-C1878,D1878-C1878)*24</f>
        <v/>
      </c>
      <c r="H1878" s="18">
        <f>MAX(0,G1878-8)</f>
        <v/>
      </c>
    </row>
    <row r="1879">
      <c r="A1879" t="n">
        <v>1220</v>
      </c>
      <c r="B1879" s="14" t="n">
        <v>46253</v>
      </c>
      <c r="C1879" s="17" t="n">
        <v>0.2708333333333333</v>
      </c>
      <c r="D1879" s="17" t="n">
        <v>0.6041666666666666</v>
      </c>
      <c r="E1879" t="inlineStr">
        <is>
          <t>Day</t>
        </is>
      </c>
      <c r="F1879" t="inlineStr">
        <is>
          <t>Aug</t>
        </is>
      </c>
      <c r="G1879" s="18">
        <f>IF(D1879&lt;C1879,D1879+1-C1879,D1879-C1879)*24</f>
        <v/>
      </c>
      <c r="H1879" s="18">
        <f>MAX(0,G1879-8)</f>
        <v/>
      </c>
    </row>
    <row r="1880">
      <c r="A1880" t="n">
        <v>1102</v>
      </c>
      <c r="B1880" s="14" t="n">
        <v>46254</v>
      </c>
      <c r="C1880" s="17" t="n">
        <v>0.9166666666666666</v>
      </c>
      <c r="D1880" s="17" t="n">
        <v>0.2708333333333333</v>
      </c>
      <c r="E1880" t="inlineStr">
        <is>
          <t>Night</t>
        </is>
      </c>
      <c r="F1880" t="inlineStr">
        <is>
          <t>Aug</t>
        </is>
      </c>
      <c r="G1880" s="18">
        <f>IF(D1880&lt;C1880,D1880+1-C1880,D1880-C1880)*24</f>
        <v/>
      </c>
      <c r="H1880" s="18">
        <f>MAX(0,G1880-8)</f>
        <v/>
      </c>
    </row>
    <row r="1881">
      <c r="A1881" t="n">
        <v>1103</v>
      </c>
      <c r="B1881" s="14" t="n">
        <v>46254</v>
      </c>
      <c r="C1881" s="17" t="n">
        <v>0.9270833333333334</v>
      </c>
      <c r="D1881" s="17" t="n">
        <v>0.3229166666666667</v>
      </c>
      <c r="E1881" t="inlineStr">
        <is>
          <t>Night</t>
        </is>
      </c>
      <c r="F1881" t="inlineStr">
        <is>
          <t>Aug</t>
        </is>
      </c>
      <c r="G1881" s="18">
        <f>IF(D1881&lt;C1881,D1881+1-C1881,D1881-C1881)*24</f>
        <v/>
      </c>
      <c r="H1881" s="18">
        <f>MAX(0,G1881-8)</f>
        <v/>
      </c>
    </row>
    <row r="1882">
      <c r="A1882" t="n">
        <v>1104</v>
      </c>
      <c r="B1882" s="14" t="n">
        <v>46254</v>
      </c>
      <c r="C1882" s="17" t="n">
        <v>0.9166666666666666</v>
      </c>
      <c r="D1882" s="17" t="n">
        <v>0.2708333333333333</v>
      </c>
      <c r="E1882" t="inlineStr">
        <is>
          <t>Night</t>
        </is>
      </c>
      <c r="F1882" t="inlineStr">
        <is>
          <t>Aug</t>
        </is>
      </c>
      <c r="G1882" s="18">
        <f>IF(D1882&lt;C1882,D1882+1-C1882,D1882-C1882)*24</f>
        <v/>
      </c>
      <c r="H1882" s="18">
        <f>MAX(0,G1882-8)</f>
        <v/>
      </c>
    </row>
    <row r="1883">
      <c r="A1883" t="n">
        <v>1106</v>
      </c>
      <c r="B1883" s="14" t="n">
        <v>46254</v>
      </c>
      <c r="C1883" s="17" t="n">
        <v>0.9270833333333334</v>
      </c>
      <c r="D1883" s="17" t="n">
        <v>0.28125</v>
      </c>
      <c r="E1883" t="inlineStr">
        <is>
          <t>Night</t>
        </is>
      </c>
      <c r="F1883" t="inlineStr">
        <is>
          <t>Aug</t>
        </is>
      </c>
      <c r="G1883" s="18">
        <f>IF(D1883&lt;C1883,D1883+1-C1883,D1883-C1883)*24</f>
        <v/>
      </c>
      <c r="H1883" s="18">
        <f>MAX(0,G1883-8)</f>
        <v/>
      </c>
    </row>
    <row r="1884">
      <c r="A1884" t="n">
        <v>1107</v>
      </c>
      <c r="B1884" s="14" t="n">
        <v>46254</v>
      </c>
      <c r="C1884" s="17" t="n">
        <v>0.9375</v>
      </c>
      <c r="D1884" s="17" t="n">
        <v>0.2916666666666667</v>
      </c>
      <c r="E1884" t="inlineStr">
        <is>
          <t>Night</t>
        </is>
      </c>
      <c r="F1884" t="inlineStr">
        <is>
          <t>Aug</t>
        </is>
      </c>
      <c r="G1884" s="18">
        <f>IF(D1884&lt;C1884,D1884+1-C1884,D1884-C1884)*24</f>
        <v/>
      </c>
      <c r="H1884" s="18">
        <f>MAX(0,G1884-8)</f>
        <v/>
      </c>
    </row>
    <row r="1885">
      <c r="A1885" t="n">
        <v>1110</v>
      </c>
      <c r="B1885" s="14" t="n">
        <v>46254</v>
      </c>
      <c r="C1885" s="17" t="n">
        <v>0.9375</v>
      </c>
      <c r="D1885" s="17" t="n">
        <v>0.2916666666666667</v>
      </c>
      <c r="E1885" t="inlineStr">
        <is>
          <t>Night</t>
        </is>
      </c>
      <c r="F1885" t="inlineStr">
        <is>
          <t>Aug</t>
        </is>
      </c>
      <c r="G1885" s="18">
        <f>IF(D1885&lt;C1885,D1885+1-C1885,D1885-C1885)*24</f>
        <v/>
      </c>
      <c r="H1885" s="18">
        <f>MAX(0,G1885-8)</f>
        <v/>
      </c>
    </row>
    <row r="1886">
      <c r="A1886" t="n">
        <v>1112</v>
      </c>
      <c r="B1886" s="14" t="n">
        <v>46254</v>
      </c>
      <c r="C1886" s="17" t="n">
        <v>0.9375</v>
      </c>
      <c r="D1886" s="17" t="n">
        <v>0.4166666666666667</v>
      </c>
      <c r="E1886" t="inlineStr">
        <is>
          <t>Night</t>
        </is>
      </c>
      <c r="F1886" t="inlineStr">
        <is>
          <t>Aug</t>
        </is>
      </c>
      <c r="G1886" s="18">
        <f>IF(D1886&lt;C1886,D1886+1-C1886,D1886-C1886)*24</f>
        <v/>
      </c>
      <c r="H1886" s="18">
        <f>MAX(0,G1886-8)</f>
        <v/>
      </c>
    </row>
    <row r="1887">
      <c r="A1887" t="n">
        <v>1113</v>
      </c>
      <c r="B1887" s="14" t="n">
        <v>46254</v>
      </c>
      <c r="C1887" s="17" t="n">
        <v>0.9270833333333334</v>
      </c>
      <c r="D1887" s="17" t="n">
        <v>0.2604166666666667</v>
      </c>
      <c r="E1887" t="inlineStr">
        <is>
          <t>Night</t>
        </is>
      </c>
      <c r="F1887" t="inlineStr">
        <is>
          <t>Aug</t>
        </is>
      </c>
      <c r="G1887" s="18">
        <f>IF(D1887&lt;C1887,D1887+1-C1887,D1887-C1887)*24</f>
        <v/>
      </c>
      <c r="H1887" s="18">
        <f>MAX(0,G1887-8)</f>
        <v/>
      </c>
    </row>
    <row r="1888">
      <c r="A1888" t="n">
        <v>1114</v>
      </c>
      <c r="B1888" s="14" t="n">
        <v>46254</v>
      </c>
      <c r="C1888" s="17" t="n">
        <v>0.9270833333333334</v>
      </c>
      <c r="D1888" s="17" t="n">
        <v>0.3854166666666667</v>
      </c>
      <c r="E1888" t="inlineStr">
        <is>
          <t>Night</t>
        </is>
      </c>
      <c r="F1888" t="inlineStr">
        <is>
          <t>Aug</t>
        </is>
      </c>
      <c r="G1888" s="18">
        <f>IF(D1888&lt;C1888,D1888+1-C1888,D1888-C1888)*24</f>
        <v/>
      </c>
      <c r="H1888" s="18">
        <f>MAX(0,G1888-8)</f>
        <v/>
      </c>
    </row>
    <row r="1889">
      <c r="A1889" t="n">
        <v>1115</v>
      </c>
      <c r="B1889" s="14" t="n">
        <v>46254</v>
      </c>
      <c r="C1889" s="17" t="n">
        <v>0.9270833333333334</v>
      </c>
      <c r="D1889" s="17" t="n">
        <v>0.3020833333333333</v>
      </c>
      <c r="E1889" t="inlineStr">
        <is>
          <t>Night</t>
        </is>
      </c>
      <c r="F1889" t="inlineStr">
        <is>
          <t>Aug</t>
        </is>
      </c>
      <c r="G1889" s="18">
        <f>IF(D1889&lt;C1889,D1889+1-C1889,D1889-C1889)*24</f>
        <v/>
      </c>
      <c r="H1889" s="18">
        <f>MAX(0,G1889-8)</f>
        <v/>
      </c>
    </row>
    <row r="1890">
      <c r="A1890" t="n">
        <v>1116</v>
      </c>
      <c r="B1890" s="14" t="n">
        <v>46254</v>
      </c>
      <c r="C1890" s="17" t="n">
        <v>0.9166666666666666</v>
      </c>
      <c r="D1890" s="17" t="n">
        <v>0.2916666666666667</v>
      </c>
      <c r="E1890" t="inlineStr">
        <is>
          <t>Night</t>
        </is>
      </c>
      <c r="F1890" t="inlineStr">
        <is>
          <t>Aug</t>
        </is>
      </c>
      <c r="G1890" s="18">
        <f>IF(D1890&lt;C1890,D1890+1-C1890,D1890-C1890)*24</f>
        <v/>
      </c>
      <c r="H1890" s="18">
        <f>MAX(0,G1890-8)</f>
        <v/>
      </c>
    </row>
    <row r="1891">
      <c r="A1891" t="n">
        <v>1117</v>
      </c>
      <c r="B1891" s="14" t="n">
        <v>46254</v>
      </c>
      <c r="C1891" s="17" t="n">
        <v>0.9270833333333334</v>
      </c>
      <c r="D1891" s="17" t="n">
        <v>0.28125</v>
      </c>
      <c r="E1891" t="inlineStr">
        <is>
          <t>Night</t>
        </is>
      </c>
      <c r="F1891" t="inlineStr">
        <is>
          <t>Aug</t>
        </is>
      </c>
      <c r="G1891" s="18">
        <f>IF(D1891&lt;C1891,D1891+1-C1891,D1891-C1891)*24</f>
        <v/>
      </c>
      <c r="H1891" s="18">
        <f>MAX(0,G1891-8)</f>
        <v/>
      </c>
    </row>
    <row r="1892">
      <c r="A1892" t="n">
        <v>1118</v>
      </c>
      <c r="B1892" s="14" t="n">
        <v>46254</v>
      </c>
      <c r="C1892" s="17" t="n">
        <v>0.9166666666666666</v>
      </c>
      <c r="D1892" s="17" t="n">
        <v>0.3541666666666667</v>
      </c>
      <c r="E1892" t="inlineStr">
        <is>
          <t>Night</t>
        </is>
      </c>
      <c r="F1892" t="inlineStr">
        <is>
          <t>Aug</t>
        </is>
      </c>
      <c r="G1892" s="18">
        <f>IF(D1892&lt;C1892,D1892+1-C1892,D1892-C1892)*24</f>
        <v/>
      </c>
      <c r="H1892" s="18">
        <f>MAX(0,G1892-8)</f>
        <v/>
      </c>
    </row>
    <row r="1893">
      <c r="A1893" t="n">
        <v>1120</v>
      </c>
      <c r="B1893" s="14" t="n">
        <v>46254</v>
      </c>
      <c r="C1893" s="17" t="n">
        <v>0.9166666666666666</v>
      </c>
      <c r="D1893" s="17" t="n">
        <v>0.375</v>
      </c>
      <c r="E1893" t="inlineStr">
        <is>
          <t>Night</t>
        </is>
      </c>
      <c r="F1893" t="inlineStr">
        <is>
          <t>Aug</t>
        </is>
      </c>
      <c r="G1893" s="18">
        <f>IF(D1893&lt;C1893,D1893+1-C1893,D1893-C1893)*24</f>
        <v/>
      </c>
      <c r="H1893" s="18">
        <f>MAX(0,G1893-8)</f>
        <v/>
      </c>
    </row>
    <row r="1894">
      <c r="A1894" t="n">
        <v>1121</v>
      </c>
      <c r="B1894" s="14" t="n">
        <v>46254</v>
      </c>
      <c r="C1894" s="17" t="n">
        <v>0.9166666666666666</v>
      </c>
      <c r="D1894" s="17" t="n">
        <v>0.3541666666666667</v>
      </c>
      <c r="E1894" t="inlineStr">
        <is>
          <t>Night</t>
        </is>
      </c>
      <c r="F1894" t="inlineStr">
        <is>
          <t>Aug</t>
        </is>
      </c>
      <c r="G1894" s="18">
        <f>IF(D1894&lt;C1894,D1894+1-C1894,D1894-C1894)*24</f>
        <v/>
      </c>
      <c r="H1894" s="18">
        <f>MAX(0,G1894-8)</f>
        <v/>
      </c>
    </row>
    <row r="1895">
      <c r="A1895" t="n">
        <v>1122</v>
      </c>
      <c r="B1895" s="14" t="n">
        <v>46254</v>
      </c>
      <c r="C1895" s="17" t="n">
        <v>0.9166666666666666</v>
      </c>
      <c r="D1895" s="17" t="n">
        <v>0.3958333333333333</v>
      </c>
      <c r="E1895" t="inlineStr">
        <is>
          <t>Night</t>
        </is>
      </c>
      <c r="F1895" t="inlineStr">
        <is>
          <t>Aug</t>
        </is>
      </c>
      <c r="G1895" s="18">
        <f>IF(D1895&lt;C1895,D1895+1-C1895,D1895-C1895)*24</f>
        <v/>
      </c>
      <c r="H1895" s="18">
        <f>MAX(0,G1895-8)</f>
        <v/>
      </c>
    </row>
    <row r="1896">
      <c r="A1896" t="n">
        <v>1123</v>
      </c>
      <c r="B1896" s="14" t="n">
        <v>46254</v>
      </c>
      <c r="C1896" s="17" t="n">
        <v>0.9166666666666666</v>
      </c>
      <c r="D1896" s="17" t="n">
        <v>0.3541666666666667</v>
      </c>
      <c r="E1896" t="inlineStr">
        <is>
          <t>Night</t>
        </is>
      </c>
      <c r="F1896" t="inlineStr">
        <is>
          <t>Aug</t>
        </is>
      </c>
      <c r="G1896" s="18">
        <f>IF(D1896&lt;C1896,D1896+1-C1896,D1896-C1896)*24</f>
        <v/>
      </c>
      <c r="H1896" s="18">
        <f>MAX(0,G1896-8)</f>
        <v/>
      </c>
    </row>
    <row r="1897">
      <c r="A1897" t="n">
        <v>1124</v>
      </c>
      <c r="B1897" s="14" t="n">
        <v>46254</v>
      </c>
      <c r="C1897" s="17" t="n">
        <v>0.9166666666666666</v>
      </c>
      <c r="D1897" s="17" t="n">
        <v>0.2708333333333333</v>
      </c>
      <c r="E1897" t="inlineStr">
        <is>
          <t>Night</t>
        </is>
      </c>
      <c r="F1897" t="inlineStr">
        <is>
          <t>Aug</t>
        </is>
      </c>
      <c r="G1897" s="18">
        <f>IF(D1897&lt;C1897,D1897+1-C1897,D1897-C1897)*24</f>
        <v/>
      </c>
      <c r="H1897" s="18">
        <f>MAX(0,G1897-8)</f>
        <v/>
      </c>
    </row>
    <row r="1898">
      <c r="A1898" t="n">
        <v>1125</v>
      </c>
      <c r="B1898" s="14" t="n">
        <v>46254</v>
      </c>
      <c r="C1898" s="17" t="n">
        <v>0.9166666666666666</v>
      </c>
      <c r="D1898" s="17" t="n">
        <v>0.25</v>
      </c>
      <c r="E1898" t="inlineStr">
        <is>
          <t>Night</t>
        </is>
      </c>
      <c r="F1898" t="inlineStr">
        <is>
          <t>Aug</t>
        </is>
      </c>
      <c r="G1898" s="18">
        <f>IF(D1898&lt;C1898,D1898+1-C1898,D1898-C1898)*24</f>
        <v/>
      </c>
      <c r="H1898" s="18">
        <f>MAX(0,G1898-8)</f>
        <v/>
      </c>
    </row>
    <row r="1899">
      <c r="A1899" t="n">
        <v>1126</v>
      </c>
      <c r="B1899" s="14" t="n">
        <v>46254</v>
      </c>
      <c r="C1899" s="17" t="n">
        <v>0.9166666666666666</v>
      </c>
      <c r="D1899" s="17" t="n">
        <v>0.2708333333333333</v>
      </c>
      <c r="E1899" t="inlineStr">
        <is>
          <t>Night</t>
        </is>
      </c>
      <c r="F1899" t="inlineStr">
        <is>
          <t>Aug</t>
        </is>
      </c>
      <c r="G1899" s="18">
        <f>IF(D1899&lt;C1899,D1899+1-C1899,D1899-C1899)*24</f>
        <v/>
      </c>
      <c r="H1899" s="18">
        <f>MAX(0,G1899-8)</f>
        <v/>
      </c>
    </row>
    <row r="1900">
      <c r="A1900" t="n">
        <v>1127</v>
      </c>
      <c r="B1900" s="14" t="n">
        <v>46254</v>
      </c>
      <c r="C1900" s="17" t="n">
        <v>0.9166666666666666</v>
      </c>
      <c r="D1900" s="17" t="n">
        <v>0.3541666666666667</v>
      </c>
      <c r="E1900" t="inlineStr">
        <is>
          <t>Night</t>
        </is>
      </c>
      <c r="F1900" t="inlineStr">
        <is>
          <t>Aug</t>
        </is>
      </c>
      <c r="G1900" s="18">
        <f>IF(D1900&lt;C1900,D1900+1-C1900,D1900-C1900)*24</f>
        <v/>
      </c>
      <c r="H1900" s="18">
        <f>MAX(0,G1900-8)</f>
        <v/>
      </c>
    </row>
    <row r="1901">
      <c r="A1901" t="n">
        <v>1128</v>
      </c>
      <c r="B1901" s="14" t="n">
        <v>46254</v>
      </c>
      <c r="C1901" s="17" t="n">
        <v>0.9270833333333334</v>
      </c>
      <c r="D1901" s="17" t="n">
        <v>0.34375</v>
      </c>
      <c r="E1901" t="inlineStr">
        <is>
          <t>Night</t>
        </is>
      </c>
      <c r="F1901" t="inlineStr">
        <is>
          <t>Aug</t>
        </is>
      </c>
      <c r="G1901" s="18">
        <f>IF(D1901&lt;C1901,D1901+1-C1901,D1901-C1901)*24</f>
        <v/>
      </c>
      <c r="H1901" s="18">
        <f>MAX(0,G1901-8)</f>
        <v/>
      </c>
    </row>
    <row r="1902">
      <c r="A1902" t="n">
        <v>1130</v>
      </c>
      <c r="B1902" s="14" t="n">
        <v>46254</v>
      </c>
      <c r="C1902" s="17" t="n">
        <v>0.9375</v>
      </c>
      <c r="D1902" s="17" t="n">
        <v>0.2708333333333333</v>
      </c>
      <c r="E1902" t="inlineStr">
        <is>
          <t>Night</t>
        </is>
      </c>
      <c r="F1902" t="inlineStr">
        <is>
          <t>Aug</t>
        </is>
      </c>
      <c r="G1902" s="18">
        <f>IF(D1902&lt;C1902,D1902+1-C1902,D1902-C1902)*24</f>
        <v/>
      </c>
      <c r="H1902" s="18">
        <f>MAX(0,G1902-8)</f>
        <v/>
      </c>
    </row>
    <row r="1903">
      <c r="A1903" t="n">
        <v>1131</v>
      </c>
      <c r="B1903" s="14" t="n">
        <v>46254</v>
      </c>
      <c r="C1903" s="17" t="n">
        <v>0.9166666666666666</v>
      </c>
      <c r="D1903" s="17" t="n">
        <v>0.3333333333333333</v>
      </c>
      <c r="E1903" t="inlineStr">
        <is>
          <t>Night</t>
        </is>
      </c>
      <c r="F1903" t="inlineStr">
        <is>
          <t>Aug</t>
        </is>
      </c>
      <c r="G1903" s="18">
        <f>IF(D1903&lt;C1903,D1903+1-C1903,D1903-C1903)*24</f>
        <v/>
      </c>
      <c r="H1903" s="18">
        <f>MAX(0,G1903-8)</f>
        <v/>
      </c>
    </row>
    <row r="1904">
      <c r="A1904" t="n">
        <v>1132</v>
      </c>
      <c r="B1904" s="14" t="n">
        <v>46254</v>
      </c>
      <c r="C1904" s="17" t="n">
        <v>0.9166666666666666</v>
      </c>
      <c r="D1904" s="17" t="n">
        <v>0.25</v>
      </c>
      <c r="E1904" t="inlineStr">
        <is>
          <t>Night</t>
        </is>
      </c>
      <c r="F1904" t="inlineStr">
        <is>
          <t>Aug</t>
        </is>
      </c>
      <c r="G1904" s="18">
        <f>IF(D1904&lt;C1904,D1904+1-C1904,D1904-C1904)*24</f>
        <v/>
      </c>
      <c r="H1904" s="18">
        <f>MAX(0,G1904-8)</f>
        <v/>
      </c>
    </row>
    <row r="1905">
      <c r="A1905" t="n">
        <v>1133</v>
      </c>
      <c r="B1905" s="14" t="n">
        <v>46254</v>
      </c>
      <c r="C1905" s="17" t="n">
        <v>0.9375</v>
      </c>
      <c r="D1905" s="17" t="n">
        <v>0.3541666666666667</v>
      </c>
      <c r="E1905" t="inlineStr">
        <is>
          <t>Night</t>
        </is>
      </c>
      <c r="F1905" t="inlineStr">
        <is>
          <t>Aug</t>
        </is>
      </c>
      <c r="G1905" s="18">
        <f>IF(D1905&lt;C1905,D1905+1-C1905,D1905-C1905)*24</f>
        <v/>
      </c>
      <c r="H1905" s="18">
        <f>MAX(0,G1905-8)</f>
        <v/>
      </c>
    </row>
    <row r="1906">
      <c r="A1906" t="n">
        <v>1134</v>
      </c>
      <c r="B1906" s="14" t="n">
        <v>46254</v>
      </c>
      <c r="C1906" s="17" t="n">
        <v>0.9166666666666666</v>
      </c>
      <c r="D1906" s="17" t="n">
        <v>0.25</v>
      </c>
      <c r="E1906" t="inlineStr">
        <is>
          <t>Night</t>
        </is>
      </c>
      <c r="F1906" t="inlineStr">
        <is>
          <t>Aug</t>
        </is>
      </c>
      <c r="G1906" s="18">
        <f>IF(D1906&lt;C1906,D1906+1-C1906,D1906-C1906)*24</f>
        <v/>
      </c>
      <c r="H1906" s="18">
        <f>MAX(0,G1906-8)</f>
        <v/>
      </c>
    </row>
    <row r="1907">
      <c r="A1907" t="n">
        <v>1135</v>
      </c>
      <c r="B1907" s="14" t="n">
        <v>46254</v>
      </c>
      <c r="C1907" s="17" t="n">
        <v>0.9270833333333334</v>
      </c>
      <c r="D1907" s="17" t="n">
        <v>0.3645833333333333</v>
      </c>
      <c r="E1907" t="inlineStr">
        <is>
          <t>Night</t>
        </is>
      </c>
      <c r="F1907" t="inlineStr">
        <is>
          <t>Aug</t>
        </is>
      </c>
      <c r="G1907" s="18">
        <f>IF(D1907&lt;C1907,D1907+1-C1907,D1907-C1907)*24</f>
        <v/>
      </c>
      <c r="H1907" s="18">
        <f>MAX(0,G1907-8)</f>
        <v/>
      </c>
    </row>
    <row r="1908">
      <c r="A1908" t="n">
        <v>1136</v>
      </c>
      <c r="B1908" s="14" t="n">
        <v>46254</v>
      </c>
      <c r="C1908" s="17" t="n">
        <v>0.9166666666666666</v>
      </c>
      <c r="D1908" s="17" t="n">
        <v>0.3125</v>
      </c>
      <c r="E1908" t="inlineStr">
        <is>
          <t>Night</t>
        </is>
      </c>
      <c r="F1908" t="inlineStr">
        <is>
          <t>Aug</t>
        </is>
      </c>
      <c r="G1908" s="18">
        <f>IF(D1908&lt;C1908,D1908+1-C1908,D1908-C1908)*24</f>
        <v/>
      </c>
      <c r="H1908" s="18">
        <f>MAX(0,G1908-8)</f>
        <v/>
      </c>
    </row>
    <row r="1909">
      <c r="A1909" t="n">
        <v>1147</v>
      </c>
      <c r="B1909" s="14" t="n">
        <v>46254</v>
      </c>
      <c r="C1909" s="17" t="n">
        <v>0.9166666666666666</v>
      </c>
      <c r="D1909" s="17" t="n">
        <v>0.25</v>
      </c>
      <c r="E1909" t="inlineStr">
        <is>
          <t>Night</t>
        </is>
      </c>
      <c r="F1909" t="inlineStr">
        <is>
          <t>Aug</t>
        </is>
      </c>
      <c r="G1909" s="18">
        <f>IF(D1909&lt;C1909,D1909+1-C1909,D1909-C1909)*24</f>
        <v/>
      </c>
      <c r="H1909" s="18">
        <f>MAX(0,G1909-8)</f>
        <v/>
      </c>
    </row>
    <row r="1910">
      <c r="A1910" t="n">
        <v>1101</v>
      </c>
      <c r="B1910" s="14" t="n">
        <v>46254</v>
      </c>
      <c r="C1910" s="17" t="n">
        <v>0.01041666666666667</v>
      </c>
      <c r="D1910" s="17" t="n">
        <v>0.40625</v>
      </c>
      <c r="E1910" t="inlineStr">
        <is>
          <t>Night</t>
        </is>
      </c>
      <c r="F1910" t="inlineStr">
        <is>
          <t>Aug</t>
        </is>
      </c>
      <c r="G1910" s="18">
        <f>IF(D1910&lt;C1910,D1910+1-C1910,D1910-C1910)*24</f>
        <v/>
      </c>
      <c r="H1910" s="18">
        <f>MAX(0,G1910-8)</f>
        <v/>
      </c>
    </row>
    <row r="1911">
      <c r="A1911" t="n">
        <v>1111</v>
      </c>
      <c r="B1911" s="14" t="n">
        <v>46254</v>
      </c>
      <c r="C1911" s="17" t="n">
        <v>0.01041666666666667</v>
      </c>
      <c r="D1911" s="17" t="n">
        <v>0.40625</v>
      </c>
      <c r="E1911" t="inlineStr">
        <is>
          <t>Night</t>
        </is>
      </c>
      <c r="F1911" t="inlineStr">
        <is>
          <t>Aug</t>
        </is>
      </c>
      <c r="G1911" s="18">
        <f>IF(D1911&lt;C1911,D1911+1-C1911,D1911-C1911)*24</f>
        <v/>
      </c>
      <c r="H1911" s="18">
        <f>MAX(0,G1911-8)</f>
        <v/>
      </c>
    </row>
    <row r="1912">
      <c r="A1912" t="n">
        <v>1119</v>
      </c>
      <c r="B1912" s="14" t="n">
        <v>46254</v>
      </c>
      <c r="C1912" s="17" t="n">
        <v>0.01041666666666667</v>
      </c>
      <c r="D1912" s="17" t="n">
        <v>0.3854166666666667</v>
      </c>
      <c r="E1912" t="inlineStr">
        <is>
          <t>Night</t>
        </is>
      </c>
      <c r="F1912" t="inlineStr">
        <is>
          <t>Aug</t>
        </is>
      </c>
      <c r="G1912" s="18">
        <f>IF(D1912&lt;C1912,D1912+1-C1912,D1912-C1912)*24</f>
        <v/>
      </c>
      <c r="H1912" s="18">
        <f>MAX(0,G1912-8)</f>
        <v/>
      </c>
    </row>
    <row r="1913">
      <c r="A1913" t="n">
        <v>1137</v>
      </c>
      <c r="B1913" s="14" t="n">
        <v>46254</v>
      </c>
      <c r="C1913" s="17" t="n">
        <v>0.01041666666666667</v>
      </c>
      <c r="D1913" s="17" t="n">
        <v>0.3645833333333333</v>
      </c>
      <c r="E1913" t="inlineStr">
        <is>
          <t>Night</t>
        </is>
      </c>
      <c r="F1913" t="inlineStr">
        <is>
          <t>Aug</t>
        </is>
      </c>
      <c r="G1913" s="18">
        <f>IF(D1913&lt;C1913,D1913+1-C1913,D1913-C1913)*24</f>
        <v/>
      </c>
      <c r="H1913" s="18">
        <f>MAX(0,G1913-8)</f>
        <v/>
      </c>
    </row>
    <row r="1914">
      <c r="A1914" t="n">
        <v>1201</v>
      </c>
      <c r="B1914" s="14" t="n">
        <v>46254</v>
      </c>
      <c r="C1914" s="17" t="n">
        <v>0.25</v>
      </c>
      <c r="D1914" s="17" t="n">
        <v>0.6666666666666666</v>
      </c>
      <c r="E1914" t="inlineStr">
        <is>
          <t>Day</t>
        </is>
      </c>
      <c r="F1914" t="inlineStr">
        <is>
          <t>Aug</t>
        </is>
      </c>
      <c r="G1914" s="18">
        <f>IF(D1914&lt;C1914,D1914+1-C1914,D1914-C1914)*24</f>
        <v/>
      </c>
      <c r="H1914" s="18">
        <f>MAX(0,G1914-8)</f>
        <v/>
      </c>
    </row>
    <row r="1915">
      <c r="A1915" t="n">
        <v>1202</v>
      </c>
      <c r="B1915" s="14" t="n">
        <v>46254</v>
      </c>
      <c r="C1915" s="17" t="n">
        <v>0.2708333333333333</v>
      </c>
      <c r="D1915" s="17" t="n">
        <v>0.6041666666666666</v>
      </c>
      <c r="E1915" t="inlineStr">
        <is>
          <t>Day</t>
        </is>
      </c>
      <c r="F1915" t="inlineStr">
        <is>
          <t>Aug</t>
        </is>
      </c>
      <c r="G1915" s="18">
        <f>IF(D1915&lt;C1915,D1915+1-C1915,D1915-C1915)*24</f>
        <v/>
      </c>
      <c r="H1915" s="18">
        <f>MAX(0,G1915-8)</f>
        <v/>
      </c>
    </row>
    <row r="1916">
      <c r="A1916" t="n">
        <v>1204</v>
      </c>
      <c r="B1916" s="14" t="n">
        <v>46254</v>
      </c>
      <c r="C1916" s="17" t="n">
        <v>0.25</v>
      </c>
      <c r="D1916" s="17" t="n">
        <v>0.625</v>
      </c>
      <c r="E1916" t="inlineStr">
        <is>
          <t>Day</t>
        </is>
      </c>
      <c r="F1916" t="inlineStr">
        <is>
          <t>Aug</t>
        </is>
      </c>
      <c r="G1916" s="18">
        <f>IF(D1916&lt;C1916,D1916+1-C1916,D1916-C1916)*24</f>
        <v/>
      </c>
      <c r="H1916" s="18">
        <f>MAX(0,G1916-8)</f>
        <v/>
      </c>
    </row>
    <row r="1917">
      <c r="A1917" t="n">
        <v>1205</v>
      </c>
      <c r="B1917" s="14" t="n">
        <v>46254</v>
      </c>
      <c r="C1917" s="17" t="n">
        <v>0.25</v>
      </c>
      <c r="D1917" s="17" t="n">
        <v>0.6666666666666666</v>
      </c>
      <c r="E1917" t="inlineStr">
        <is>
          <t>Day</t>
        </is>
      </c>
      <c r="F1917" t="inlineStr">
        <is>
          <t>Aug</t>
        </is>
      </c>
      <c r="G1917" s="18">
        <f>IF(D1917&lt;C1917,D1917+1-C1917,D1917-C1917)*24</f>
        <v/>
      </c>
      <c r="H1917" s="18">
        <f>MAX(0,G1917-8)</f>
        <v/>
      </c>
    </row>
    <row r="1918">
      <c r="A1918" t="n">
        <v>1206</v>
      </c>
      <c r="B1918" s="14" t="n">
        <v>46254</v>
      </c>
      <c r="C1918" s="17" t="n">
        <v>0.25</v>
      </c>
      <c r="D1918" s="17" t="n">
        <v>0.5833333333333334</v>
      </c>
      <c r="E1918" t="inlineStr">
        <is>
          <t>Day</t>
        </is>
      </c>
      <c r="F1918" t="inlineStr">
        <is>
          <t>Aug</t>
        </is>
      </c>
      <c r="G1918" s="18">
        <f>IF(D1918&lt;C1918,D1918+1-C1918,D1918-C1918)*24</f>
        <v/>
      </c>
      <c r="H1918" s="18">
        <f>MAX(0,G1918-8)</f>
        <v/>
      </c>
    </row>
    <row r="1919">
      <c r="A1919" t="n">
        <v>1207</v>
      </c>
      <c r="B1919" s="14" t="n">
        <v>46254</v>
      </c>
      <c r="C1919" s="17" t="n">
        <v>0.25</v>
      </c>
      <c r="D1919" s="17" t="n">
        <v>0.625</v>
      </c>
      <c r="E1919" t="inlineStr">
        <is>
          <t>Day</t>
        </is>
      </c>
      <c r="F1919" t="inlineStr">
        <is>
          <t>Aug</t>
        </is>
      </c>
      <c r="G1919" s="18">
        <f>IF(D1919&lt;C1919,D1919+1-C1919,D1919-C1919)*24</f>
        <v/>
      </c>
      <c r="H1919" s="18">
        <f>MAX(0,G1919-8)</f>
        <v/>
      </c>
    </row>
    <row r="1920">
      <c r="A1920" t="n">
        <v>1208</v>
      </c>
      <c r="B1920" s="14" t="n">
        <v>46254</v>
      </c>
      <c r="C1920" s="17" t="n">
        <v>0.25</v>
      </c>
      <c r="D1920" s="17" t="n">
        <v>0.5833333333333334</v>
      </c>
      <c r="E1920" t="inlineStr">
        <is>
          <t>Day</t>
        </is>
      </c>
      <c r="F1920" t="inlineStr">
        <is>
          <t>Aug</t>
        </is>
      </c>
      <c r="G1920" s="18">
        <f>IF(D1920&lt;C1920,D1920+1-C1920,D1920-C1920)*24</f>
        <v/>
      </c>
      <c r="H1920" s="18">
        <f>MAX(0,G1920-8)</f>
        <v/>
      </c>
    </row>
    <row r="1921">
      <c r="A1921" t="n">
        <v>1209</v>
      </c>
      <c r="B1921" s="14" t="n">
        <v>46254</v>
      </c>
      <c r="C1921" s="17" t="n">
        <v>0.25</v>
      </c>
      <c r="D1921" s="17" t="n">
        <v>0.5833333333333334</v>
      </c>
      <c r="E1921" t="inlineStr">
        <is>
          <t>Day</t>
        </is>
      </c>
      <c r="F1921" t="inlineStr">
        <is>
          <t>Aug</t>
        </is>
      </c>
      <c r="G1921" s="18">
        <f>IF(D1921&lt;C1921,D1921+1-C1921,D1921-C1921)*24</f>
        <v/>
      </c>
      <c r="H1921" s="18">
        <f>MAX(0,G1921-8)</f>
        <v/>
      </c>
    </row>
    <row r="1922">
      <c r="A1922" t="n">
        <v>1210</v>
      </c>
      <c r="B1922" s="14" t="n">
        <v>46254</v>
      </c>
      <c r="C1922" s="17" t="n">
        <v>0.25</v>
      </c>
      <c r="D1922" s="17" t="n">
        <v>0.5833333333333334</v>
      </c>
      <c r="E1922" t="inlineStr">
        <is>
          <t>Day</t>
        </is>
      </c>
      <c r="F1922" t="inlineStr">
        <is>
          <t>Aug</t>
        </is>
      </c>
      <c r="G1922" s="18">
        <f>IF(D1922&lt;C1922,D1922+1-C1922,D1922-C1922)*24</f>
        <v/>
      </c>
      <c r="H1922" s="18">
        <f>MAX(0,G1922-8)</f>
        <v/>
      </c>
    </row>
    <row r="1923">
      <c r="A1923" t="n">
        <v>1211</v>
      </c>
      <c r="B1923" s="14" t="n">
        <v>46254</v>
      </c>
      <c r="C1923" s="17" t="n">
        <v>0.2708333333333333</v>
      </c>
      <c r="D1923" s="17" t="n">
        <v>0.625</v>
      </c>
      <c r="E1923" t="inlineStr">
        <is>
          <t>Day</t>
        </is>
      </c>
      <c r="F1923" t="inlineStr">
        <is>
          <t>Aug</t>
        </is>
      </c>
      <c r="G1923" s="18">
        <f>IF(D1923&lt;C1923,D1923+1-C1923,D1923-C1923)*24</f>
        <v/>
      </c>
      <c r="H1923" s="18">
        <f>MAX(0,G1923-8)</f>
        <v/>
      </c>
    </row>
    <row r="1924">
      <c r="A1924" t="n">
        <v>1212</v>
      </c>
      <c r="B1924" s="14" t="n">
        <v>46254</v>
      </c>
      <c r="C1924" s="17" t="n">
        <v>0.2708333333333333</v>
      </c>
      <c r="D1924" s="17" t="n">
        <v>0.6041666666666666</v>
      </c>
      <c r="E1924" t="inlineStr">
        <is>
          <t>Day</t>
        </is>
      </c>
      <c r="F1924" t="inlineStr">
        <is>
          <t>Aug</t>
        </is>
      </c>
      <c r="G1924" s="18">
        <f>IF(D1924&lt;C1924,D1924+1-C1924,D1924-C1924)*24</f>
        <v/>
      </c>
      <c r="H1924" s="18">
        <f>MAX(0,G1924-8)</f>
        <v/>
      </c>
    </row>
    <row r="1925">
      <c r="A1925" t="n">
        <v>1213</v>
      </c>
      <c r="B1925" s="14" t="n">
        <v>46254</v>
      </c>
      <c r="C1925" s="17" t="n">
        <v>0.25</v>
      </c>
      <c r="D1925" s="17" t="n">
        <v>0.5833333333333334</v>
      </c>
      <c r="E1925" t="inlineStr">
        <is>
          <t>Day</t>
        </is>
      </c>
      <c r="F1925" t="inlineStr">
        <is>
          <t>Aug</t>
        </is>
      </c>
      <c r="G1925" s="18">
        <f>IF(D1925&lt;C1925,D1925+1-C1925,D1925-C1925)*24</f>
        <v/>
      </c>
      <c r="H1925" s="18">
        <f>MAX(0,G1925-8)</f>
        <v/>
      </c>
    </row>
    <row r="1926">
      <c r="A1926" t="n">
        <v>1214</v>
      </c>
      <c r="B1926" s="14" t="n">
        <v>46254</v>
      </c>
      <c r="C1926" s="17" t="n">
        <v>0.25</v>
      </c>
      <c r="D1926" s="17" t="n">
        <v>0.5833333333333334</v>
      </c>
      <c r="E1926" t="inlineStr">
        <is>
          <t>Day</t>
        </is>
      </c>
      <c r="F1926" t="inlineStr">
        <is>
          <t>Aug</t>
        </is>
      </c>
      <c r="G1926" s="18">
        <f>IF(D1926&lt;C1926,D1926+1-C1926,D1926-C1926)*24</f>
        <v/>
      </c>
      <c r="H1926" s="18">
        <f>MAX(0,G1926-8)</f>
        <v/>
      </c>
    </row>
    <row r="1927">
      <c r="A1927" t="n">
        <v>1215</v>
      </c>
      <c r="B1927" s="14" t="n">
        <v>46254</v>
      </c>
      <c r="C1927" s="17" t="n">
        <v>0.25</v>
      </c>
      <c r="D1927" s="17" t="n">
        <v>0.6041666666666666</v>
      </c>
      <c r="E1927" t="inlineStr">
        <is>
          <t>Day</t>
        </is>
      </c>
      <c r="F1927" t="inlineStr">
        <is>
          <t>Aug</t>
        </is>
      </c>
      <c r="G1927" s="18">
        <f>IF(D1927&lt;C1927,D1927+1-C1927,D1927-C1927)*24</f>
        <v/>
      </c>
      <c r="H1927" s="18">
        <f>MAX(0,G1927-8)</f>
        <v/>
      </c>
    </row>
    <row r="1928">
      <c r="A1928" t="n">
        <v>1216</v>
      </c>
      <c r="B1928" s="14" t="n">
        <v>46254</v>
      </c>
      <c r="C1928" s="17" t="n">
        <v>0.25</v>
      </c>
      <c r="D1928" s="17" t="n">
        <v>0.625</v>
      </c>
      <c r="E1928" t="inlineStr">
        <is>
          <t>Day</t>
        </is>
      </c>
      <c r="F1928" t="inlineStr">
        <is>
          <t>Aug</t>
        </is>
      </c>
      <c r="G1928" s="18">
        <f>IF(D1928&lt;C1928,D1928+1-C1928,D1928-C1928)*24</f>
        <v/>
      </c>
      <c r="H1928" s="18">
        <f>MAX(0,G1928-8)</f>
        <v/>
      </c>
    </row>
    <row r="1929">
      <c r="A1929" t="n">
        <v>1217</v>
      </c>
      <c r="B1929" s="14" t="n">
        <v>46254</v>
      </c>
      <c r="C1929" s="17" t="n">
        <v>0.2708333333333333</v>
      </c>
      <c r="D1929" s="17" t="n">
        <v>0.6875</v>
      </c>
      <c r="E1929" t="inlineStr">
        <is>
          <t>Day</t>
        </is>
      </c>
      <c r="F1929" t="inlineStr">
        <is>
          <t>Aug</t>
        </is>
      </c>
      <c r="G1929" s="18">
        <f>IF(D1929&lt;C1929,D1929+1-C1929,D1929-C1929)*24</f>
        <v/>
      </c>
      <c r="H1929" s="18">
        <f>MAX(0,G1929-8)</f>
        <v/>
      </c>
    </row>
    <row r="1930">
      <c r="A1930" t="n">
        <v>1218</v>
      </c>
      <c r="B1930" s="14" t="n">
        <v>46254</v>
      </c>
      <c r="C1930" s="17" t="n">
        <v>0.25</v>
      </c>
      <c r="D1930" s="17" t="n">
        <v>0.625</v>
      </c>
      <c r="E1930" t="inlineStr">
        <is>
          <t>Day</t>
        </is>
      </c>
      <c r="F1930" t="inlineStr">
        <is>
          <t>Aug</t>
        </is>
      </c>
      <c r="G1930" s="18">
        <f>IF(D1930&lt;C1930,D1930+1-C1930,D1930-C1930)*24</f>
        <v/>
      </c>
      <c r="H1930" s="18">
        <f>MAX(0,G1930-8)</f>
        <v/>
      </c>
    </row>
    <row r="1931">
      <c r="A1931" t="n">
        <v>1219</v>
      </c>
      <c r="B1931" s="14" t="n">
        <v>46254</v>
      </c>
      <c r="C1931" s="17" t="n">
        <v>0.25</v>
      </c>
      <c r="D1931" s="17" t="n">
        <v>0.6041666666666666</v>
      </c>
      <c r="E1931" t="inlineStr">
        <is>
          <t>Day</t>
        </is>
      </c>
      <c r="F1931" t="inlineStr">
        <is>
          <t>Aug</t>
        </is>
      </c>
      <c r="G1931" s="18">
        <f>IF(D1931&lt;C1931,D1931+1-C1931,D1931-C1931)*24</f>
        <v/>
      </c>
      <c r="H1931" s="18">
        <f>MAX(0,G1931-8)</f>
        <v/>
      </c>
    </row>
    <row r="1932">
      <c r="A1932" t="n">
        <v>1220</v>
      </c>
      <c r="B1932" s="14" t="n">
        <v>46254</v>
      </c>
      <c r="C1932" s="17" t="n">
        <v>0.25</v>
      </c>
      <c r="D1932" s="17" t="n">
        <v>0.5833333333333334</v>
      </c>
      <c r="E1932" t="inlineStr">
        <is>
          <t>Day</t>
        </is>
      </c>
      <c r="F1932" t="inlineStr">
        <is>
          <t>Aug</t>
        </is>
      </c>
      <c r="G1932" s="18">
        <f>IF(D1932&lt;C1932,D1932+1-C1932,D1932-C1932)*24</f>
        <v/>
      </c>
      <c r="H1932" s="18">
        <f>MAX(0,G1932-8)</f>
        <v/>
      </c>
    </row>
    <row r="1933">
      <c r="A1933" t="n">
        <v>1101</v>
      </c>
      <c r="B1933" s="14" t="n">
        <v>46255</v>
      </c>
      <c r="C1933" s="17" t="n">
        <v>0.9166666666666666</v>
      </c>
      <c r="D1933" s="17" t="n">
        <v>0.3125</v>
      </c>
      <c r="E1933" t="inlineStr">
        <is>
          <t>Night</t>
        </is>
      </c>
      <c r="F1933" t="inlineStr">
        <is>
          <t>Aug</t>
        </is>
      </c>
      <c r="G1933" s="18">
        <f>IF(D1933&lt;C1933,D1933+1-C1933,D1933-C1933)*24</f>
        <v/>
      </c>
      <c r="H1933" s="18">
        <f>MAX(0,G1933-8)</f>
        <v/>
      </c>
    </row>
    <row r="1934">
      <c r="A1934" t="n">
        <v>1102</v>
      </c>
      <c r="B1934" s="14" t="n">
        <v>46255</v>
      </c>
      <c r="C1934" s="17" t="n">
        <v>0.9166666666666666</v>
      </c>
      <c r="D1934" s="17" t="n">
        <v>0.3125</v>
      </c>
      <c r="E1934" t="inlineStr">
        <is>
          <t>Night</t>
        </is>
      </c>
      <c r="F1934" t="inlineStr">
        <is>
          <t>Aug</t>
        </is>
      </c>
      <c r="G1934" s="18">
        <f>IF(D1934&lt;C1934,D1934+1-C1934,D1934-C1934)*24</f>
        <v/>
      </c>
      <c r="H1934" s="18">
        <f>MAX(0,G1934-8)</f>
        <v/>
      </c>
    </row>
    <row r="1935">
      <c r="A1935" t="n">
        <v>1106</v>
      </c>
      <c r="B1935" s="14" t="n">
        <v>46255</v>
      </c>
      <c r="C1935" s="17" t="n">
        <v>0.9166666666666666</v>
      </c>
      <c r="D1935" s="17" t="n">
        <v>0.3333333333333333</v>
      </c>
      <c r="E1935" t="inlineStr">
        <is>
          <t>Night</t>
        </is>
      </c>
      <c r="F1935" t="inlineStr">
        <is>
          <t>Aug</t>
        </is>
      </c>
      <c r="G1935" s="18">
        <f>IF(D1935&lt;C1935,D1935+1-C1935,D1935-C1935)*24</f>
        <v/>
      </c>
      <c r="H1935" s="18">
        <f>MAX(0,G1935-8)</f>
        <v/>
      </c>
    </row>
    <row r="1936">
      <c r="A1936" t="n">
        <v>1107</v>
      </c>
      <c r="B1936" s="14" t="n">
        <v>46255</v>
      </c>
      <c r="C1936" s="17" t="n">
        <v>0.9270833333333334</v>
      </c>
      <c r="D1936" s="17" t="n">
        <v>0.28125</v>
      </c>
      <c r="E1936" t="inlineStr">
        <is>
          <t>Night</t>
        </is>
      </c>
      <c r="F1936" t="inlineStr">
        <is>
          <t>Aug</t>
        </is>
      </c>
      <c r="G1936" s="18">
        <f>IF(D1936&lt;C1936,D1936+1-C1936,D1936-C1936)*24</f>
        <v/>
      </c>
      <c r="H1936" s="18">
        <f>MAX(0,G1936-8)</f>
        <v/>
      </c>
    </row>
    <row r="1937">
      <c r="A1937" t="n">
        <v>1109</v>
      </c>
      <c r="B1937" s="14" t="n">
        <v>46255</v>
      </c>
      <c r="C1937" s="17" t="n">
        <v>0.9375</v>
      </c>
      <c r="D1937" s="17" t="n">
        <v>0.4166666666666667</v>
      </c>
      <c r="E1937" t="inlineStr">
        <is>
          <t>Night</t>
        </is>
      </c>
      <c r="F1937" t="inlineStr">
        <is>
          <t>Aug</t>
        </is>
      </c>
      <c r="G1937" s="18">
        <f>IF(D1937&lt;C1937,D1937+1-C1937,D1937-C1937)*24</f>
        <v/>
      </c>
      <c r="H1937" s="18">
        <f>MAX(0,G1937-8)</f>
        <v/>
      </c>
    </row>
    <row r="1938">
      <c r="A1938" t="n">
        <v>1110</v>
      </c>
      <c r="B1938" s="14" t="n">
        <v>46255</v>
      </c>
      <c r="C1938" s="17" t="n">
        <v>0.9375</v>
      </c>
      <c r="D1938" s="17" t="n">
        <v>0.3125</v>
      </c>
      <c r="E1938" t="inlineStr">
        <is>
          <t>Night</t>
        </is>
      </c>
      <c r="F1938" t="inlineStr">
        <is>
          <t>Aug</t>
        </is>
      </c>
      <c r="G1938" s="18">
        <f>IF(D1938&lt;C1938,D1938+1-C1938,D1938-C1938)*24</f>
        <v/>
      </c>
      <c r="H1938" s="18">
        <f>MAX(0,G1938-8)</f>
        <v/>
      </c>
    </row>
    <row r="1939">
      <c r="A1939" t="n">
        <v>1111</v>
      </c>
      <c r="B1939" s="14" t="n">
        <v>46255</v>
      </c>
      <c r="C1939" s="17" t="n">
        <v>0.9166666666666666</v>
      </c>
      <c r="D1939" s="17" t="n">
        <v>0.2708333333333333</v>
      </c>
      <c r="E1939" t="inlineStr">
        <is>
          <t>Night</t>
        </is>
      </c>
      <c r="F1939" t="inlineStr">
        <is>
          <t>Aug</t>
        </is>
      </c>
      <c r="G1939" s="18">
        <f>IF(D1939&lt;C1939,D1939+1-C1939,D1939-C1939)*24</f>
        <v/>
      </c>
      <c r="H1939" s="18">
        <f>MAX(0,G1939-8)</f>
        <v/>
      </c>
    </row>
    <row r="1940">
      <c r="A1940" t="n">
        <v>1112</v>
      </c>
      <c r="B1940" s="14" t="n">
        <v>46255</v>
      </c>
      <c r="C1940" s="17" t="n">
        <v>0.9270833333333334</v>
      </c>
      <c r="D1940" s="17" t="n">
        <v>0.34375</v>
      </c>
      <c r="E1940" t="inlineStr">
        <is>
          <t>Night</t>
        </is>
      </c>
      <c r="F1940" t="inlineStr">
        <is>
          <t>Aug</t>
        </is>
      </c>
      <c r="G1940" s="18">
        <f>IF(D1940&lt;C1940,D1940+1-C1940,D1940-C1940)*24</f>
        <v/>
      </c>
      <c r="H1940" s="18">
        <f>MAX(0,G1940-8)</f>
        <v/>
      </c>
    </row>
    <row r="1941">
      <c r="A1941" t="n">
        <v>1113</v>
      </c>
      <c r="B1941" s="14" t="n">
        <v>46255</v>
      </c>
      <c r="C1941" s="17" t="n">
        <v>0.9166666666666666</v>
      </c>
      <c r="D1941" s="17" t="n">
        <v>0.25</v>
      </c>
      <c r="E1941" t="inlineStr">
        <is>
          <t>Night</t>
        </is>
      </c>
      <c r="F1941" t="inlineStr">
        <is>
          <t>Aug</t>
        </is>
      </c>
      <c r="G1941" s="18">
        <f>IF(D1941&lt;C1941,D1941+1-C1941,D1941-C1941)*24</f>
        <v/>
      </c>
      <c r="H1941" s="18">
        <f>MAX(0,G1941-8)</f>
        <v/>
      </c>
    </row>
    <row r="1942">
      <c r="A1942" t="n">
        <v>1114</v>
      </c>
      <c r="B1942" s="14" t="n">
        <v>46255</v>
      </c>
      <c r="C1942" s="17" t="n">
        <v>0.9166666666666666</v>
      </c>
      <c r="D1942" s="17" t="n">
        <v>0.3958333333333333</v>
      </c>
      <c r="E1942" t="inlineStr">
        <is>
          <t>Night</t>
        </is>
      </c>
      <c r="F1942" t="inlineStr">
        <is>
          <t>Aug</t>
        </is>
      </c>
      <c r="G1942" s="18">
        <f>IF(D1942&lt;C1942,D1942+1-C1942,D1942-C1942)*24</f>
        <v/>
      </c>
      <c r="H1942" s="18">
        <f>MAX(0,G1942-8)</f>
        <v/>
      </c>
    </row>
    <row r="1943">
      <c r="A1943" t="n">
        <v>1115</v>
      </c>
      <c r="B1943" s="14" t="n">
        <v>46255</v>
      </c>
      <c r="C1943" s="17" t="n">
        <v>0.9166666666666666</v>
      </c>
      <c r="D1943" s="17" t="n">
        <v>0.375</v>
      </c>
      <c r="E1943" t="inlineStr">
        <is>
          <t>Night</t>
        </is>
      </c>
      <c r="F1943" t="inlineStr">
        <is>
          <t>Aug</t>
        </is>
      </c>
      <c r="G1943" s="18">
        <f>IF(D1943&lt;C1943,D1943+1-C1943,D1943-C1943)*24</f>
        <v/>
      </c>
      <c r="H1943" s="18">
        <f>MAX(0,G1943-8)</f>
        <v/>
      </c>
    </row>
    <row r="1944">
      <c r="A1944" t="n">
        <v>1118</v>
      </c>
      <c r="B1944" s="14" t="n">
        <v>46255</v>
      </c>
      <c r="C1944" s="17" t="n">
        <v>0.9166666666666666</v>
      </c>
      <c r="D1944" s="17" t="n">
        <v>0.25</v>
      </c>
      <c r="E1944" t="inlineStr">
        <is>
          <t>Night</t>
        </is>
      </c>
      <c r="F1944" t="inlineStr">
        <is>
          <t>Aug</t>
        </is>
      </c>
      <c r="G1944" s="18">
        <f>IF(D1944&lt;C1944,D1944+1-C1944,D1944-C1944)*24</f>
        <v/>
      </c>
      <c r="H1944" s="18">
        <f>MAX(0,G1944-8)</f>
        <v/>
      </c>
    </row>
    <row r="1945">
      <c r="A1945" t="n">
        <v>1119</v>
      </c>
      <c r="B1945" s="14" t="n">
        <v>46255</v>
      </c>
      <c r="C1945" s="17" t="n">
        <v>0.9166666666666666</v>
      </c>
      <c r="D1945" s="17" t="n">
        <v>0.3541666666666667</v>
      </c>
      <c r="E1945" t="inlineStr">
        <is>
          <t>Night</t>
        </is>
      </c>
      <c r="F1945" t="inlineStr">
        <is>
          <t>Aug</t>
        </is>
      </c>
      <c r="G1945" s="18">
        <f>IF(D1945&lt;C1945,D1945+1-C1945,D1945-C1945)*24</f>
        <v/>
      </c>
      <c r="H1945" s="18">
        <f>MAX(0,G1945-8)</f>
        <v/>
      </c>
    </row>
    <row r="1946">
      <c r="A1946" t="n">
        <v>1120</v>
      </c>
      <c r="B1946" s="14" t="n">
        <v>46255</v>
      </c>
      <c r="C1946" s="17" t="n">
        <v>0.9166666666666666</v>
      </c>
      <c r="D1946" s="17" t="n">
        <v>0.2708333333333333</v>
      </c>
      <c r="E1946" t="inlineStr">
        <is>
          <t>Night</t>
        </is>
      </c>
      <c r="F1946" t="inlineStr">
        <is>
          <t>Aug</t>
        </is>
      </c>
      <c r="G1946" s="18">
        <f>IF(D1946&lt;C1946,D1946+1-C1946,D1946-C1946)*24</f>
        <v/>
      </c>
      <c r="H1946" s="18">
        <f>MAX(0,G1946-8)</f>
        <v/>
      </c>
    </row>
    <row r="1947">
      <c r="A1947" t="n">
        <v>1121</v>
      </c>
      <c r="B1947" s="14" t="n">
        <v>46255</v>
      </c>
      <c r="C1947" s="17" t="n">
        <v>0.9166666666666666</v>
      </c>
      <c r="D1947" s="17" t="n">
        <v>0.3125</v>
      </c>
      <c r="E1947" t="inlineStr">
        <is>
          <t>Night</t>
        </is>
      </c>
      <c r="F1947" t="inlineStr">
        <is>
          <t>Aug</t>
        </is>
      </c>
      <c r="G1947" s="18">
        <f>IF(D1947&lt;C1947,D1947+1-C1947,D1947-C1947)*24</f>
        <v/>
      </c>
      <c r="H1947" s="18">
        <f>MAX(0,G1947-8)</f>
        <v/>
      </c>
    </row>
    <row r="1948">
      <c r="A1948" t="n">
        <v>1122</v>
      </c>
      <c r="B1948" s="14" t="n">
        <v>46255</v>
      </c>
      <c r="C1948" s="17" t="n">
        <v>0.9166666666666666</v>
      </c>
      <c r="D1948" s="17" t="n">
        <v>0.2916666666666667</v>
      </c>
      <c r="E1948" t="inlineStr">
        <is>
          <t>Night</t>
        </is>
      </c>
      <c r="F1948" t="inlineStr">
        <is>
          <t>Aug</t>
        </is>
      </c>
      <c r="G1948" s="18">
        <f>IF(D1948&lt;C1948,D1948+1-C1948,D1948-C1948)*24</f>
        <v/>
      </c>
      <c r="H1948" s="18">
        <f>MAX(0,G1948-8)</f>
        <v/>
      </c>
    </row>
    <row r="1949">
      <c r="A1949" t="n">
        <v>1126</v>
      </c>
      <c r="B1949" s="14" t="n">
        <v>46255</v>
      </c>
      <c r="C1949" s="17" t="n">
        <v>0.9166666666666666</v>
      </c>
      <c r="D1949" s="17" t="n">
        <v>0.25</v>
      </c>
      <c r="E1949" t="inlineStr">
        <is>
          <t>Night</t>
        </is>
      </c>
      <c r="F1949" t="inlineStr">
        <is>
          <t>Aug</t>
        </is>
      </c>
      <c r="G1949" s="18">
        <f>IF(D1949&lt;C1949,D1949+1-C1949,D1949-C1949)*24</f>
        <v/>
      </c>
      <c r="H1949" s="18">
        <f>MAX(0,G1949-8)</f>
        <v/>
      </c>
    </row>
    <row r="1950">
      <c r="A1950" t="n">
        <v>1127</v>
      </c>
      <c r="B1950" s="14" t="n">
        <v>46255</v>
      </c>
      <c r="C1950" s="17" t="n">
        <v>0.9375</v>
      </c>
      <c r="D1950" s="17" t="n">
        <v>0.375</v>
      </c>
      <c r="E1950" t="inlineStr">
        <is>
          <t>Night</t>
        </is>
      </c>
      <c r="F1950" t="inlineStr">
        <is>
          <t>Aug</t>
        </is>
      </c>
      <c r="G1950" s="18">
        <f>IF(D1950&lt;C1950,D1950+1-C1950,D1950-C1950)*24</f>
        <v/>
      </c>
      <c r="H1950" s="18">
        <f>MAX(0,G1950-8)</f>
        <v/>
      </c>
    </row>
    <row r="1951">
      <c r="A1951" t="n">
        <v>1130</v>
      </c>
      <c r="B1951" s="14" t="n">
        <v>46255</v>
      </c>
      <c r="C1951" s="17" t="n">
        <v>0.9166666666666666</v>
      </c>
      <c r="D1951" s="17" t="n">
        <v>0.25</v>
      </c>
      <c r="E1951" t="inlineStr">
        <is>
          <t>Night</t>
        </is>
      </c>
      <c r="F1951" t="inlineStr">
        <is>
          <t>Aug</t>
        </is>
      </c>
      <c r="G1951" s="18">
        <f>IF(D1951&lt;C1951,D1951+1-C1951,D1951-C1951)*24</f>
        <v/>
      </c>
      <c r="H1951" s="18">
        <f>MAX(0,G1951-8)</f>
        <v/>
      </c>
    </row>
    <row r="1952">
      <c r="A1952" t="n">
        <v>1131</v>
      </c>
      <c r="B1952" s="14" t="n">
        <v>46255</v>
      </c>
      <c r="C1952" s="17" t="n">
        <v>0.9166666666666666</v>
      </c>
      <c r="D1952" s="17" t="n">
        <v>0.2708333333333333</v>
      </c>
      <c r="E1952" t="inlineStr">
        <is>
          <t>Night</t>
        </is>
      </c>
      <c r="F1952" t="inlineStr">
        <is>
          <t>Aug</t>
        </is>
      </c>
      <c r="G1952" s="18">
        <f>IF(D1952&lt;C1952,D1952+1-C1952,D1952-C1952)*24</f>
        <v/>
      </c>
      <c r="H1952" s="18">
        <f>MAX(0,G1952-8)</f>
        <v/>
      </c>
    </row>
    <row r="1953">
      <c r="A1953" t="n">
        <v>1132</v>
      </c>
      <c r="B1953" s="14" t="n">
        <v>46255</v>
      </c>
      <c r="C1953" s="17" t="n">
        <v>0.9166666666666666</v>
      </c>
      <c r="D1953" s="17" t="n">
        <v>0.2708333333333333</v>
      </c>
      <c r="E1953" t="inlineStr">
        <is>
          <t>Night</t>
        </is>
      </c>
      <c r="F1953" t="inlineStr">
        <is>
          <t>Aug</t>
        </is>
      </c>
      <c r="G1953" s="18">
        <f>IF(D1953&lt;C1953,D1953+1-C1953,D1953-C1953)*24</f>
        <v/>
      </c>
      <c r="H1953" s="18">
        <f>MAX(0,G1953-8)</f>
        <v/>
      </c>
    </row>
    <row r="1954">
      <c r="A1954" t="n">
        <v>1133</v>
      </c>
      <c r="B1954" s="14" t="n">
        <v>46255</v>
      </c>
      <c r="C1954" s="17" t="n">
        <v>0.9270833333333334</v>
      </c>
      <c r="D1954" s="17" t="n">
        <v>0.3020833333333333</v>
      </c>
      <c r="E1954" t="inlineStr">
        <is>
          <t>Night</t>
        </is>
      </c>
      <c r="F1954" t="inlineStr">
        <is>
          <t>Aug</t>
        </is>
      </c>
      <c r="G1954" s="18">
        <f>IF(D1954&lt;C1954,D1954+1-C1954,D1954-C1954)*24</f>
        <v/>
      </c>
      <c r="H1954" s="18">
        <f>MAX(0,G1954-8)</f>
        <v/>
      </c>
    </row>
    <row r="1955">
      <c r="A1955" t="n">
        <v>1134</v>
      </c>
      <c r="B1955" s="14" t="n">
        <v>46255</v>
      </c>
      <c r="C1955" s="17" t="n">
        <v>0.9166666666666666</v>
      </c>
      <c r="D1955" s="17" t="n">
        <v>0.3333333333333333</v>
      </c>
      <c r="E1955" t="inlineStr">
        <is>
          <t>Night</t>
        </is>
      </c>
      <c r="F1955" t="inlineStr">
        <is>
          <t>Aug</t>
        </is>
      </c>
      <c r="G1955" s="18">
        <f>IF(D1955&lt;C1955,D1955+1-C1955,D1955-C1955)*24</f>
        <v/>
      </c>
      <c r="H1955" s="18">
        <f>MAX(0,G1955-8)</f>
        <v/>
      </c>
    </row>
    <row r="1956">
      <c r="A1956" t="n">
        <v>1136</v>
      </c>
      <c r="B1956" s="14" t="n">
        <v>46255</v>
      </c>
      <c r="C1956" s="17" t="n">
        <v>0.9166666666666666</v>
      </c>
      <c r="D1956" s="17" t="n">
        <v>0.375</v>
      </c>
      <c r="E1956" t="inlineStr">
        <is>
          <t>Night</t>
        </is>
      </c>
      <c r="F1956" t="inlineStr">
        <is>
          <t>Aug</t>
        </is>
      </c>
      <c r="G1956" s="18">
        <f>IF(D1956&lt;C1956,D1956+1-C1956,D1956-C1956)*24</f>
        <v/>
      </c>
      <c r="H1956" s="18">
        <f>MAX(0,G1956-8)</f>
        <v/>
      </c>
    </row>
    <row r="1957">
      <c r="A1957" t="n">
        <v>1137</v>
      </c>
      <c r="B1957" s="14" t="n">
        <v>46255</v>
      </c>
      <c r="C1957" s="17" t="n">
        <v>0.9166666666666666</v>
      </c>
      <c r="D1957" s="17" t="n">
        <v>0.25</v>
      </c>
      <c r="E1957" t="inlineStr">
        <is>
          <t>Night</t>
        </is>
      </c>
      <c r="F1957" t="inlineStr">
        <is>
          <t>Aug</t>
        </is>
      </c>
      <c r="G1957" s="18">
        <f>IF(D1957&lt;C1957,D1957+1-C1957,D1957-C1957)*24</f>
        <v/>
      </c>
      <c r="H1957" s="18">
        <f>MAX(0,G1957-8)</f>
        <v/>
      </c>
    </row>
    <row r="1958">
      <c r="A1958" t="n">
        <v>1103</v>
      </c>
      <c r="B1958" s="14" t="n">
        <v>46255</v>
      </c>
      <c r="C1958" s="17" t="n">
        <v>0.01041666666666667</v>
      </c>
      <c r="D1958" s="17" t="n">
        <v>0.34375</v>
      </c>
      <c r="E1958" t="inlineStr">
        <is>
          <t>Night</t>
        </is>
      </c>
      <c r="F1958" t="inlineStr">
        <is>
          <t>Aug</t>
        </is>
      </c>
      <c r="G1958" s="18">
        <f>IF(D1958&lt;C1958,D1958+1-C1958,D1958-C1958)*24</f>
        <v/>
      </c>
      <c r="H1958" s="18">
        <f>MAX(0,G1958-8)</f>
        <v/>
      </c>
    </row>
    <row r="1959">
      <c r="A1959" t="n">
        <v>1117</v>
      </c>
      <c r="B1959" s="14" t="n">
        <v>46255</v>
      </c>
      <c r="C1959" s="17" t="n">
        <v>0.02083333333333333</v>
      </c>
      <c r="D1959" s="17" t="n">
        <v>0.3958333333333333</v>
      </c>
      <c r="E1959" t="inlineStr">
        <is>
          <t>Night</t>
        </is>
      </c>
      <c r="F1959" t="inlineStr">
        <is>
          <t>Aug</t>
        </is>
      </c>
      <c r="G1959" s="18">
        <f>IF(D1959&lt;C1959,D1959+1-C1959,D1959-C1959)*24</f>
        <v/>
      </c>
      <c r="H1959" s="18">
        <f>MAX(0,G1959-8)</f>
        <v/>
      </c>
    </row>
    <row r="1960">
      <c r="A1960" t="n">
        <v>1125</v>
      </c>
      <c r="B1960" s="14" t="n">
        <v>46255</v>
      </c>
      <c r="C1960" s="17" t="n">
        <v>0.02083333333333333</v>
      </c>
      <c r="D1960" s="17" t="n">
        <v>0.5</v>
      </c>
      <c r="E1960" t="inlineStr">
        <is>
          <t>Night</t>
        </is>
      </c>
      <c r="F1960" t="inlineStr">
        <is>
          <t>Aug</t>
        </is>
      </c>
      <c r="G1960" s="18">
        <f>IF(D1960&lt;C1960,D1960+1-C1960,D1960-C1960)*24</f>
        <v/>
      </c>
      <c r="H1960" s="18">
        <f>MAX(0,G1960-8)</f>
        <v/>
      </c>
    </row>
    <row r="1961">
      <c r="A1961" t="n">
        <v>1135</v>
      </c>
      <c r="B1961" s="14" t="n">
        <v>46255</v>
      </c>
      <c r="C1961" s="17" t="n">
        <v>0.01041666666666667</v>
      </c>
      <c r="D1961" s="17" t="n">
        <v>0.46875</v>
      </c>
      <c r="E1961" t="inlineStr">
        <is>
          <t>Night</t>
        </is>
      </c>
      <c r="F1961" t="inlineStr">
        <is>
          <t>Aug</t>
        </is>
      </c>
      <c r="G1961" s="18">
        <f>IF(D1961&lt;C1961,D1961+1-C1961,D1961-C1961)*24</f>
        <v/>
      </c>
      <c r="H1961" s="18">
        <f>MAX(0,G1961-8)</f>
        <v/>
      </c>
    </row>
    <row r="1962">
      <c r="A1962" t="n">
        <v>1147</v>
      </c>
      <c r="B1962" s="14" t="n">
        <v>46255</v>
      </c>
      <c r="C1962" s="17" t="n">
        <v>0.01041666666666667</v>
      </c>
      <c r="D1962" s="17" t="n">
        <v>0.3645833333333333</v>
      </c>
      <c r="E1962" t="inlineStr">
        <is>
          <t>Night</t>
        </is>
      </c>
      <c r="F1962" t="inlineStr">
        <is>
          <t>Aug</t>
        </is>
      </c>
      <c r="G1962" s="18">
        <f>IF(D1962&lt;C1962,D1962+1-C1962,D1962-C1962)*24</f>
        <v/>
      </c>
      <c r="H1962" s="18">
        <f>MAX(0,G1962-8)</f>
        <v/>
      </c>
    </row>
    <row r="1963">
      <c r="A1963" t="n">
        <v>1201</v>
      </c>
      <c r="B1963" s="14" t="n">
        <v>46255</v>
      </c>
      <c r="C1963" s="17" t="n">
        <v>0.25</v>
      </c>
      <c r="D1963" s="17" t="n">
        <v>0.6041666666666666</v>
      </c>
      <c r="E1963" t="inlineStr">
        <is>
          <t>Day</t>
        </is>
      </c>
      <c r="F1963" t="inlineStr">
        <is>
          <t>Aug</t>
        </is>
      </c>
      <c r="G1963" s="18">
        <f>IF(D1963&lt;C1963,D1963+1-C1963,D1963-C1963)*24</f>
        <v/>
      </c>
      <c r="H1963" s="18">
        <f>MAX(0,G1963-8)</f>
        <v/>
      </c>
    </row>
    <row r="1964">
      <c r="A1964" t="n">
        <v>1202</v>
      </c>
      <c r="B1964" s="14" t="n">
        <v>46255</v>
      </c>
      <c r="C1964" s="17" t="n">
        <v>0.2708333333333333</v>
      </c>
      <c r="D1964" s="17" t="n">
        <v>0.6041666666666666</v>
      </c>
      <c r="E1964" t="inlineStr">
        <is>
          <t>Day</t>
        </is>
      </c>
      <c r="F1964" t="inlineStr">
        <is>
          <t>Aug</t>
        </is>
      </c>
      <c r="G1964" s="18">
        <f>IF(D1964&lt;C1964,D1964+1-C1964,D1964-C1964)*24</f>
        <v/>
      </c>
      <c r="H1964" s="18">
        <f>MAX(0,G1964-8)</f>
        <v/>
      </c>
    </row>
    <row r="1965">
      <c r="A1965" t="n">
        <v>1203</v>
      </c>
      <c r="B1965" s="14" t="n">
        <v>46255</v>
      </c>
      <c r="C1965" s="17" t="n">
        <v>0.2708333333333333</v>
      </c>
      <c r="D1965" s="17" t="n">
        <v>0.6041666666666666</v>
      </c>
      <c r="E1965" t="inlineStr">
        <is>
          <t>Day</t>
        </is>
      </c>
      <c r="F1965" t="inlineStr">
        <is>
          <t>Aug</t>
        </is>
      </c>
      <c r="G1965" s="18">
        <f>IF(D1965&lt;C1965,D1965+1-C1965,D1965-C1965)*24</f>
        <v/>
      </c>
      <c r="H1965" s="18">
        <f>MAX(0,G1965-8)</f>
        <v/>
      </c>
    </row>
    <row r="1966">
      <c r="A1966" t="n">
        <v>1204</v>
      </c>
      <c r="B1966" s="14" t="n">
        <v>46255</v>
      </c>
      <c r="C1966" s="17" t="n">
        <v>0.2708333333333333</v>
      </c>
      <c r="D1966" s="17" t="n">
        <v>0.6458333333333334</v>
      </c>
      <c r="E1966" t="inlineStr">
        <is>
          <t>Day</t>
        </is>
      </c>
      <c r="F1966" t="inlineStr">
        <is>
          <t>Aug</t>
        </is>
      </c>
      <c r="G1966" s="18">
        <f>IF(D1966&lt;C1966,D1966+1-C1966,D1966-C1966)*24</f>
        <v/>
      </c>
      <c r="H1966" s="18">
        <f>MAX(0,G1966-8)</f>
        <v/>
      </c>
    </row>
    <row r="1967">
      <c r="A1967" t="n">
        <v>1205</v>
      </c>
      <c r="B1967" s="14" t="n">
        <v>46255</v>
      </c>
      <c r="C1967" s="17" t="n">
        <v>0.2708333333333333</v>
      </c>
      <c r="D1967" s="17" t="n">
        <v>0.6875</v>
      </c>
      <c r="E1967" t="inlineStr">
        <is>
          <t>Day</t>
        </is>
      </c>
      <c r="F1967" t="inlineStr">
        <is>
          <t>Aug</t>
        </is>
      </c>
      <c r="G1967" s="18">
        <f>IF(D1967&lt;C1967,D1967+1-C1967,D1967-C1967)*24</f>
        <v/>
      </c>
      <c r="H1967" s="18">
        <f>MAX(0,G1967-8)</f>
        <v/>
      </c>
    </row>
    <row r="1968">
      <c r="A1968" t="n">
        <v>1206</v>
      </c>
      <c r="B1968" s="14" t="n">
        <v>46255</v>
      </c>
      <c r="C1968" s="17" t="n">
        <v>0.25</v>
      </c>
      <c r="D1968" s="17" t="n">
        <v>0.5833333333333334</v>
      </c>
      <c r="E1968" t="inlineStr">
        <is>
          <t>Day</t>
        </is>
      </c>
      <c r="F1968" t="inlineStr">
        <is>
          <t>Aug</t>
        </is>
      </c>
      <c r="G1968" s="18">
        <f>IF(D1968&lt;C1968,D1968+1-C1968,D1968-C1968)*24</f>
        <v/>
      </c>
      <c r="H1968" s="18">
        <f>MAX(0,G1968-8)</f>
        <v/>
      </c>
    </row>
    <row r="1969">
      <c r="A1969" t="n">
        <v>1207</v>
      </c>
      <c r="B1969" s="14" t="n">
        <v>46255</v>
      </c>
      <c r="C1969" s="17" t="n">
        <v>0.2708333333333333</v>
      </c>
      <c r="D1969" s="17" t="n">
        <v>0.6875</v>
      </c>
      <c r="E1969" t="inlineStr">
        <is>
          <t>Day</t>
        </is>
      </c>
      <c r="F1969" t="inlineStr">
        <is>
          <t>Aug</t>
        </is>
      </c>
      <c r="G1969" s="18">
        <f>IF(D1969&lt;C1969,D1969+1-C1969,D1969-C1969)*24</f>
        <v/>
      </c>
      <c r="H1969" s="18">
        <f>MAX(0,G1969-8)</f>
        <v/>
      </c>
    </row>
    <row r="1970">
      <c r="A1970" t="n">
        <v>1208</v>
      </c>
      <c r="B1970" s="14" t="n">
        <v>46255</v>
      </c>
      <c r="C1970" s="17" t="n">
        <v>0.2708333333333333</v>
      </c>
      <c r="D1970" s="17" t="n">
        <v>0.6041666666666666</v>
      </c>
      <c r="E1970" t="inlineStr">
        <is>
          <t>Day</t>
        </is>
      </c>
      <c r="F1970" t="inlineStr">
        <is>
          <t>Aug</t>
        </is>
      </c>
      <c r="G1970" s="18">
        <f>IF(D1970&lt;C1970,D1970+1-C1970,D1970-C1970)*24</f>
        <v/>
      </c>
      <c r="H1970" s="18">
        <f>MAX(0,G1970-8)</f>
        <v/>
      </c>
    </row>
    <row r="1971">
      <c r="A1971" t="n">
        <v>1209</v>
      </c>
      <c r="B1971" s="14" t="n">
        <v>46255</v>
      </c>
      <c r="C1971" s="17" t="n">
        <v>0.25</v>
      </c>
      <c r="D1971" s="17" t="n">
        <v>0.5833333333333334</v>
      </c>
      <c r="E1971" t="inlineStr">
        <is>
          <t>Day</t>
        </is>
      </c>
      <c r="F1971" t="inlineStr">
        <is>
          <t>Aug</t>
        </is>
      </c>
      <c r="G1971" s="18">
        <f>IF(D1971&lt;C1971,D1971+1-C1971,D1971-C1971)*24</f>
        <v/>
      </c>
      <c r="H1971" s="18">
        <f>MAX(0,G1971-8)</f>
        <v/>
      </c>
    </row>
    <row r="1972">
      <c r="A1972" t="n">
        <v>1210</v>
      </c>
      <c r="B1972" s="14" t="n">
        <v>46255</v>
      </c>
      <c r="C1972" s="17" t="n">
        <v>0.2708333333333333</v>
      </c>
      <c r="D1972" s="17" t="n">
        <v>0.6458333333333334</v>
      </c>
      <c r="E1972" t="inlineStr">
        <is>
          <t>Day</t>
        </is>
      </c>
      <c r="F1972" t="inlineStr">
        <is>
          <t>Aug</t>
        </is>
      </c>
      <c r="G1972" s="18">
        <f>IF(D1972&lt;C1972,D1972+1-C1972,D1972-C1972)*24</f>
        <v/>
      </c>
      <c r="H1972" s="18">
        <f>MAX(0,G1972-8)</f>
        <v/>
      </c>
    </row>
    <row r="1973">
      <c r="A1973" t="n">
        <v>1211</v>
      </c>
      <c r="B1973" s="14" t="n">
        <v>46255</v>
      </c>
      <c r="C1973" s="17" t="n">
        <v>0.2708333333333333</v>
      </c>
      <c r="D1973" s="17" t="n">
        <v>0.625</v>
      </c>
      <c r="E1973" t="inlineStr">
        <is>
          <t>Day</t>
        </is>
      </c>
      <c r="F1973" t="inlineStr">
        <is>
          <t>Aug</t>
        </is>
      </c>
      <c r="G1973" s="18">
        <f>IF(D1973&lt;C1973,D1973+1-C1973,D1973-C1973)*24</f>
        <v/>
      </c>
      <c r="H1973" s="18">
        <f>MAX(0,G1973-8)</f>
        <v/>
      </c>
    </row>
    <row r="1974">
      <c r="A1974" t="n">
        <v>1212</v>
      </c>
      <c r="B1974" s="14" t="n">
        <v>46255</v>
      </c>
      <c r="C1974" s="17" t="n">
        <v>0.2708333333333333</v>
      </c>
      <c r="D1974" s="17" t="n">
        <v>0.6041666666666666</v>
      </c>
      <c r="E1974" t="inlineStr">
        <is>
          <t>Day</t>
        </is>
      </c>
      <c r="F1974" t="inlineStr">
        <is>
          <t>Aug</t>
        </is>
      </c>
      <c r="G1974" s="18">
        <f>IF(D1974&lt;C1974,D1974+1-C1974,D1974-C1974)*24</f>
        <v/>
      </c>
      <c r="H1974" s="18">
        <f>MAX(0,G1974-8)</f>
        <v/>
      </c>
    </row>
    <row r="1975">
      <c r="A1975" t="n">
        <v>1213</v>
      </c>
      <c r="B1975" s="14" t="n">
        <v>46255</v>
      </c>
      <c r="C1975" s="17" t="n">
        <v>0.25</v>
      </c>
      <c r="D1975" s="17" t="n">
        <v>0.5833333333333334</v>
      </c>
      <c r="E1975" t="inlineStr">
        <is>
          <t>Day</t>
        </is>
      </c>
      <c r="F1975" t="inlineStr">
        <is>
          <t>Aug</t>
        </is>
      </c>
      <c r="G1975" s="18">
        <f>IF(D1975&lt;C1975,D1975+1-C1975,D1975-C1975)*24</f>
        <v/>
      </c>
      <c r="H1975" s="18">
        <f>MAX(0,G1975-8)</f>
        <v/>
      </c>
    </row>
    <row r="1976">
      <c r="A1976" t="n">
        <v>1214</v>
      </c>
      <c r="B1976" s="14" t="n">
        <v>46255</v>
      </c>
      <c r="C1976" s="17" t="n">
        <v>0.25</v>
      </c>
      <c r="D1976" s="17" t="n">
        <v>0.625</v>
      </c>
      <c r="E1976" t="inlineStr">
        <is>
          <t>Day</t>
        </is>
      </c>
      <c r="F1976" t="inlineStr">
        <is>
          <t>Aug</t>
        </is>
      </c>
      <c r="G1976" s="18">
        <f>IF(D1976&lt;C1976,D1976+1-C1976,D1976-C1976)*24</f>
        <v/>
      </c>
      <c r="H1976" s="18">
        <f>MAX(0,G1976-8)</f>
        <v/>
      </c>
    </row>
    <row r="1977">
      <c r="A1977" t="n">
        <v>1215</v>
      </c>
      <c r="B1977" s="14" t="n">
        <v>46255</v>
      </c>
      <c r="C1977" s="17" t="n">
        <v>0.25</v>
      </c>
      <c r="D1977" s="17" t="n">
        <v>0.625</v>
      </c>
      <c r="E1977" t="inlineStr">
        <is>
          <t>Day</t>
        </is>
      </c>
      <c r="F1977" t="inlineStr">
        <is>
          <t>Aug</t>
        </is>
      </c>
      <c r="G1977" s="18">
        <f>IF(D1977&lt;C1977,D1977+1-C1977,D1977-C1977)*24</f>
        <v/>
      </c>
      <c r="H1977" s="18">
        <f>MAX(0,G1977-8)</f>
        <v/>
      </c>
    </row>
    <row r="1978">
      <c r="A1978" t="n">
        <v>1216</v>
      </c>
      <c r="B1978" s="14" t="n">
        <v>46255</v>
      </c>
      <c r="C1978" s="17" t="n">
        <v>0.2708333333333333</v>
      </c>
      <c r="D1978" s="17" t="n">
        <v>0.6875</v>
      </c>
      <c r="E1978" t="inlineStr">
        <is>
          <t>Day</t>
        </is>
      </c>
      <c r="F1978" t="inlineStr">
        <is>
          <t>Aug</t>
        </is>
      </c>
      <c r="G1978" s="18">
        <f>IF(D1978&lt;C1978,D1978+1-C1978,D1978-C1978)*24</f>
        <v/>
      </c>
      <c r="H1978" s="18">
        <f>MAX(0,G1978-8)</f>
        <v/>
      </c>
    </row>
    <row r="1979">
      <c r="A1979" t="n">
        <v>1217</v>
      </c>
      <c r="B1979" s="14" t="n">
        <v>46255</v>
      </c>
      <c r="C1979" s="17" t="n">
        <v>0.2708333333333333</v>
      </c>
      <c r="D1979" s="17" t="n">
        <v>0.625</v>
      </c>
      <c r="E1979" t="inlineStr">
        <is>
          <t>Day</t>
        </is>
      </c>
      <c r="F1979" t="inlineStr">
        <is>
          <t>Aug</t>
        </is>
      </c>
      <c r="G1979" s="18">
        <f>IF(D1979&lt;C1979,D1979+1-C1979,D1979-C1979)*24</f>
        <v/>
      </c>
      <c r="H1979" s="18">
        <f>MAX(0,G1979-8)</f>
        <v/>
      </c>
    </row>
    <row r="1980">
      <c r="A1980" t="n">
        <v>1218</v>
      </c>
      <c r="B1980" s="14" t="n">
        <v>46255</v>
      </c>
      <c r="C1980" s="17" t="n">
        <v>0.25</v>
      </c>
      <c r="D1980" s="17" t="n">
        <v>0.6041666666666666</v>
      </c>
      <c r="E1980" t="inlineStr">
        <is>
          <t>Day</t>
        </is>
      </c>
      <c r="F1980" t="inlineStr">
        <is>
          <t>Aug</t>
        </is>
      </c>
      <c r="G1980" s="18">
        <f>IF(D1980&lt;C1980,D1980+1-C1980,D1980-C1980)*24</f>
        <v/>
      </c>
      <c r="H1980" s="18">
        <f>MAX(0,G1980-8)</f>
        <v/>
      </c>
    </row>
    <row r="1981">
      <c r="A1981" t="n">
        <v>1219</v>
      </c>
      <c r="B1981" s="14" t="n">
        <v>46255</v>
      </c>
      <c r="C1981" s="17" t="n">
        <v>0.2708333333333333</v>
      </c>
      <c r="D1981" s="17" t="n">
        <v>0.6041666666666666</v>
      </c>
      <c r="E1981" t="inlineStr">
        <is>
          <t>Day</t>
        </is>
      </c>
      <c r="F1981" t="inlineStr">
        <is>
          <t>Aug</t>
        </is>
      </c>
      <c r="G1981" s="18">
        <f>IF(D1981&lt;C1981,D1981+1-C1981,D1981-C1981)*24</f>
        <v/>
      </c>
      <c r="H1981" s="18">
        <f>MAX(0,G1981-8)</f>
        <v/>
      </c>
    </row>
    <row r="1982">
      <c r="A1982" t="n">
        <v>1101</v>
      </c>
      <c r="B1982" s="14" t="n">
        <v>46258</v>
      </c>
      <c r="C1982" s="17" t="n">
        <v>0.9270833333333334</v>
      </c>
      <c r="D1982" s="17" t="n">
        <v>0.3229166666666667</v>
      </c>
      <c r="E1982" t="inlineStr">
        <is>
          <t>Night</t>
        </is>
      </c>
      <c r="F1982" t="inlineStr">
        <is>
          <t>Aug</t>
        </is>
      </c>
      <c r="G1982" s="18">
        <f>IF(D1982&lt;C1982,D1982+1-C1982,D1982-C1982)*24</f>
        <v/>
      </c>
      <c r="H1982" s="18">
        <f>MAX(0,G1982-8)</f>
        <v/>
      </c>
    </row>
    <row r="1983">
      <c r="A1983" t="n">
        <v>1102</v>
      </c>
      <c r="B1983" s="14" t="n">
        <v>46258</v>
      </c>
      <c r="C1983" s="17" t="n">
        <v>0.9166666666666666</v>
      </c>
      <c r="D1983" s="17" t="n">
        <v>0.25</v>
      </c>
      <c r="E1983" t="inlineStr">
        <is>
          <t>Night</t>
        </is>
      </c>
      <c r="F1983" t="inlineStr">
        <is>
          <t>Aug</t>
        </is>
      </c>
      <c r="G1983" s="18">
        <f>IF(D1983&lt;C1983,D1983+1-C1983,D1983-C1983)*24</f>
        <v/>
      </c>
      <c r="H1983" s="18">
        <f>MAX(0,G1983-8)</f>
        <v/>
      </c>
    </row>
    <row r="1984">
      <c r="A1984" t="n">
        <v>1104</v>
      </c>
      <c r="B1984" s="14" t="n">
        <v>46258</v>
      </c>
      <c r="C1984" s="17" t="n">
        <v>0.9166666666666666</v>
      </c>
      <c r="D1984" s="17" t="n">
        <v>0.375</v>
      </c>
      <c r="E1984" t="inlineStr">
        <is>
          <t>Night</t>
        </is>
      </c>
      <c r="F1984" t="inlineStr">
        <is>
          <t>Aug</t>
        </is>
      </c>
      <c r="G1984" s="18">
        <f>IF(D1984&lt;C1984,D1984+1-C1984,D1984-C1984)*24</f>
        <v/>
      </c>
      <c r="H1984" s="18">
        <f>MAX(0,G1984-8)</f>
        <v/>
      </c>
    </row>
    <row r="1985">
      <c r="A1985" t="n">
        <v>1106</v>
      </c>
      <c r="B1985" s="14" t="n">
        <v>46258</v>
      </c>
      <c r="C1985" s="17" t="n">
        <v>0.9166666666666666</v>
      </c>
      <c r="D1985" s="17" t="n">
        <v>0.2916666666666667</v>
      </c>
      <c r="E1985" t="inlineStr">
        <is>
          <t>Night</t>
        </is>
      </c>
      <c r="F1985" t="inlineStr">
        <is>
          <t>Aug</t>
        </is>
      </c>
      <c r="G1985" s="18">
        <f>IF(D1985&lt;C1985,D1985+1-C1985,D1985-C1985)*24</f>
        <v/>
      </c>
      <c r="H1985" s="18">
        <f>MAX(0,G1985-8)</f>
        <v/>
      </c>
    </row>
    <row r="1986">
      <c r="A1986" t="n">
        <v>1107</v>
      </c>
      <c r="B1986" s="14" t="n">
        <v>46258</v>
      </c>
      <c r="C1986" s="17" t="n">
        <v>0.9166666666666666</v>
      </c>
      <c r="D1986" s="17" t="n">
        <v>0.3541666666666667</v>
      </c>
      <c r="E1986" t="inlineStr">
        <is>
          <t>Night</t>
        </is>
      </c>
      <c r="F1986" t="inlineStr">
        <is>
          <t>Aug</t>
        </is>
      </c>
      <c r="G1986" s="18">
        <f>IF(D1986&lt;C1986,D1986+1-C1986,D1986-C1986)*24</f>
        <v/>
      </c>
      <c r="H1986" s="18">
        <f>MAX(0,G1986-8)</f>
        <v/>
      </c>
    </row>
    <row r="1987">
      <c r="A1987" t="n">
        <v>1108</v>
      </c>
      <c r="B1987" s="14" t="n">
        <v>46258</v>
      </c>
      <c r="C1987" s="17" t="n">
        <v>0.9375</v>
      </c>
      <c r="D1987" s="17" t="n">
        <v>0.3541666666666667</v>
      </c>
      <c r="E1987" t="inlineStr">
        <is>
          <t>Night</t>
        </is>
      </c>
      <c r="F1987" t="inlineStr">
        <is>
          <t>Aug</t>
        </is>
      </c>
      <c r="G1987" s="18">
        <f>IF(D1987&lt;C1987,D1987+1-C1987,D1987-C1987)*24</f>
        <v/>
      </c>
      <c r="H1987" s="18">
        <f>MAX(0,G1987-8)</f>
        <v/>
      </c>
    </row>
    <row r="1988">
      <c r="A1988" t="n">
        <v>1111</v>
      </c>
      <c r="B1988" s="14" t="n">
        <v>46258</v>
      </c>
      <c r="C1988" s="17" t="n">
        <v>0.9166666666666666</v>
      </c>
      <c r="D1988" s="17" t="n">
        <v>0.2708333333333333</v>
      </c>
      <c r="E1988" t="inlineStr">
        <is>
          <t>Night</t>
        </is>
      </c>
      <c r="F1988" t="inlineStr">
        <is>
          <t>Aug</t>
        </is>
      </c>
      <c r="G1988" s="18">
        <f>IF(D1988&lt;C1988,D1988+1-C1988,D1988-C1988)*24</f>
        <v/>
      </c>
      <c r="H1988" s="18">
        <f>MAX(0,G1988-8)</f>
        <v/>
      </c>
    </row>
    <row r="1989">
      <c r="A1989" t="n">
        <v>1113</v>
      </c>
      <c r="B1989" s="14" t="n">
        <v>46258</v>
      </c>
      <c r="C1989" s="17" t="n">
        <v>0.9166666666666666</v>
      </c>
      <c r="D1989" s="17" t="n">
        <v>0.2916666666666667</v>
      </c>
      <c r="E1989" t="inlineStr">
        <is>
          <t>Night</t>
        </is>
      </c>
      <c r="F1989" t="inlineStr">
        <is>
          <t>Aug</t>
        </is>
      </c>
      <c r="G1989" s="18">
        <f>IF(D1989&lt;C1989,D1989+1-C1989,D1989-C1989)*24</f>
        <v/>
      </c>
      <c r="H1989" s="18">
        <f>MAX(0,G1989-8)</f>
        <v/>
      </c>
    </row>
    <row r="1990">
      <c r="A1990" t="n">
        <v>1114</v>
      </c>
      <c r="B1990" s="14" t="n">
        <v>46258</v>
      </c>
      <c r="C1990" s="17" t="n">
        <v>0.9375</v>
      </c>
      <c r="D1990" s="17" t="n">
        <v>0.4166666666666667</v>
      </c>
      <c r="E1990" t="inlineStr">
        <is>
          <t>Night</t>
        </is>
      </c>
      <c r="F1990" t="inlineStr">
        <is>
          <t>Aug</t>
        </is>
      </c>
      <c r="G1990" s="18">
        <f>IF(D1990&lt;C1990,D1990+1-C1990,D1990-C1990)*24</f>
        <v/>
      </c>
      <c r="H1990" s="18">
        <f>MAX(0,G1990-8)</f>
        <v/>
      </c>
    </row>
    <row r="1991">
      <c r="A1991" t="n">
        <v>1115</v>
      </c>
      <c r="B1991" s="14" t="n">
        <v>46258</v>
      </c>
      <c r="C1991" s="17" t="n">
        <v>0.9270833333333334</v>
      </c>
      <c r="D1991" s="17" t="n">
        <v>0.2604166666666667</v>
      </c>
      <c r="E1991" t="inlineStr">
        <is>
          <t>Night</t>
        </is>
      </c>
      <c r="F1991" t="inlineStr">
        <is>
          <t>Aug</t>
        </is>
      </c>
      <c r="G1991" s="18">
        <f>IF(D1991&lt;C1991,D1991+1-C1991,D1991-C1991)*24</f>
        <v/>
      </c>
      <c r="H1991" s="18">
        <f>MAX(0,G1991-8)</f>
        <v/>
      </c>
    </row>
    <row r="1992">
      <c r="A1992" t="n">
        <v>1116</v>
      </c>
      <c r="B1992" s="14" t="n">
        <v>46258</v>
      </c>
      <c r="C1992" s="17" t="n">
        <v>0.9166666666666666</v>
      </c>
      <c r="D1992" s="17" t="n">
        <v>0.3958333333333333</v>
      </c>
      <c r="E1992" t="inlineStr">
        <is>
          <t>Night</t>
        </is>
      </c>
      <c r="F1992" t="inlineStr">
        <is>
          <t>Aug</t>
        </is>
      </c>
      <c r="G1992" s="18">
        <f>IF(D1992&lt;C1992,D1992+1-C1992,D1992-C1992)*24</f>
        <v/>
      </c>
      <c r="H1992" s="18">
        <f>MAX(0,G1992-8)</f>
        <v/>
      </c>
    </row>
    <row r="1993">
      <c r="A1993" t="n">
        <v>1118</v>
      </c>
      <c r="B1993" s="14" t="n">
        <v>46258</v>
      </c>
      <c r="C1993" s="17" t="n">
        <v>0.9270833333333334</v>
      </c>
      <c r="D1993" s="17" t="n">
        <v>0.3020833333333333</v>
      </c>
      <c r="E1993" t="inlineStr">
        <is>
          <t>Night</t>
        </is>
      </c>
      <c r="F1993" t="inlineStr">
        <is>
          <t>Aug</t>
        </is>
      </c>
      <c r="G1993" s="18">
        <f>IF(D1993&lt;C1993,D1993+1-C1993,D1993-C1993)*24</f>
        <v/>
      </c>
      <c r="H1993" s="18">
        <f>MAX(0,G1993-8)</f>
        <v/>
      </c>
    </row>
    <row r="1994">
      <c r="A1994" t="n">
        <v>1119</v>
      </c>
      <c r="B1994" s="14" t="n">
        <v>46258</v>
      </c>
      <c r="C1994" s="17" t="n">
        <v>0.9166666666666666</v>
      </c>
      <c r="D1994" s="17" t="n">
        <v>0.2916666666666667</v>
      </c>
      <c r="E1994" t="inlineStr">
        <is>
          <t>Night</t>
        </is>
      </c>
      <c r="F1994" t="inlineStr">
        <is>
          <t>Aug</t>
        </is>
      </c>
      <c r="G1994" s="18">
        <f>IF(D1994&lt;C1994,D1994+1-C1994,D1994-C1994)*24</f>
        <v/>
      </c>
      <c r="H1994" s="18">
        <f>MAX(0,G1994-8)</f>
        <v/>
      </c>
    </row>
    <row r="1995">
      <c r="A1995" t="n">
        <v>1121</v>
      </c>
      <c r="B1995" s="14" t="n">
        <v>46258</v>
      </c>
      <c r="C1995" s="17" t="n">
        <v>0.9270833333333334</v>
      </c>
      <c r="D1995" s="17" t="n">
        <v>0.34375</v>
      </c>
      <c r="E1995" t="inlineStr">
        <is>
          <t>Night</t>
        </is>
      </c>
      <c r="F1995" t="inlineStr">
        <is>
          <t>Aug</t>
        </is>
      </c>
      <c r="G1995" s="18">
        <f>IF(D1995&lt;C1995,D1995+1-C1995,D1995-C1995)*24</f>
        <v/>
      </c>
      <c r="H1995" s="18">
        <f>MAX(0,G1995-8)</f>
        <v/>
      </c>
    </row>
    <row r="1996">
      <c r="A1996" t="n">
        <v>1122</v>
      </c>
      <c r="B1996" s="14" t="n">
        <v>46258</v>
      </c>
      <c r="C1996" s="17" t="n">
        <v>0.9375</v>
      </c>
      <c r="D1996" s="17" t="n">
        <v>0.3333333333333333</v>
      </c>
      <c r="E1996" t="inlineStr">
        <is>
          <t>Night</t>
        </is>
      </c>
      <c r="F1996" t="inlineStr">
        <is>
          <t>Aug</t>
        </is>
      </c>
      <c r="G1996" s="18">
        <f>IF(D1996&lt;C1996,D1996+1-C1996,D1996-C1996)*24</f>
        <v/>
      </c>
      <c r="H1996" s="18">
        <f>MAX(0,G1996-8)</f>
        <v/>
      </c>
    </row>
    <row r="1997">
      <c r="A1997" t="n">
        <v>1123</v>
      </c>
      <c r="B1997" s="14" t="n">
        <v>46258</v>
      </c>
      <c r="C1997" s="17" t="n">
        <v>0.9270833333333334</v>
      </c>
      <c r="D1997" s="17" t="n">
        <v>0.40625</v>
      </c>
      <c r="E1997" t="inlineStr">
        <is>
          <t>Night</t>
        </is>
      </c>
      <c r="F1997" t="inlineStr">
        <is>
          <t>Aug</t>
        </is>
      </c>
      <c r="G1997" s="18">
        <f>IF(D1997&lt;C1997,D1997+1-C1997,D1997-C1997)*24</f>
        <v/>
      </c>
      <c r="H1997" s="18">
        <f>MAX(0,G1997-8)</f>
        <v/>
      </c>
    </row>
    <row r="1998">
      <c r="A1998" t="n">
        <v>1124</v>
      </c>
      <c r="B1998" s="14" t="n">
        <v>46258</v>
      </c>
      <c r="C1998" s="17" t="n">
        <v>0.9166666666666666</v>
      </c>
      <c r="D1998" s="17" t="n">
        <v>0.3541666666666667</v>
      </c>
      <c r="E1998" t="inlineStr">
        <is>
          <t>Night</t>
        </is>
      </c>
      <c r="F1998" t="inlineStr">
        <is>
          <t>Aug</t>
        </is>
      </c>
      <c r="G1998" s="18">
        <f>IF(D1998&lt;C1998,D1998+1-C1998,D1998-C1998)*24</f>
        <v/>
      </c>
      <c r="H1998" s="18">
        <f>MAX(0,G1998-8)</f>
        <v/>
      </c>
    </row>
    <row r="1999">
      <c r="A1999" t="n">
        <v>1125</v>
      </c>
      <c r="B1999" s="14" t="n">
        <v>46258</v>
      </c>
      <c r="C1999" s="17" t="n">
        <v>0.9166666666666666</v>
      </c>
      <c r="D1999" s="17" t="n">
        <v>0.3958333333333333</v>
      </c>
      <c r="E1999" t="inlineStr">
        <is>
          <t>Night</t>
        </is>
      </c>
      <c r="F1999" t="inlineStr">
        <is>
          <t>Aug</t>
        </is>
      </c>
      <c r="G1999" s="18">
        <f>IF(D1999&lt;C1999,D1999+1-C1999,D1999-C1999)*24</f>
        <v/>
      </c>
      <c r="H1999" s="18">
        <f>MAX(0,G1999-8)</f>
        <v/>
      </c>
    </row>
    <row r="2000">
      <c r="A2000" t="n">
        <v>1126</v>
      </c>
      <c r="B2000" s="14" t="n">
        <v>46258</v>
      </c>
      <c r="C2000" s="17" t="n">
        <v>0.9270833333333334</v>
      </c>
      <c r="D2000" s="17" t="n">
        <v>0.3020833333333333</v>
      </c>
      <c r="E2000" t="inlineStr">
        <is>
          <t>Night</t>
        </is>
      </c>
      <c r="F2000" t="inlineStr">
        <is>
          <t>Aug</t>
        </is>
      </c>
      <c r="G2000" s="18">
        <f>IF(D2000&lt;C2000,D2000+1-C2000,D2000-C2000)*24</f>
        <v/>
      </c>
      <c r="H2000" s="18">
        <f>MAX(0,G2000-8)</f>
        <v/>
      </c>
    </row>
    <row r="2001">
      <c r="A2001" t="n">
        <v>1128</v>
      </c>
      <c r="B2001" s="14" t="n">
        <v>46258</v>
      </c>
      <c r="C2001" s="17" t="n">
        <v>0.9166666666666666</v>
      </c>
      <c r="D2001" s="17" t="n">
        <v>0.3333333333333333</v>
      </c>
      <c r="E2001" t="inlineStr">
        <is>
          <t>Night</t>
        </is>
      </c>
      <c r="F2001" t="inlineStr">
        <is>
          <t>Aug</t>
        </is>
      </c>
      <c r="G2001" s="18">
        <f>IF(D2001&lt;C2001,D2001+1-C2001,D2001-C2001)*24</f>
        <v/>
      </c>
      <c r="H2001" s="18">
        <f>MAX(0,G2001-8)</f>
        <v/>
      </c>
    </row>
    <row r="2002">
      <c r="A2002" t="n">
        <v>1130</v>
      </c>
      <c r="B2002" s="14" t="n">
        <v>46258</v>
      </c>
      <c r="C2002" s="17" t="n">
        <v>0.9166666666666666</v>
      </c>
      <c r="D2002" s="17" t="n">
        <v>0.25</v>
      </c>
      <c r="E2002" t="inlineStr">
        <is>
          <t>Night</t>
        </is>
      </c>
      <c r="F2002" t="inlineStr">
        <is>
          <t>Aug</t>
        </is>
      </c>
      <c r="G2002" s="18">
        <f>IF(D2002&lt;C2002,D2002+1-C2002,D2002-C2002)*24</f>
        <v/>
      </c>
      <c r="H2002" s="18">
        <f>MAX(0,G2002-8)</f>
        <v/>
      </c>
    </row>
    <row r="2003">
      <c r="A2003" t="n">
        <v>1131</v>
      </c>
      <c r="B2003" s="14" t="n">
        <v>46258</v>
      </c>
      <c r="C2003" s="17" t="n">
        <v>0.9375</v>
      </c>
      <c r="D2003" s="17" t="n">
        <v>0.375</v>
      </c>
      <c r="E2003" t="inlineStr">
        <is>
          <t>Night</t>
        </is>
      </c>
      <c r="F2003" t="inlineStr">
        <is>
          <t>Aug</t>
        </is>
      </c>
      <c r="G2003" s="18">
        <f>IF(D2003&lt;C2003,D2003+1-C2003,D2003-C2003)*24</f>
        <v/>
      </c>
      <c r="H2003" s="18">
        <f>MAX(0,G2003-8)</f>
        <v/>
      </c>
    </row>
    <row r="2004">
      <c r="A2004" t="n">
        <v>1132</v>
      </c>
      <c r="B2004" s="14" t="n">
        <v>46258</v>
      </c>
      <c r="C2004" s="17" t="n">
        <v>0.9375</v>
      </c>
      <c r="D2004" s="17" t="n">
        <v>0.2916666666666667</v>
      </c>
      <c r="E2004" t="inlineStr">
        <is>
          <t>Night</t>
        </is>
      </c>
      <c r="F2004" t="inlineStr">
        <is>
          <t>Aug</t>
        </is>
      </c>
      <c r="G2004" s="18">
        <f>IF(D2004&lt;C2004,D2004+1-C2004,D2004-C2004)*24</f>
        <v/>
      </c>
      <c r="H2004" s="18">
        <f>MAX(0,G2004-8)</f>
        <v/>
      </c>
    </row>
    <row r="2005">
      <c r="A2005" t="n">
        <v>1133</v>
      </c>
      <c r="B2005" s="14" t="n">
        <v>46258</v>
      </c>
      <c r="C2005" s="17" t="n">
        <v>0.9270833333333334</v>
      </c>
      <c r="D2005" s="17" t="n">
        <v>0.3229166666666667</v>
      </c>
      <c r="E2005" t="inlineStr">
        <is>
          <t>Night</t>
        </is>
      </c>
      <c r="F2005" t="inlineStr">
        <is>
          <t>Aug</t>
        </is>
      </c>
      <c r="G2005" s="18">
        <f>IF(D2005&lt;C2005,D2005+1-C2005,D2005-C2005)*24</f>
        <v/>
      </c>
      <c r="H2005" s="18">
        <f>MAX(0,G2005-8)</f>
        <v/>
      </c>
    </row>
    <row r="2006">
      <c r="A2006" t="n">
        <v>1134</v>
      </c>
      <c r="B2006" s="14" t="n">
        <v>46258</v>
      </c>
      <c r="C2006" s="17" t="n">
        <v>0.9375</v>
      </c>
      <c r="D2006" s="17" t="n">
        <v>0.2916666666666667</v>
      </c>
      <c r="E2006" t="inlineStr">
        <is>
          <t>Night</t>
        </is>
      </c>
      <c r="F2006" t="inlineStr">
        <is>
          <t>Aug</t>
        </is>
      </c>
      <c r="G2006" s="18">
        <f>IF(D2006&lt;C2006,D2006+1-C2006,D2006-C2006)*24</f>
        <v/>
      </c>
      <c r="H2006" s="18">
        <f>MAX(0,G2006-8)</f>
        <v/>
      </c>
    </row>
    <row r="2007">
      <c r="A2007" t="n">
        <v>1135</v>
      </c>
      <c r="B2007" s="14" t="n">
        <v>46258</v>
      </c>
      <c r="C2007" s="17" t="n">
        <v>0.9166666666666666</v>
      </c>
      <c r="D2007" s="17" t="n">
        <v>0.3333333333333333</v>
      </c>
      <c r="E2007" t="inlineStr">
        <is>
          <t>Night</t>
        </is>
      </c>
      <c r="F2007" t="inlineStr">
        <is>
          <t>Aug</t>
        </is>
      </c>
      <c r="G2007" s="18">
        <f>IF(D2007&lt;C2007,D2007+1-C2007,D2007-C2007)*24</f>
        <v/>
      </c>
      <c r="H2007" s="18">
        <f>MAX(0,G2007-8)</f>
        <v/>
      </c>
    </row>
    <row r="2008">
      <c r="A2008" t="n">
        <v>1136</v>
      </c>
      <c r="B2008" s="14" t="n">
        <v>46258</v>
      </c>
      <c r="C2008" s="17" t="n">
        <v>0.9166666666666666</v>
      </c>
      <c r="D2008" s="17" t="n">
        <v>0.25</v>
      </c>
      <c r="E2008" t="inlineStr">
        <is>
          <t>Night</t>
        </is>
      </c>
      <c r="F2008" t="inlineStr">
        <is>
          <t>Aug</t>
        </is>
      </c>
      <c r="G2008" s="18">
        <f>IF(D2008&lt;C2008,D2008+1-C2008,D2008-C2008)*24</f>
        <v/>
      </c>
      <c r="H2008" s="18">
        <f>MAX(0,G2008-8)</f>
        <v/>
      </c>
    </row>
    <row r="2009">
      <c r="A2009" t="n">
        <v>1137</v>
      </c>
      <c r="B2009" s="14" t="n">
        <v>46258</v>
      </c>
      <c r="C2009" s="17" t="n">
        <v>0.9166666666666666</v>
      </c>
      <c r="D2009" s="17" t="n">
        <v>0.2708333333333333</v>
      </c>
      <c r="E2009" t="inlineStr">
        <is>
          <t>Night</t>
        </is>
      </c>
      <c r="F2009" t="inlineStr">
        <is>
          <t>Aug</t>
        </is>
      </c>
      <c r="G2009" s="18">
        <f>IF(D2009&lt;C2009,D2009+1-C2009,D2009-C2009)*24</f>
        <v/>
      </c>
      <c r="H2009" s="18">
        <f>MAX(0,G2009-8)</f>
        <v/>
      </c>
    </row>
    <row r="2010">
      <c r="A2010" t="n">
        <v>1147</v>
      </c>
      <c r="B2010" s="14" t="n">
        <v>46258</v>
      </c>
      <c r="C2010" s="17" t="n">
        <v>0.9270833333333334</v>
      </c>
      <c r="D2010" s="17" t="n">
        <v>0.3020833333333333</v>
      </c>
      <c r="E2010" t="inlineStr">
        <is>
          <t>Night</t>
        </is>
      </c>
      <c r="F2010" t="inlineStr">
        <is>
          <t>Aug</t>
        </is>
      </c>
      <c r="G2010" s="18">
        <f>IF(D2010&lt;C2010,D2010+1-C2010,D2010-C2010)*24</f>
        <v/>
      </c>
      <c r="H2010" s="18">
        <f>MAX(0,G2010-8)</f>
        <v/>
      </c>
    </row>
    <row r="2011">
      <c r="A2011" t="n">
        <v>1103</v>
      </c>
      <c r="B2011" s="14" t="n">
        <v>46258</v>
      </c>
      <c r="C2011" s="17" t="n">
        <v>0.01041666666666667</v>
      </c>
      <c r="D2011" s="17" t="n">
        <v>0.4270833333333333</v>
      </c>
      <c r="E2011" t="inlineStr">
        <is>
          <t>Night</t>
        </is>
      </c>
      <c r="F2011" t="inlineStr">
        <is>
          <t>Aug</t>
        </is>
      </c>
      <c r="G2011" s="18">
        <f>IF(D2011&lt;C2011,D2011+1-C2011,D2011-C2011)*24</f>
        <v/>
      </c>
      <c r="H2011" s="18">
        <f>MAX(0,G2011-8)</f>
        <v/>
      </c>
    </row>
    <row r="2012">
      <c r="A2012" t="n">
        <v>1109</v>
      </c>
      <c r="B2012" s="14" t="n">
        <v>46258</v>
      </c>
      <c r="C2012" s="17" t="n">
        <v>0.01041666666666667</v>
      </c>
      <c r="D2012" s="17" t="n">
        <v>0.40625</v>
      </c>
      <c r="E2012" t="inlineStr">
        <is>
          <t>Night</t>
        </is>
      </c>
      <c r="F2012" t="inlineStr">
        <is>
          <t>Aug</t>
        </is>
      </c>
      <c r="G2012" s="18">
        <f>IF(D2012&lt;C2012,D2012+1-C2012,D2012-C2012)*24</f>
        <v/>
      </c>
      <c r="H2012" s="18">
        <f>MAX(0,G2012-8)</f>
        <v/>
      </c>
    </row>
    <row r="2013">
      <c r="A2013" t="n">
        <v>1110</v>
      </c>
      <c r="B2013" s="14" t="n">
        <v>46258</v>
      </c>
      <c r="C2013" s="17" t="n">
        <v>0.01041666666666667</v>
      </c>
      <c r="D2013" s="17" t="n">
        <v>0.46875</v>
      </c>
      <c r="E2013" t="inlineStr">
        <is>
          <t>Night</t>
        </is>
      </c>
      <c r="F2013" t="inlineStr">
        <is>
          <t>Aug</t>
        </is>
      </c>
      <c r="G2013" s="18">
        <f>IF(D2013&lt;C2013,D2013+1-C2013,D2013-C2013)*24</f>
        <v/>
      </c>
      <c r="H2013" s="18">
        <f>MAX(0,G2013-8)</f>
        <v/>
      </c>
    </row>
    <row r="2014">
      <c r="A2014" t="n">
        <v>1112</v>
      </c>
      <c r="B2014" s="14" t="n">
        <v>46258</v>
      </c>
      <c r="C2014" s="17" t="n">
        <v>0.02083333333333333</v>
      </c>
      <c r="D2014" s="17" t="n">
        <v>0.4791666666666667</v>
      </c>
      <c r="E2014" t="inlineStr">
        <is>
          <t>Night</t>
        </is>
      </c>
      <c r="F2014" t="inlineStr">
        <is>
          <t>Aug</t>
        </is>
      </c>
      <c r="G2014" s="18">
        <f>IF(D2014&lt;C2014,D2014+1-C2014,D2014-C2014)*24</f>
        <v/>
      </c>
      <c r="H2014" s="18">
        <f>MAX(0,G2014-8)</f>
        <v/>
      </c>
    </row>
    <row r="2015">
      <c r="A2015" t="n">
        <v>1120</v>
      </c>
      <c r="B2015" s="14" t="n">
        <v>46258</v>
      </c>
      <c r="C2015" s="17" t="n">
        <v>0.01041666666666667</v>
      </c>
      <c r="D2015" s="17" t="n">
        <v>0.34375</v>
      </c>
      <c r="E2015" t="inlineStr">
        <is>
          <t>Night</t>
        </is>
      </c>
      <c r="F2015" t="inlineStr">
        <is>
          <t>Aug</t>
        </is>
      </c>
      <c r="G2015" s="18">
        <f>IF(D2015&lt;C2015,D2015+1-C2015,D2015-C2015)*24</f>
        <v/>
      </c>
      <c r="H2015" s="18">
        <f>MAX(0,G2015-8)</f>
        <v/>
      </c>
    </row>
    <row r="2016">
      <c r="A2016" t="n">
        <v>1129</v>
      </c>
      <c r="B2016" s="14" t="n">
        <v>46258</v>
      </c>
      <c r="C2016" s="17" t="n">
        <v>0.01041666666666667</v>
      </c>
      <c r="D2016" s="17" t="n">
        <v>0.46875</v>
      </c>
      <c r="E2016" t="inlineStr">
        <is>
          <t>Night</t>
        </is>
      </c>
      <c r="F2016" t="inlineStr">
        <is>
          <t>Aug</t>
        </is>
      </c>
      <c r="G2016" s="18">
        <f>IF(D2016&lt;C2016,D2016+1-C2016,D2016-C2016)*24</f>
        <v/>
      </c>
      <c r="H2016" s="18">
        <f>MAX(0,G2016-8)</f>
        <v/>
      </c>
    </row>
    <row r="2017">
      <c r="A2017" t="n">
        <v>1201</v>
      </c>
      <c r="B2017" s="14" t="n">
        <v>46258</v>
      </c>
      <c r="C2017" s="17" t="n">
        <v>0.2708333333333333</v>
      </c>
      <c r="D2017" s="17" t="n">
        <v>0.6041666666666666</v>
      </c>
      <c r="E2017" t="inlineStr">
        <is>
          <t>Day</t>
        </is>
      </c>
      <c r="F2017" t="inlineStr">
        <is>
          <t>Aug</t>
        </is>
      </c>
      <c r="G2017" s="18">
        <f>IF(D2017&lt;C2017,D2017+1-C2017,D2017-C2017)*24</f>
        <v/>
      </c>
      <c r="H2017" s="18">
        <f>MAX(0,G2017-8)</f>
        <v/>
      </c>
    </row>
    <row r="2018">
      <c r="A2018" t="n">
        <v>1202</v>
      </c>
      <c r="B2018" s="14" t="n">
        <v>46258</v>
      </c>
      <c r="C2018" s="17" t="n">
        <v>0.25</v>
      </c>
      <c r="D2018" s="17" t="n">
        <v>0.5833333333333334</v>
      </c>
      <c r="E2018" t="inlineStr">
        <is>
          <t>Day</t>
        </is>
      </c>
      <c r="F2018" t="inlineStr">
        <is>
          <t>Aug</t>
        </is>
      </c>
      <c r="G2018" s="18">
        <f>IF(D2018&lt;C2018,D2018+1-C2018,D2018-C2018)*24</f>
        <v/>
      </c>
      <c r="H2018" s="18">
        <f>MAX(0,G2018-8)</f>
        <v/>
      </c>
    </row>
    <row r="2019">
      <c r="A2019" t="n">
        <v>1203</v>
      </c>
      <c r="B2019" s="14" t="n">
        <v>46258</v>
      </c>
      <c r="C2019" s="17" t="n">
        <v>0.25</v>
      </c>
      <c r="D2019" s="17" t="n">
        <v>0.625</v>
      </c>
      <c r="E2019" t="inlineStr">
        <is>
          <t>Day</t>
        </is>
      </c>
      <c r="F2019" t="inlineStr">
        <is>
          <t>Aug</t>
        </is>
      </c>
      <c r="G2019" s="18">
        <f>IF(D2019&lt;C2019,D2019+1-C2019,D2019-C2019)*24</f>
        <v/>
      </c>
      <c r="H2019" s="18">
        <f>MAX(0,G2019-8)</f>
        <v/>
      </c>
    </row>
    <row r="2020">
      <c r="A2020" t="n">
        <v>1204</v>
      </c>
      <c r="B2020" s="14" t="n">
        <v>46258</v>
      </c>
      <c r="C2020" s="17" t="n">
        <v>0.25</v>
      </c>
      <c r="D2020" s="17" t="n">
        <v>0.5833333333333334</v>
      </c>
      <c r="E2020" t="inlineStr">
        <is>
          <t>Day</t>
        </is>
      </c>
      <c r="F2020" t="inlineStr">
        <is>
          <t>Aug</t>
        </is>
      </c>
      <c r="G2020" s="18">
        <f>IF(D2020&lt;C2020,D2020+1-C2020,D2020-C2020)*24</f>
        <v/>
      </c>
      <c r="H2020" s="18">
        <f>MAX(0,G2020-8)</f>
        <v/>
      </c>
    </row>
    <row r="2021">
      <c r="A2021" t="n">
        <v>1205</v>
      </c>
      <c r="B2021" s="14" t="n">
        <v>46258</v>
      </c>
      <c r="C2021" s="17" t="n">
        <v>0.25</v>
      </c>
      <c r="D2021" s="17" t="n">
        <v>0.625</v>
      </c>
      <c r="E2021" t="inlineStr">
        <is>
          <t>Day</t>
        </is>
      </c>
      <c r="F2021" t="inlineStr">
        <is>
          <t>Aug</t>
        </is>
      </c>
      <c r="G2021" s="18">
        <f>IF(D2021&lt;C2021,D2021+1-C2021,D2021-C2021)*24</f>
        <v/>
      </c>
      <c r="H2021" s="18">
        <f>MAX(0,G2021-8)</f>
        <v/>
      </c>
    </row>
    <row r="2022">
      <c r="A2022" t="n">
        <v>1207</v>
      </c>
      <c r="B2022" s="14" t="n">
        <v>46258</v>
      </c>
      <c r="C2022" s="17" t="n">
        <v>0.2708333333333333</v>
      </c>
      <c r="D2022" s="17" t="n">
        <v>0.6875</v>
      </c>
      <c r="E2022" t="inlineStr">
        <is>
          <t>Day</t>
        </is>
      </c>
      <c r="F2022" t="inlineStr">
        <is>
          <t>Aug</t>
        </is>
      </c>
      <c r="G2022" s="18">
        <f>IF(D2022&lt;C2022,D2022+1-C2022,D2022-C2022)*24</f>
        <v/>
      </c>
      <c r="H2022" s="18">
        <f>MAX(0,G2022-8)</f>
        <v/>
      </c>
    </row>
    <row r="2023">
      <c r="A2023" t="n">
        <v>1208</v>
      </c>
      <c r="B2023" s="14" t="n">
        <v>46258</v>
      </c>
      <c r="C2023" s="17" t="n">
        <v>0.25</v>
      </c>
      <c r="D2023" s="17" t="n">
        <v>0.5833333333333334</v>
      </c>
      <c r="E2023" t="inlineStr">
        <is>
          <t>Day</t>
        </is>
      </c>
      <c r="F2023" t="inlineStr">
        <is>
          <t>Aug</t>
        </is>
      </c>
      <c r="G2023" s="18">
        <f>IF(D2023&lt;C2023,D2023+1-C2023,D2023-C2023)*24</f>
        <v/>
      </c>
      <c r="H2023" s="18">
        <f>MAX(0,G2023-8)</f>
        <v/>
      </c>
    </row>
    <row r="2024">
      <c r="A2024" t="n">
        <v>1210</v>
      </c>
      <c r="B2024" s="14" t="n">
        <v>46258</v>
      </c>
      <c r="C2024" s="17" t="n">
        <v>0.25</v>
      </c>
      <c r="D2024" s="17" t="n">
        <v>0.6666666666666666</v>
      </c>
      <c r="E2024" t="inlineStr">
        <is>
          <t>Day</t>
        </is>
      </c>
      <c r="F2024" t="inlineStr">
        <is>
          <t>Aug</t>
        </is>
      </c>
      <c r="G2024" s="18">
        <f>IF(D2024&lt;C2024,D2024+1-C2024,D2024-C2024)*24</f>
        <v/>
      </c>
      <c r="H2024" s="18">
        <f>MAX(0,G2024-8)</f>
        <v/>
      </c>
    </row>
    <row r="2025">
      <c r="A2025" t="n">
        <v>1211</v>
      </c>
      <c r="B2025" s="14" t="n">
        <v>46258</v>
      </c>
      <c r="C2025" s="17" t="n">
        <v>0.25</v>
      </c>
      <c r="D2025" s="17" t="n">
        <v>0.6666666666666666</v>
      </c>
      <c r="E2025" t="inlineStr">
        <is>
          <t>Day</t>
        </is>
      </c>
      <c r="F2025" t="inlineStr">
        <is>
          <t>Aug</t>
        </is>
      </c>
      <c r="G2025" s="18">
        <f>IF(D2025&lt;C2025,D2025+1-C2025,D2025-C2025)*24</f>
        <v/>
      </c>
      <c r="H2025" s="18">
        <f>MAX(0,G2025-8)</f>
        <v/>
      </c>
    </row>
    <row r="2026">
      <c r="A2026" t="n">
        <v>1213</v>
      </c>
      <c r="B2026" s="14" t="n">
        <v>46258</v>
      </c>
      <c r="C2026" s="17" t="n">
        <v>0.25</v>
      </c>
      <c r="D2026" s="17" t="n">
        <v>0.5833333333333334</v>
      </c>
      <c r="E2026" t="inlineStr">
        <is>
          <t>Day</t>
        </is>
      </c>
      <c r="F2026" t="inlineStr">
        <is>
          <t>Aug</t>
        </is>
      </c>
      <c r="G2026" s="18">
        <f>IF(D2026&lt;C2026,D2026+1-C2026,D2026-C2026)*24</f>
        <v/>
      </c>
      <c r="H2026" s="18">
        <f>MAX(0,G2026-8)</f>
        <v/>
      </c>
    </row>
    <row r="2027">
      <c r="A2027" t="n">
        <v>1214</v>
      </c>
      <c r="B2027" s="14" t="n">
        <v>46258</v>
      </c>
      <c r="C2027" s="17" t="n">
        <v>0.25</v>
      </c>
      <c r="D2027" s="17" t="n">
        <v>0.6041666666666666</v>
      </c>
      <c r="E2027" t="inlineStr">
        <is>
          <t>Day</t>
        </is>
      </c>
      <c r="F2027" t="inlineStr">
        <is>
          <t>Aug</t>
        </is>
      </c>
      <c r="G2027" s="18">
        <f>IF(D2027&lt;C2027,D2027+1-C2027,D2027-C2027)*24</f>
        <v/>
      </c>
      <c r="H2027" s="18">
        <f>MAX(0,G2027-8)</f>
        <v/>
      </c>
    </row>
    <row r="2028">
      <c r="A2028" t="n">
        <v>1215</v>
      </c>
      <c r="B2028" s="14" t="n">
        <v>46258</v>
      </c>
      <c r="C2028" s="17" t="n">
        <v>0.2708333333333333</v>
      </c>
      <c r="D2028" s="17" t="n">
        <v>0.6458333333333334</v>
      </c>
      <c r="E2028" t="inlineStr">
        <is>
          <t>Day</t>
        </is>
      </c>
      <c r="F2028" t="inlineStr">
        <is>
          <t>Aug</t>
        </is>
      </c>
      <c r="G2028" s="18">
        <f>IF(D2028&lt;C2028,D2028+1-C2028,D2028-C2028)*24</f>
        <v/>
      </c>
      <c r="H2028" s="18">
        <f>MAX(0,G2028-8)</f>
        <v/>
      </c>
    </row>
    <row r="2029">
      <c r="A2029" t="n">
        <v>1216</v>
      </c>
      <c r="B2029" s="14" t="n">
        <v>46258</v>
      </c>
      <c r="C2029" s="17" t="n">
        <v>0.25</v>
      </c>
      <c r="D2029" s="17" t="n">
        <v>0.625</v>
      </c>
      <c r="E2029" t="inlineStr">
        <is>
          <t>Day</t>
        </is>
      </c>
      <c r="F2029" t="inlineStr">
        <is>
          <t>Aug</t>
        </is>
      </c>
      <c r="G2029" s="18">
        <f>IF(D2029&lt;C2029,D2029+1-C2029,D2029-C2029)*24</f>
        <v/>
      </c>
      <c r="H2029" s="18">
        <f>MAX(0,G2029-8)</f>
        <v/>
      </c>
    </row>
    <row r="2030">
      <c r="A2030" t="n">
        <v>1217</v>
      </c>
      <c r="B2030" s="14" t="n">
        <v>46258</v>
      </c>
      <c r="C2030" s="17" t="n">
        <v>0.25</v>
      </c>
      <c r="D2030" s="17" t="n">
        <v>0.625</v>
      </c>
      <c r="E2030" t="inlineStr">
        <is>
          <t>Day</t>
        </is>
      </c>
      <c r="F2030" t="inlineStr">
        <is>
          <t>Aug</t>
        </is>
      </c>
      <c r="G2030" s="18">
        <f>IF(D2030&lt;C2030,D2030+1-C2030,D2030-C2030)*24</f>
        <v/>
      </c>
      <c r="H2030" s="18">
        <f>MAX(0,G2030-8)</f>
        <v/>
      </c>
    </row>
    <row r="2031">
      <c r="A2031" t="n">
        <v>1218</v>
      </c>
      <c r="B2031" s="14" t="n">
        <v>46258</v>
      </c>
      <c r="C2031" s="17" t="n">
        <v>0.2708333333333333</v>
      </c>
      <c r="D2031" s="17" t="n">
        <v>0.625</v>
      </c>
      <c r="E2031" t="inlineStr">
        <is>
          <t>Day</t>
        </is>
      </c>
      <c r="F2031" t="inlineStr">
        <is>
          <t>Aug</t>
        </is>
      </c>
      <c r="G2031" s="18">
        <f>IF(D2031&lt;C2031,D2031+1-C2031,D2031-C2031)*24</f>
        <v/>
      </c>
      <c r="H2031" s="18">
        <f>MAX(0,G2031-8)</f>
        <v/>
      </c>
    </row>
    <row r="2032">
      <c r="A2032" t="n">
        <v>1219</v>
      </c>
      <c r="B2032" s="14" t="n">
        <v>46258</v>
      </c>
      <c r="C2032" s="17" t="n">
        <v>0.2708333333333333</v>
      </c>
      <c r="D2032" s="17" t="n">
        <v>0.6041666666666666</v>
      </c>
      <c r="E2032" t="inlineStr">
        <is>
          <t>Day</t>
        </is>
      </c>
      <c r="F2032" t="inlineStr">
        <is>
          <t>Aug</t>
        </is>
      </c>
      <c r="G2032" s="18">
        <f>IF(D2032&lt;C2032,D2032+1-C2032,D2032-C2032)*24</f>
        <v/>
      </c>
      <c r="H2032" s="18">
        <f>MAX(0,G2032-8)</f>
        <v/>
      </c>
    </row>
    <row r="2033">
      <c r="A2033" t="n">
        <v>1220</v>
      </c>
      <c r="B2033" s="14" t="n">
        <v>46258</v>
      </c>
      <c r="C2033" s="17" t="n">
        <v>0.25</v>
      </c>
      <c r="D2033" s="17" t="n">
        <v>0.5833333333333334</v>
      </c>
      <c r="E2033" t="inlineStr">
        <is>
          <t>Day</t>
        </is>
      </c>
      <c r="F2033" t="inlineStr">
        <is>
          <t>Aug</t>
        </is>
      </c>
      <c r="G2033" s="18">
        <f>IF(D2033&lt;C2033,D2033+1-C2033,D2033-C2033)*24</f>
        <v/>
      </c>
      <c r="H2033" s="18">
        <f>MAX(0,G2033-8)</f>
        <v/>
      </c>
    </row>
    <row r="2034">
      <c r="A2034" t="n">
        <v>1102</v>
      </c>
      <c r="B2034" s="14" t="n">
        <v>46259</v>
      </c>
      <c r="C2034" s="17" t="n">
        <v>0.9375</v>
      </c>
      <c r="D2034" s="17" t="n">
        <v>0.3125</v>
      </c>
      <c r="E2034" t="inlineStr">
        <is>
          <t>Night</t>
        </is>
      </c>
      <c r="F2034" t="inlineStr">
        <is>
          <t>Aug</t>
        </is>
      </c>
      <c r="G2034" s="18">
        <f>IF(D2034&lt;C2034,D2034+1-C2034,D2034-C2034)*24</f>
        <v/>
      </c>
      <c r="H2034" s="18">
        <f>MAX(0,G2034-8)</f>
        <v/>
      </c>
    </row>
    <row r="2035">
      <c r="A2035" t="n">
        <v>1103</v>
      </c>
      <c r="B2035" s="14" t="n">
        <v>46259</v>
      </c>
      <c r="C2035" s="17" t="n">
        <v>0.9166666666666666</v>
      </c>
      <c r="D2035" s="17" t="n">
        <v>0.3958333333333333</v>
      </c>
      <c r="E2035" t="inlineStr">
        <is>
          <t>Night</t>
        </is>
      </c>
      <c r="F2035" t="inlineStr">
        <is>
          <t>Aug</t>
        </is>
      </c>
      <c r="G2035" s="18">
        <f>IF(D2035&lt;C2035,D2035+1-C2035,D2035-C2035)*24</f>
        <v/>
      </c>
      <c r="H2035" s="18">
        <f>MAX(0,G2035-8)</f>
        <v/>
      </c>
    </row>
    <row r="2036">
      <c r="A2036" t="n">
        <v>1106</v>
      </c>
      <c r="B2036" s="14" t="n">
        <v>46259</v>
      </c>
      <c r="C2036" s="17" t="n">
        <v>0.9166666666666666</v>
      </c>
      <c r="D2036" s="17" t="n">
        <v>0.2708333333333333</v>
      </c>
      <c r="E2036" t="inlineStr">
        <is>
          <t>Night</t>
        </is>
      </c>
      <c r="F2036" t="inlineStr">
        <is>
          <t>Aug</t>
        </is>
      </c>
      <c r="G2036" s="18">
        <f>IF(D2036&lt;C2036,D2036+1-C2036,D2036-C2036)*24</f>
        <v/>
      </c>
      <c r="H2036" s="18">
        <f>MAX(0,G2036-8)</f>
        <v/>
      </c>
    </row>
    <row r="2037">
      <c r="A2037" t="n">
        <v>1107</v>
      </c>
      <c r="B2037" s="14" t="n">
        <v>46259</v>
      </c>
      <c r="C2037" s="17" t="n">
        <v>0.9166666666666666</v>
      </c>
      <c r="D2037" s="17" t="n">
        <v>0.3333333333333333</v>
      </c>
      <c r="E2037" t="inlineStr">
        <is>
          <t>Night</t>
        </is>
      </c>
      <c r="F2037" t="inlineStr">
        <is>
          <t>Aug</t>
        </is>
      </c>
      <c r="G2037" s="18">
        <f>IF(D2037&lt;C2037,D2037+1-C2037,D2037-C2037)*24</f>
        <v/>
      </c>
      <c r="H2037" s="18">
        <f>MAX(0,G2037-8)</f>
        <v/>
      </c>
    </row>
    <row r="2038">
      <c r="A2038" t="n">
        <v>1108</v>
      </c>
      <c r="B2038" s="14" t="n">
        <v>46259</v>
      </c>
      <c r="C2038" s="17" t="n">
        <v>0.9166666666666666</v>
      </c>
      <c r="D2038" s="17" t="n">
        <v>0.3958333333333333</v>
      </c>
      <c r="E2038" t="inlineStr">
        <is>
          <t>Night</t>
        </is>
      </c>
      <c r="F2038" t="inlineStr">
        <is>
          <t>Aug</t>
        </is>
      </c>
      <c r="G2038" s="18">
        <f>IF(D2038&lt;C2038,D2038+1-C2038,D2038-C2038)*24</f>
        <v/>
      </c>
      <c r="H2038" s="18">
        <f>MAX(0,G2038-8)</f>
        <v/>
      </c>
    </row>
    <row r="2039">
      <c r="A2039" t="n">
        <v>1109</v>
      </c>
      <c r="B2039" s="14" t="n">
        <v>46259</v>
      </c>
      <c r="C2039" s="17" t="n">
        <v>0.9270833333333334</v>
      </c>
      <c r="D2039" s="17" t="n">
        <v>0.40625</v>
      </c>
      <c r="E2039" t="inlineStr">
        <is>
          <t>Night</t>
        </is>
      </c>
      <c r="F2039" t="inlineStr">
        <is>
          <t>Aug</t>
        </is>
      </c>
      <c r="G2039" s="18">
        <f>IF(D2039&lt;C2039,D2039+1-C2039,D2039-C2039)*24</f>
        <v/>
      </c>
      <c r="H2039" s="18">
        <f>MAX(0,G2039-8)</f>
        <v/>
      </c>
    </row>
    <row r="2040">
      <c r="A2040" t="n">
        <v>1110</v>
      </c>
      <c r="B2040" s="14" t="n">
        <v>46259</v>
      </c>
      <c r="C2040" s="17" t="n">
        <v>0.9270833333333334</v>
      </c>
      <c r="D2040" s="17" t="n">
        <v>0.28125</v>
      </c>
      <c r="E2040" t="inlineStr">
        <is>
          <t>Night</t>
        </is>
      </c>
      <c r="F2040" t="inlineStr">
        <is>
          <t>Aug</t>
        </is>
      </c>
      <c r="G2040" s="18">
        <f>IF(D2040&lt;C2040,D2040+1-C2040,D2040-C2040)*24</f>
        <v/>
      </c>
      <c r="H2040" s="18">
        <f>MAX(0,G2040-8)</f>
        <v/>
      </c>
    </row>
    <row r="2041">
      <c r="A2041" t="n">
        <v>1112</v>
      </c>
      <c r="B2041" s="14" t="n">
        <v>46259</v>
      </c>
      <c r="C2041" s="17" t="n">
        <v>0.9375</v>
      </c>
      <c r="D2041" s="17" t="n">
        <v>0.2916666666666667</v>
      </c>
      <c r="E2041" t="inlineStr">
        <is>
          <t>Night</t>
        </is>
      </c>
      <c r="F2041" t="inlineStr">
        <is>
          <t>Aug</t>
        </is>
      </c>
      <c r="G2041" s="18">
        <f>IF(D2041&lt;C2041,D2041+1-C2041,D2041-C2041)*24</f>
        <v/>
      </c>
      <c r="H2041" s="18">
        <f>MAX(0,G2041-8)</f>
        <v/>
      </c>
    </row>
    <row r="2042">
      <c r="A2042" t="n">
        <v>1113</v>
      </c>
      <c r="B2042" s="14" t="n">
        <v>46259</v>
      </c>
      <c r="C2042" s="17" t="n">
        <v>0.9166666666666666</v>
      </c>
      <c r="D2042" s="17" t="n">
        <v>0.25</v>
      </c>
      <c r="E2042" t="inlineStr">
        <is>
          <t>Night</t>
        </is>
      </c>
      <c r="F2042" t="inlineStr">
        <is>
          <t>Aug</t>
        </is>
      </c>
      <c r="G2042" s="18">
        <f>IF(D2042&lt;C2042,D2042+1-C2042,D2042-C2042)*24</f>
        <v/>
      </c>
      <c r="H2042" s="18">
        <f>MAX(0,G2042-8)</f>
        <v/>
      </c>
    </row>
    <row r="2043">
      <c r="A2043" t="n">
        <v>1114</v>
      </c>
      <c r="B2043" s="14" t="n">
        <v>46259</v>
      </c>
      <c r="C2043" s="17" t="n">
        <v>0.9375</v>
      </c>
      <c r="D2043" s="17" t="n">
        <v>0.3333333333333333</v>
      </c>
      <c r="E2043" t="inlineStr">
        <is>
          <t>Night</t>
        </is>
      </c>
      <c r="F2043" t="inlineStr">
        <is>
          <t>Aug</t>
        </is>
      </c>
      <c r="G2043" s="18">
        <f>IF(D2043&lt;C2043,D2043+1-C2043,D2043-C2043)*24</f>
        <v/>
      </c>
      <c r="H2043" s="18">
        <f>MAX(0,G2043-8)</f>
        <v/>
      </c>
    </row>
    <row r="2044">
      <c r="A2044" t="n">
        <v>1115</v>
      </c>
      <c r="B2044" s="14" t="n">
        <v>46259</v>
      </c>
      <c r="C2044" s="17" t="n">
        <v>0.9166666666666666</v>
      </c>
      <c r="D2044" s="17" t="n">
        <v>0.2916666666666667</v>
      </c>
      <c r="E2044" t="inlineStr">
        <is>
          <t>Night</t>
        </is>
      </c>
      <c r="F2044" t="inlineStr">
        <is>
          <t>Aug</t>
        </is>
      </c>
      <c r="G2044" s="18">
        <f>IF(D2044&lt;C2044,D2044+1-C2044,D2044-C2044)*24</f>
        <v/>
      </c>
      <c r="H2044" s="18">
        <f>MAX(0,G2044-8)</f>
        <v/>
      </c>
    </row>
    <row r="2045">
      <c r="A2045" t="n">
        <v>1116</v>
      </c>
      <c r="B2045" s="14" t="n">
        <v>46259</v>
      </c>
      <c r="C2045" s="17" t="n">
        <v>0.9166666666666666</v>
      </c>
      <c r="D2045" s="17" t="n">
        <v>0.3958333333333333</v>
      </c>
      <c r="E2045" t="inlineStr">
        <is>
          <t>Night</t>
        </is>
      </c>
      <c r="F2045" t="inlineStr">
        <is>
          <t>Aug</t>
        </is>
      </c>
      <c r="G2045" s="18">
        <f>IF(D2045&lt;C2045,D2045+1-C2045,D2045-C2045)*24</f>
        <v/>
      </c>
      <c r="H2045" s="18">
        <f>MAX(0,G2045-8)</f>
        <v/>
      </c>
    </row>
    <row r="2046">
      <c r="A2046" t="n">
        <v>1117</v>
      </c>
      <c r="B2046" s="14" t="n">
        <v>46259</v>
      </c>
      <c r="C2046" s="17" t="n">
        <v>0.9166666666666666</v>
      </c>
      <c r="D2046" s="17" t="n">
        <v>0.2916666666666667</v>
      </c>
      <c r="E2046" t="inlineStr">
        <is>
          <t>Night</t>
        </is>
      </c>
      <c r="F2046" t="inlineStr">
        <is>
          <t>Aug</t>
        </is>
      </c>
      <c r="G2046" s="18">
        <f>IF(D2046&lt;C2046,D2046+1-C2046,D2046-C2046)*24</f>
        <v/>
      </c>
      <c r="H2046" s="18">
        <f>MAX(0,G2046-8)</f>
        <v/>
      </c>
    </row>
    <row r="2047">
      <c r="A2047" t="n">
        <v>1118</v>
      </c>
      <c r="B2047" s="14" t="n">
        <v>46259</v>
      </c>
      <c r="C2047" s="17" t="n">
        <v>0.9166666666666666</v>
      </c>
      <c r="D2047" s="17" t="n">
        <v>0.2916666666666667</v>
      </c>
      <c r="E2047" t="inlineStr">
        <is>
          <t>Night</t>
        </is>
      </c>
      <c r="F2047" t="inlineStr">
        <is>
          <t>Aug</t>
        </is>
      </c>
      <c r="G2047" s="18">
        <f>IF(D2047&lt;C2047,D2047+1-C2047,D2047-C2047)*24</f>
        <v/>
      </c>
      <c r="H2047" s="18">
        <f>MAX(0,G2047-8)</f>
        <v/>
      </c>
    </row>
    <row r="2048">
      <c r="A2048" t="n">
        <v>1119</v>
      </c>
      <c r="B2048" s="14" t="n">
        <v>46259</v>
      </c>
      <c r="C2048" s="17" t="n">
        <v>0.9166666666666666</v>
      </c>
      <c r="D2048" s="17" t="n">
        <v>0.25</v>
      </c>
      <c r="E2048" t="inlineStr">
        <is>
          <t>Night</t>
        </is>
      </c>
      <c r="F2048" t="inlineStr">
        <is>
          <t>Aug</t>
        </is>
      </c>
      <c r="G2048" s="18">
        <f>IF(D2048&lt;C2048,D2048+1-C2048,D2048-C2048)*24</f>
        <v/>
      </c>
      <c r="H2048" s="18">
        <f>MAX(0,G2048-8)</f>
        <v/>
      </c>
    </row>
    <row r="2049">
      <c r="A2049" t="n">
        <v>1120</v>
      </c>
      <c r="B2049" s="14" t="n">
        <v>46259</v>
      </c>
      <c r="C2049" s="17" t="n">
        <v>0.9166666666666666</v>
      </c>
      <c r="D2049" s="17" t="n">
        <v>0.375</v>
      </c>
      <c r="E2049" t="inlineStr">
        <is>
          <t>Night</t>
        </is>
      </c>
      <c r="F2049" t="inlineStr">
        <is>
          <t>Aug</t>
        </is>
      </c>
      <c r="G2049" s="18">
        <f>IF(D2049&lt;C2049,D2049+1-C2049,D2049-C2049)*24</f>
        <v/>
      </c>
      <c r="H2049" s="18">
        <f>MAX(0,G2049-8)</f>
        <v/>
      </c>
    </row>
    <row r="2050">
      <c r="A2050" t="n">
        <v>1121</v>
      </c>
      <c r="B2050" s="14" t="n">
        <v>46259</v>
      </c>
      <c r="C2050" s="17" t="n">
        <v>0.9166666666666666</v>
      </c>
      <c r="D2050" s="17" t="n">
        <v>0.25</v>
      </c>
      <c r="E2050" t="inlineStr">
        <is>
          <t>Night</t>
        </is>
      </c>
      <c r="F2050" t="inlineStr">
        <is>
          <t>Aug</t>
        </is>
      </c>
      <c r="G2050" s="18">
        <f>IF(D2050&lt;C2050,D2050+1-C2050,D2050-C2050)*24</f>
        <v/>
      </c>
      <c r="H2050" s="18">
        <f>MAX(0,G2050-8)</f>
        <v/>
      </c>
    </row>
    <row r="2051">
      <c r="A2051" t="n">
        <v>1122</v>
      </c>
      <c r="B2051" s="14" t="n">
        <v>46259</v>
      </c>
      <c r="C2051" s="17" t="n">
        <v>0.9166666666666666</v>
      </c>
      <c r="D2051" s="17" t="n">
        <v>0.3333333333333333</v>
      </c>
      <c r="E2051" t="inlineStr">
        <is>
          <t>Night</t>
        </is>
      </c>
      <c r="F2051" t="inlineStr">
        <is>
          <t>Aug</t>
        </is>
      </c>
      <c r="G2051" s="18">
        <f>IF(D2051&lt;C2051,D2051+1-C2051,D2051-C2051)*24</f>
        <v/>
      </c>
      <c r="H2051" s="18">
        <f>MAX(0,G2051-8)</f>
        <v/>
      </c>
    </row>
    <row r="2052">
      <c r="A2052" t="n">
        <v>1123</v>
      </c>
      <c r="B2052" s="14" t="n">
        <v>46259</v>
      </c>
      <c r="C2052" s="17" t="n">
        <v>0.9375</v>
      </c>
      <c r="D2052" s="17" t="n">
        <v>0.375</v>
      </c>
      <c r="E2052" t="inlineStr">
        <is>
          <t>Night</t>
        </is>
      </c>
      <c r="F2052" t="inlineStr">
        <is>
          <t>Aug</t>
        </is>
      </c>
      <c r="G2052" s="18">
        <f>IF(D2052&lt;C2052,D2052+1-C2052,D2052-C2052)*24</f>
        <v/>
      </c>
      <c r="H2052" s="18">
        <f>MAX(0,G2052-8)</f>
        <v/>
      </c>
    </row>
    <row r="2053">
      <c r="A2053" t="n">
        <v>1124</v>
      </c>
      <c r="B2053" s="14" t="n">
        <v>46259</v>
      </c>
      <c r="C2053" s="17" t="n">
        <v>0.9270833333333334</v>
      </c>
      <c r="D2053" s="17" t="n">
        <v>0.2604166666666667</v>
      </c>
      <c r="E2053" t="inlineStr">
        <is>
          <t>Night</t>
        </is>
      </c>
      <c r="F2053" t="inlineStr">
        <is>
          <t>Aug</t>
        </is>
      </c>
      <c r="G2053" s="18">
        <f>IF(D2053&lt;C2053,D2053+1-C2053,D2053-C2053)*24</f>
        <v/>
      </c>
      <c r="H2053" s="18">
        <f>MAX(0,G2053-8)</f>
        <v/>
      </c>
    </row>
    <row r="2054">
      <c r="A2054" t="n">
        <v>1125</v>
      </c>
      <c r="B2054" s="14" t="n">
        <v>46259</v>
      </c>
      <c r="C2054" s="17" t="n">
        <v>0.9375</v>
      </c>
      <c r="D2054" s="17" t="n">
        <v>0.2708333333333333</v>
      </c>
      <c r="E2054" t="inlineStr">
        <is>
          <t>Night</t>
        </is>
      </c>
      <c r="F2054" t="inlineStr">
        <is>
          <t>Aug</t>
        </is>
      </c>
      <c r="G2054" s="18">
        <f>IF(D2054&lt;C2054,D2054+1-C2054,D2054-C2054)*24</f>
        <v/>
      </c>
      <c r="H2054" s="18">
        <f>MAX(0,G2054-8)</f>
        <v/>
      </c>
    </row>
    <row r="2055">
      <c r="A2055" t="n">
        <v>1126</v>
      </c>
      <c r="B2055" s="14" t="n">
        <v>46259</v>
      </c>
      <c r="C2055" s="17" t="n">
        <v>0.9270833333333334</v>
      </c>
      <c r="D2055" s="17" t="n">
        <v>0.3645833333333333</v>
      </c>
      <c r="E2055" t="inlineStr">
        <is>
          <t>Night</t>
        </is>
      </c>
      <c r="F2055" t="inlineStr">
        <is>
          <t>Aug</t>
        </is>
      </c>
      <c r="G2055" s="18">
        <f>IF(D2055&lt;C2055,D2055+1-C2055,D2055-C2055)*24</f>
        <v/>
      </c>
      <c r="H2055" s="18">
        <f>MAX(0,G2055-8)</f>
        <v/>
      </c>
    </row>
    <row r="2056">
      <c r="A2056" t="n">
        <v>1127</v>
      </c>
      <c r="B2056" s="14" t="n">
        <v>46259</v>
      </c>
      <c r="C2056" s="17" t="n">
        <v>0.9166666666666666</v>
      </c>
      <c r="D2056" s="17" t="n">
        <v>0.25</v>
      </c>
      <c r="E2056" t="inlineStr">
        <is>
          <t>Night</t>
        </is>
      </c>
      <c r="F2056" t="inlineStr">
        <is>
          <t>Aug</t>
        </is>
      </c>
      <c r="G2056" s="18">
        <f>IF(D2056&lt;C2056,D2056+1-C2056,D2056-C2056)*24</f>
        <v/>
      </c>
      <c r="H2056" s="18">
        <f>MAX(0,G2056-8)</f>
        <v/>
      </c>
    </row>
    <row r="2057">
      <c r="A2057" t="n">
        <v>1128</v>
      </c>
      <c r="B2057" s="14" t="n">
        <v>46259</v>
      </c>
      <c r="C2057" s="17" t="n">
        <v>0.9270833333333334</v>
      </c>
      <c r="D2057" s="17" t="n">
        <v>0.34375</v>
      </c>
      <c r="E2057" t="inlineStr">
        <is>
          <t>Night</t>
        </is>
      </c>
      <c r="F2057" t="inlineStr">
        <is>
          <t>Aug</t>
        </is>
      </c>
      <c r="G2057" s="18">
        <f>IF(D2057&lt;C2057,D2057+1-C2057,D2057-C2057)*24</f>
        <v/>
      </c>
      <c r="H2057" s="18">
        <f>MAX(0,G2057-8)</f>
        <v/>
      </c>
    </row>
    <row r="2058">
      <c r="A2058" t="n">
        <v>1129</v>
      </c>
      <c r="B2058" s="14" t="n">
        <v>46259</v>
      </c>
      <c r="C2058" s="17" t="n">
        <v>0.9270833333333334</v>
      </c>
      <c r="D2058" s="17" t="n">
        <v>0.3645833333333333</v>
      </c>
      <c r="E2058" t="inlineStr">
        <is>
          <t>Night</t>
        </is>
      </c>
      <c r="F2058" t="inlineStr">
        <is>
          <t>Aug</t>
        </is>
      </c>
      <c r="G2058" s="18">
        <f>IF(D2058&lt;C2058,D2058+1-C2058,D2058-C2058)*24</f>
        <v/>
      </c>
      <c r="H2058" s="18">
        <f>MAX(0,G2058-8)</f>
        <v/>
      </c>
    </row>
    <row r="2059">
      <c r="A2059" t="n">
        <v>1130</v>
      </c>
      <c r="B2059" s="14" t="n">
        <v>46259</v>
      </c>
      <c r="C2059" s="17" t="n">
        <v>0.9375</v>
      </c>
      <c r="D2059" s="17" t="n">
        <v>0.2708333333333333</v>
      </c>
      <c r="E2059" t="inlineStr">
        <is>
          <t>Night</t>
        </is>
      </c>
      <c r="F2059" t="inlineStr">
        <is>
          <t>Aug</t>
        </is>
      </c>
      <c r="G2059" s="18">
        <f>IF(D2059&lt;C2059,D2059+1-C2059,D2059-C2059)*24</f>
        <v/>
      </c>
      <c r="H2059" s="18">
        <f>MAX(0,G2059-8)</f>
        <v/>
      </c>
    </row>
    <row r="2060">
      <c r="A2060" t="n">
        <v>1132</v>
      </c>
      <c r="B2060" s="14" t="n">
        <v>46259</v>
      </c>
      <c r="C2060" s="17" t="n">
        <v>0.9270833333333334</v>
      </c>
      <c r="D2060" s="17" t="n">
        <v>0.3645833333333333</v>
      </c>
      <c r="E2060" t="inlineStr">
        <is>
          <t>Night</t>
        </is>
      </c>
      <c r="F2060" t="inlineStr">
        <is>
          <t>Aug</t>
        </is>
      </c>
      <c r="G2060" s="18">
        <f>IF(D2060&lt;C2060,D2060+1-C2060,D2060-C2060)*24</f>
        <v/>
      </c>
      <c r="H2060" s="18">
        <f>MAX(0,G2060-8)</f>
        <v/>
      </c>
    </row>
    <row r="2061">
      <c r="A2061" t="n">
        <v>1133</v>
      </c>
      <c r="B2061" s="14" t="n">
        <v>46259</v>
      </c>
      <c r="C2061" s="17" t="n">
        <v>0.9375</v>
      </c>
      <c r="D2061" s="17" t="n">
        <v>0.3958333333333333</v>
      </c>
      <c r="E2061" t="inlineStr">
        <is>
          <t>Night</t>
        </is>
      </c>
      <c r="F2061" t="inlineStr">
        <is>
          <t>Aug</t>
        </is>
      </c>
      <c r="G2061" s="18">
        <f>IF(D2061&lt;C2061,D2061+1-C2061,D2061-C2061)*24</f>
        <v/>
      </c>
      <c r="H2061" s="18">
        <f>MAX(0,G2061-8)</f>
        <v/>
      </c>
    </row>
    <row r="2062">
      <c r="A2062" t="n">
        <v>1134</v>
      </c>
      <c r="B2062" s="14" t="n">
        <v>46259</v>
      </c>
      <c r="C2062" s="17" t="n">
        <v>0.9166666666666666</v>
      </c>
      <c r="D2062" s="17" t="n">
        <v>0.3541666666666667</v>
      </c>
      <c r="E2062" t="inlineStr">
        <is>
          <t>Night</t>
        </is>
      </c>
      <c r="F2062" t="inlineStr">
        <is>
          <t>Aug</t>
        </is>
      </c>
      <c r="G2062" s="18">
        <f>IF(D2062&lt;C2062,D2062+1-C2062,D2062-C2062)*24</f>
        <v/>
      </c>
      <c r="H2062" s="18">
        <f>MAX(0,G2062-8)</f>
        <v/>
      </c>
    </row>
    <row r="2063">
      <c r="A2063" t="n">
        <v>1136</v>
      </c>
      <c r="B2063" s="14" t="n">
        <v>46259</v>
      </c>
      <c r="C2063" s="17" t="n">
        <v>0.9375</v>
      </c>
      <c r="D2063" s="17" t="n">
        <v>0.3958333333333333</v>
      </c>
      <c r="E2063" t="inlineStr">
        <is>
          <t>Night</t>
        </is>
      </c>
      <c r="F2063" t="inlineStr">
        <is>
          <t>Aug</t>
        </is>
      </c>
      <c r="G2063" s="18">
        <f>IF(D2063&lt;C2063,D2063+1-C2063,D2063-C2063)*24</f>
        <v/>
      </c>
      <c r="H2063" s="18">
        <f>MAX(0,G2063-8)</f>
        <v/>
      </c>
    </row>
    <row r="2064">
      <c r="A2064" t="n">
        <v>1137</v>
      </c>
      <c r="B2064" s="14" t="n">
        <v>46259</v>
      </c>
      <c r="C2064" s="17" t="n">
        <v>0.9375</v>
      </c>
      <c r="D2064" s="17" t="n">
        <v>0.3125</v>
      </c>
      <c r="E2064" t="inlineStr">
        <is>
          <t>Night</t>
        </is>
      </c>
      <c r="F2064" t="inlineStr">
        <is>
          <t>Aug</t>
        </is>
      </c>
      <c r="G2064" s="18">
        <f>IF(D2064&lt;C2064,D2064+1-C2064,D2064-C2064)*24</f>
        <v/>
      </c>
      <c r="H2064" s="18">
        <f>MAX(0,G2064-8)</f>
        <v/>
      </c>
    </row>
    <row r="2065">
      <c r="A2065" t="n">
        <v>1147</v>
      </c>
      <c r="B2065" s="14" t="n">
        <v>46259</v>
      </c>
      <c r="C2065" s="17" t="n">
        <v>0.9166666666666666</v>
      </c>
      <c r="D2065" s="17" t="n">
        <v>0.3541666666666667</v>
      </c>
      <c r="E2065" t="inlineStr">
        <is>
          <t>Night</t>
        </is>
      </c>
      <c r="F2065" t="inlineStr">
        <is>
          <t>Aug</t>
        </is>
      </c>
      <c r="G2065" s="18">
        <f>IF(D2065&lt;C2065,D2065+1-C2065,D2065-C2065)*24</f>
        <v/>
      </c>
      <c r="H2065" s="18">
        <f>MAX(0,G2065-8)</f>
        <v/>
      </c>
    </row>
    <row r="2066">
      <c r="A2066" t="n">
        <v>1101</v>
      </c>
      <c r="B2066" s="14" t="n">
        <v>46259</v>
      </c>
      <c r="C2066" s="17" t="n">
        <v>0.01041666666666667</v>
      </c>
      <c r="D2066" s="17" t="n">
        <v>0.40625</v>
      </c>
      <c r="E2066" t="inlineStr">
        <is>
          <t>Night</t>
        </is>
      </c>
      <c r="F2066" t="inlineStr">
        <is>
          <t>Aug</t>
        </is>
      </c>
      <c r="G2066" s="18">
        <f>IF(D2066&lt;C2066,D2066+1-C2066,D2066-C2066)*24</f>
        <v/>
      </c>
      <c r="H2066" s="18">
        <f>MAX(0,G2066-8)</f>
        <v/>
      </c>
    </row>
    <row r="2067">
      <c r="A2067" t="n">
        <v>1104</v>
      </c>
      <c r="B2067" s="14" t="n">
        <v>46259</v>
      </c>
      <c r="C2067" s="17" t="n">
        <v>0.01041666666666667</v>
      </c>
      <c r="D2067" s="17" t="n">
        <v>0.34375</v>
      </c>
      <c r="E2067" t="inlineStr">
        <is>
          <t>Night</t>
        </is>
      </c>
      <c r="F2067" t="inlineStr">
        <is>
          <t>Aug</t>
        </is>
      </c>
      <c r="G2067" s="18">
        <f>IF(D2067&lt;C2067,D2067+1-C2067,D2067-C2067)*24</f>
        <v/>
      </c>
      <c r="H2067" s="18">
        <f>MAX(0,G2067-8)</f>
        <v/>
      </c>
    </row>
    <row r="2068">
      <c r="A2068" t="n">
        <v>1111</v>
      </c>
      <c r="B2068" s="14" t="n">
        <v>46259</v>
      </c>
      <c r="C2068" s="17" t="n">
        <v>0.02083333333333333</v>
      </c>
      <c r="D2068" s="17" t="n">
        <v>0.5</v>
      </c>
      <c r="E2068" t="inlineStr">
        <is>
          <t>Night</t>
        </is>
      </c>
      <c r="F2068" t="inlineStr">
        <is>
          <t>Aug</t>
        </is>
      </c>
      <c r="G2068" s="18">
        <f>IF(D2068&lt;C2068,D2068+1-C2068,D2068-C2068)*24</f>
        <v/>
      </c>
      <c r="H2068" s="18">
        <f>MAX(0,G2068-8)</f>
        <v/>
      </c>
    </row>
    <row r="2069">
      <c r="A2069" t="n">
        <v>1131</v>
      </c>
      <c r="B2069" s="14" t="n">
        <v>46259</v>
      </c>
      <c r="C2069" s="17" t="n">
        <v>0.02083333333333333</v>
      </c>
      <c r="D2069" s="17" t="n">
        <v>0.4166666666666667</v>
      </c>
      <c r="E2069" t="inlineStr">
        <is>
          <t>Night</t>
        </is>
      </c>
      <c r="F2069" t="inlineStr">
        <is>
          <t>Aug</t>
        </is>
      </c>
      <c r="G2069" s="18">
        <f>IF(D2069&lt;C2069,D2069+1-C2069,D2069-C2069)*24</f>
        <v/>
      </c>
      <c r="H2069" s="18">
        <f>MAX(0,G2069-8)</f>
        <v/>
      </c>
    </row>
    <row r="2070">
      <c r="A2070" t="n">
        <v>1135</v>
      </c>
      <c r="B2070" s="14" t="n">
        <v>46259</v>
      </c>
      <c r="C2070" s="17" t="n">
        <v>0.01041666666666667</v>
      </c>
      <c r="D2070" s="17" t="n">
        <v>0.4270833333333333</v>
      </c>
      <c r="E2070" t="inlineStr">
        <is>
          <t>Night</t>
        </is>
      </c>
      <c r="F2070" t="inlineStr">
        <is>
          <t>Aug</t>
        </is>
      </c>
      <c r="G2070" s="18">
        <f>IF(D2070&lt;C2070,D2070+1-C2070,D2070-C2070)*24</f>
        <v/>
      </c>
      <c r="H2070" s="18">
        <f>MAX(0,G2070-8)</f>
        <v/>
      </c>
    </row>
    <row r="2071">
      <c r="A2071" t="n">
        <v>1201</v>
      </c>
      <c r="B2071" s="14" t="n">
        <v>46259</v>
      </c>
      <c r="C2071" s="17" t="n">
        <v>0.25</v>
      </c>
      <c r="D2071" s="17" t="n">
        <v>0.5833333333333334</v>
      </c>
      <c r="E2071" t="inlineStr">
        <is>
          <t>Day</t>
        </is>
      </c>
      <c r="F2071" t="inlineStr">
        <is>
          <t>Aug</t>
        </is>
      </c>
      <c r="G2071" s="18">
        <f>IF(D2071&lt;C2071,D2071+1-C2071,D2071-C2071)*24</f>
        <v/>
      </c>
      <c r="H2071" s="18">
        <f>MAX(0,G2071-8)</f>
        <v/>
      </c>
    </row>
    <row r="2072">
      <c r="A2072" t="n">
        <v>1202</v>
      </c>
      <c r="B2072" s="14" t="n">
        <v>46259</v>
      </c>
      <c r="C2072" s="17" t="n">
        <v>0.25</v>
      </c>
      <c r="D2072" s="17" t="n">
        <v>0.5833333333333334</v>
      </c>
      <c r="E2072" t="inlineStr">
        <is>
          <t>Day</t>
        </is>
      </c>
      <c r="F2072" t="inlineStr">
        <is>
          <t>Aug</t>
        </is>
      </c>
      <c r="G2072" s="18">
        <f>IF(D2072&lt;C2072,D2072+1-C2072,D2072-C2072)*24</f>
        <v/>
      </c>
      <c r="H2072" s="18">
        <f>MAX(0,G2072-8)</f>
        <v/>
      </c>
    </row>
    <row r="2073">
      <c r="A2073" t="n">
        <v>1203</v>
      </c>
      <c r="B2073" s="14" t="n">
        <v>46259</v>
      </c>
      <c r="C2073" s="17" t="n">
        <v>0.2708333333333333</v>
      </c>
      <c r="D2073" s="17" t="n">
        <v>0.6458333333333334</v>
      </c>
      <c r="E2073" t="inlineStr">
        <is>
          <t>Day</t>
        </is>
      </c>
      <c r="F2073" t="inlineStr">
        <is>
          <t>Aug</t>
        </is>
      </c>
      <c r="G2073" s="18">
        <f>IF(D2073&lt;C2073,D2073+1-C2073,D2073-C2073)*24</f>
        <v/>
      </c>
      <c r="H2073" s="18">
        <f>MAX(0,G2073-8)</f>
        <v/>
      </c>
    </row>
    <row r="2074">
      <c r="A2074" t="n">
        <v>1204</v>
      </c>
      <c r="B2074" s="14" t="n">
        <v>46259</v>
      </c>
      <c r="C2074" s="17" t="n">
        <v>0.25</v>
      </c>
      <c r="D2074" s="17" t="n">
        <v>0.6666666666666666</v>
      </c>
      <c r="E2074" t="inlineStr">
        <is>
          <t>Day</t>
        </is>
      </c>
      <c r="F2074" t="inlineStr">
        <is>
          <t>Aug</t>
        </is>
      </c>
      <c r="G2074" s="18">
        <f>IF(D2074&lt;C2074,D2074+1-C2074,D2074-C2074)*24</f>
        <v/>
      </c>
      <c r="H2074" s="18">
        <f>MAX(0,G2074-8)</f>
        <v/>
      </c>
    </row>
    <row r="2075">
      <c r="A2075" t="n">
        <v>1206</v>
      </c>
      <c r="B2075" s="14" t="n">
        <v>46259</v>
      </c>
      <c r="C2075" s="17" t="n">
        <v>0.25</v>
      </c>
      <c r="D2075" s="17" t="n">
        <v>0.6666666666666666</v>
      </c>
      <c r="E2075" t="inlineStr">
        <is>
          <t>Day</t>
        </is>
      </c>
      <c r="F2075" t="inlineStr">
        <is>
          <t>Aug</t>
        </is>
      </c>
      <c r="G2075" s="18">
        <f>IF(D2075&lt;C2075,D2075+1-C2075,D2075-C2075)*24</f>
        <v/>
      </c>
      <c r="H2075" s="18">
        <f>MAX(0,G2075-8)</f>
        <v/>
      </c>
    </row>
    <row r="2076">
      <c r="A2076" t="n">
        <v>1207</v>
      </c>
      <c r="B2076" s="14" t="n">
        <v>46259</v>
      </c>
      <c r="C2076" s="17" t="n">
        <v>0.25</v>
      </c>
      <c r="D2076" s="17" t="n">
        <v>0.5833333333333334</v>
      </c>
      <c r="E2076" t="inlineStr">
        <is>
          <t>Day</t>
        </is>
      </c>
      <c r="F2076" t="inlineStr">
        <is>
          <t>Aug</t>
        </is>
      </c>
      <c r="G2076" s="18">
        <f>IF(D2076&lt;C2076,D2076+1-C2076,D2076-C2076)*24</f>
        <v/>
      </c>
      <c r="H2076" s="18">
        <f>MAX(0,G2076-8)</f>
        <v/>
      </c>
    </row>
    <row r="2077">
      <c r="A2077" t="n">
        <v>1208</v>
      </c>
      <c r="B2077" s="14" t="n">
        <v>46259</v>
      </c>
      <c r="C2077" s="17" t="n">
        <v>0.2708333333333333</v>
      </c>
      <c r="D2077" s="17" t="n">
        <v>0.6041666666666666</v>
      </c>
      <c r="E2077" t="inlineStr">
        <is>
          <t>Day</t>
        </is>
      </c>
      <c r="F2077" t="inlineStr">
        <is>
          <t>Aug</t>
        </is>
      </c>
      <c r="G2077" s="18">
        <f>IF(D2077&lt;C2077,D2077+1-C2077,D2077-C2077)*24</f>
        <v/>
      </c>
      <c r="H2077" s="18">
        <f>MAX(0,G2077-8)</f>
        <v/>
      </c>
    </row>
    <row r="2078">
      <c r="A2078" t="n">
        <v>1209</v>
      </c>
      <c r="B2078" s="14" t="n">
        <v>46259</v>
      </c>
      <c r="C2078" s="17" t="n">
        <v>0.25</v>
      </c>
      <c r="D2078" s="17" t="n">
        <v>0.5833333333333334</v>
      </c>
      <c r="E2078" t="inlineStr">
        <is>
          <t>Day</t>
        </is>
      </c>
      <c r="F2078" t="inlineStr">
        <is>
          <t>Aug</t>
        </is>
      </c>
      <c r="G2078" s="18">
        <f>IF(D2078&lt;C2078,D2078+1-C2078,D2078-C2078)*24</f>
        <v/>
      </c>
      <c r="H2078" s="18">
        <f>MAX(0,G2078-8)</f>
        <v/>
      </c>
    </row>
    <row r="2079">
      <c r="A2079" t="n">
        <v>1210</v>
      </c>
      <c r="B2079" s="14" t="n">
        <v>46259</v>
      </c>
      <c r="C2079" s="17" t="n">
        <v>0.25</v>
      </c>
      <c r="D2079" s="17" t="n">
        <v>0.625</v>
      </c>
      <c r="E2079" t="inlineStr">
        <is>
          <t>Day</t>
        </is>
      </c>
      <c r="F2079" t="inlineStr">
        <is>
          <t>Aug</t>
        </is>
      </c>
      <c r="G2079" s="18">
        <f>IF(D2079&lt;C2079,D2079+1-C2079,D2079-C2079)*24</f>
        <v/>
      </c>
      <c r="H2079" s="18">
        <f>MAX(0,G2079-8)</f>
        <v/>
      </c>
    </row>
    <row r="2080">
      <c r="A2080" t="n">
        <v>1211</v>
      </c>
      <c r="B2080" s="14" t="n">
        <v>46259</v>
      </c>
      <c r="C2080" s="17" t="n">
        <v>0.2708333333333333</v>
      </c>
      <c r="D2080" s="17" t="n">
        <v>0.6875</v>
      </c>
      <c r="E2080" t="inlineStr">
        <is>
          <t>Day</t>
        </is>
      </c>
      <c r="F2080" t="inlineStr">
        <is>
          <t>Aug</t>
        </is>
      </c>
      <c r="G2080" s="18">
        <f>IF(D2080&lt;C2080,D2080+1-C2080,D2080-C2080)*24</f>
        <v/>
      </c>
      <c r="H2080" s="18">
        <f>MAX(0,G2080-8)</f>
        <v/>
      </c>
    </row>
    <row r="2081">
      <c r="A2081" t="n">
        <v>1212</v>
      </c>
      <c r="B2081" s="14" t="n">
        <v>46259</v>
      </c>
      <c r="C2081" s="17" t="n">
        <v>0.2708333333333333</v>
      </c>
      <c r="D2081" s="17" t="n">
        <v>0.6458333333333334</v>
      </c>
      <c r="E2081" t="inlineStr">
        <is>
          <t>Day</t>
        </is>
      </c>
      <c r="F2081" t="inlineStr">
        <is>
          <t>Aug</t>
        </is>
      </c>
      <c r="G2081" s="18">
        <f>IF(D2081&lt;C2081,D2081+1-C2081,D2081-C2081)*24</f>
        <v/>
      </c>
      <c r="H2081" s="18">
        <f>MAX(0,G2081-8)</f>
        <v/>
      </c>
    </row>
    <row r="2082">
      <c r="A2082" t="n">
        <v>1213</v>
      </c>
      <c r="B2082" s="14" t="n">
        <v>46259</v>
      </c>
      <c r="C2082" s="17" t="n">
        <v>0.2708333333333333</v>
      </c>
      <c r="D2082" s="17" t="n">
        <v>0.625</v>
      </c>
      <c r="E2082" t="inlineStr">
        <is>
          <t>Day</t>
        </is>
      </c>
      <c r="F2082" t="inlineStr">
        <is>
          <t>Aug</t>
        </is>
      </c>
      <c r="G2082" s="18">
        <f>IF(D2082&lt;C2082,D2082+1-C2082,D2082-C2082)*24</f>
        <v/>
      </c>
      <c r="H2082" s="18">
        <f>MAX(0,G2082-8)</f>
        <v/>
      </c>
    </row>
    <row r="2083">
      <c r="A2083" t="n">
        <v>1214</v>
      </c>
      <c r="B2083" s="14" t="n">
        <v>46259</v>
      </c>
      <c r="C2083" s="17" t="n">
        <v>0.2708333333333333</v>
      </c>
      <c r="D2083" s="17" t="n">
        <v>0.6041666666666666</v>
      </c>
      <c r="E2083" t="inlineStr">
        <is>
          <t>Day</t>
        </is>
      </c>
      <c r="F2083" t="inlineStr">
        <is>
          <t>Aug</t>
        </is>
      </c>
      <c r="G2083" s="18">
        <f>IF(D2083&lt;C2083,D2083+1-C2083,D2083-C2083)*24</f>
        <v/>
      </c>
      <c r="H2083" s="18">
        <f>MAX(0,G2083-8)</f>
        <v/>
      </c>
    </row>
    <row r="2084">
      <c r="A2084" t="n">
        <v>1215</v>
      </c>
      <c r="B2084" s="14" t="n">
        <v>46259</v>
      </c>
      <c r="C2084" s="17" t="n">
        <v>0.25</v>
      </c>
      <c r="D2084" s="17" t="n">
        <v>0.5833333333333334</v>
      </c>
      <c r="E2084" t="inlineStr">
        <is>
          <t>Day</t>
        </is>
      </c>
      <c r="F2084" t="inlineStr">
        <is>
          <t>Aug</t>
        </is>
      </c>
      <c r="G2084" s="18">
        <f>IF(D2084&lt;C2084,D2084+1-C2084,D2084-C2084)*24</f>
        <v/>
      </c>
      <c r="H2084" s="18">
        <f>MAX(0,G2084-8)</f>
        <v/>
      </c>
    </row>
    <row r="2085">
      <c r="A2085" t="n">
        <v>1216</v>
      </c>
      <c r="B2085" s="14" t="n">
        <v>46259</v>
      </c>
      <c r="C2085" s="17" t="n">
        <v>0.25</v>
      </c>
      <c r="D2085" s="17" t="n">
        <v>0.5833333333333334</v>
      </c>
      <c r="E2085" t="inlineStr">
        <is>
          <t>Day</t>
        </is>
      </c>
      <c r="F2085" t="inlineStr">
        <is>
          <t>Aug</t>
        </is>
      </c>
      <c r="G2085" s="18">
        <f>IF(D2085&lt;C2085,D2085+1-C2085,D2085-C2085)*24</f>
        <v/>
      </c>
      <c r="H2085" s="18">
        <f>MAX(0,G2085-8)</f>
        <v/>
      </c>
    </row>
    <row r="2086">
      <c r="A2086" t="n">
        <v>1218</v>
      </c>
      <c r="B2086" s="14" t="n">
        <v>46259</v>
      </c>
      <c r="C2086" s="17" t="n">
        <v>0.2708333333333333</v>
      </c>
      <c r="D2086" s="17" t="n">
        <v>0.6041666666666666</v>
      </c>
      <c r="E2086" t="inlineStr">
        <is>
          <t>Day</t>
        </is>
      </c>
      <c r="F2086" t="inlineStr">
        <is>
          <t>Aug</t>
        </is>
      </c>
      <c r="G2086" s="18">
        <f>IF(D2086&lt;C2086,D2086+1-C2086,D2086-C2086)*24</f>
        <v/>
      </c>
      <c r="H2086" s="18">
        <f>MAX(0,G2086-8)</f>
        <v/>
      </c>
    </row>
    <row r="2087">
      <c r="A2087" t="n">
        <v>1219</v>
      </c>
      <c r="B2087" s="14" t="n">
        <v>46259</v>
      </c>
      <c r="C2087" s="17" t="n">
        <v>0.25</v>
      </c>
      <c r="D2087" s="17" t="n">
        <v>0.6666666666666666</v>
      </c>
      <c r="E2087" t="inlineStr">
        <is>
          <t>Day</t>
        </is>
      </c>
      <c r="F2087" t="inlineStr">
        <is>
          <t>Aug</t>
        </is>
      </c>
      <c r="G2087" s="18">
        <f>IF(D2087&lt;C2087,D2087+1-C2087,D2087-C2087)*24</f>
        <v/>
      </c>
      <c r="H2087" s="18">
        <f>MAX(0,G2087-8)</f>
        <v/>
      </c>
    </row>
    <row r="2088">
      <c r="A2088" t="n">
        <v>1220</v>
      </c>
      <c r="B2088" s="14" t="n">
        <v>46259</v>
      </c>
      <c r="C2088" s="17" t="n">
        <v>0.25</v>
      </c>
      <c r="D2088" s="17" t="n">
        <v>0.625</v>
      </c>
      <c r="E2088" t="inlineStr">
        <is>
          <t>Day</t>
        </is>
      </c>
      <c r="F2088" t="inlineStr">
        <is>
          <t>Aug</t>
        </is>
      </c>
      <c r="G2088" s="18">
        <f>IF(D2088&lt;C2088,D2088+1-C2088,D2088-C2088)*24</f>
        <v/>
      </c>
      <c r="H2088" s="18">
        <f>MAX(0,G2088-8)</f>
        <v/>
      </c>
    </row>
    <row r="2089">
      <c r="A2089" t="n">
        <v>1101</v>
      </c>
      <c r="B2089" s="14" t="n">
        <v>46260</v>
      </c>
      <c r="C2089" s="17" t="n">
        <v>0.9270833333333334</v>
      </c>
      <c r="D2089" s="17" t="n">
        <v>0.28125</v>
      </c>
      <c r="E2089" t="inlineStr">
        <is>
          <t>Night</t>
        </is>
      </c>
      <c r="F2089" t="inlineStr">
        <is>
          <t>Aug</t>
        </is>
      </c>
      <c r="G2089" s="18">
        <f>IF(D2089&lt;C2089,D2089+1-C2089,D2089-C2089)*24</f>
        <v/>
      </c>
      <c r="H2089" s="18">
        <f>MAX(0,G2089-8)</f>
        <v/>
      </c>
    </row>
    <row r="2090">
      <c r="A2090" t="n">
        <v>1102</v>
      </c>
      <c r="B2090" s="14" t="n">
        <v>46260</v>
      </c>
      <c r="C2090" s="17" t="n">
        <v>0.9166666666666666</v>
      </c>
      <c r="D2090" s="17" t="n">
        <v>0.25</v>
      </c>
      <c r="E2090" t="inlineStr">
        <is>
          <t>Night</t>
        </is>
      </c>
      <c r="F2090" t="inlineStr">
        <is>
          <t>Aug</t>
        </is>
      </c>
      <c r="G2090" s="18">
        <f>IF(D2090&lt;C2090,D2090+1-C2090,D2090-C2090)*24</f>
        <v/>
      </c>
      <c r="H2090" s="18">
        <f>MAX(0,G2090-8)</f>
        <v/>
      </c>
    </row>
    <row r="2091">
      <c r="A2091" t="n">
        <v>1104</v>
      </c>
      <c r="B2091" s="14" t="n">
        <v>46260</v>
      </c>
      <c r="C2091" s="17" t="n">
        <v>0.9270833333333334</v>
      </c>
      <c r="D2091" s="17" t="n">
        <v>0.3854166666666667</v>
      </c>
      <c r="E2091" t="inlineStr">
        <is>
          <t>Night</t>
        </is>
      </c>
      <c r="F2091" t="inlineStr">
        <is>
          <t>Aug</t>
        </is>
      </c>
      <c r="G2091" s="18">
        <f>IF(D2091&lt;C2091,D2091+1-C2091,D2091-C2091)*24</f>
        <v/>
      </c>
      <c r="H2091" s="18">
        <f>MAX(0,G2091-8)</f>
        <v/>
      </c>
    </row>
    <row r="2092">
      <c r="A2092" t="n">
        <v>1106</v>
      </c>
      <c r="B2092" s="14" t="n">
        <v>46260</v>
      </c>
      <c r="C2092" s="17" t="n">
        <v>0.9375</v>
      </c>
      <c r="D2092" s="17" t="n">
        <v>0.3958333333333333</v>
      </c>
      <c r="E2092" t="inlineStr">
        <is>
          <t>Night</t>
        </is>
      </c>
      <c r="F2092" t="inlineStr">
        <is>
          <t>Aug</t>
        </is>
      </c>
      <c r="G2092" s="18">
        <f>IF(D2092&lt;C2092,D2092+1-C2092,D2092-C2092)*24</f>
        <v/>
      </c>
      <c r="H2092" s="18">
        <f>MAX(0,G2092-8)</f>
        <v/>
      </c>
    </row>
    <row r="2093">
      <c r="A2093" t="n">
        <v>1109</v>
      </c>
      <c r="B2093" s="14" t="n">
        <v>46260</v>
      </c>
      <c r="C2093" s="17" t="n">
        <v>0.9166666666666666</v>
      </c>
      <c r="D2093" s="17" t="n">
        <v>0.2916666666666667</v>
      </c>
      <c r="E2093" t="inlineStr">
        <is>
          <t>Night</t>
        </is>
      </c>
      <c r="F2093" t="inlineStr">
        <is>
          <t>Aug</t>
        </is>
      </c>
      <c r="G2093" s="18">
        <f>IF(D2093&lt;C2093,D2093+1-C2093,D2093-C2093)*24</f>
        <v/>
      </c>
      <c r="H2093" s="18">
        <f>MAX(0,G2093-8)</f>
        <v/>
      </c>
    </row>
    <row r="2094">
      <c r="A2094" t="n">
        <v>1111</v>
      </c>
      <c r="B2094" s="14" t="n">
        <v>46260</v>
      </c>
      <c r="C2094" s="17" t="n">
        <v>0.9166666666666666</v>
      </c>
      <c r="D2094" s="17" t="n">
        <v>0.375</v>
      </c>
      <c r="E2094" t="inlineStr">
        <is>
          <t>Night</t>
        </is>
      </c>
      <c r="F2094" t="inlineStr">
        <is>
          <t>Aug</t>
        </is>
      </c>
      <c r="G2094" s="18">
        <f>IF(D2094&lt;C2094,D2094+1-C2094,D2094-C2094)*24</f>
        <v/>
      </c>
      <c r="H2094" s="18">
        <f>MAX(0,G2094-8)</f>
        <v/>
      </c>
    </row>
    <row r="2095">
      <c r="A2095" t="n">
        <v>1112</v>
      </c>
      <c r="B2095" s="14" t="n">
        <v>46260</v>
      </c>
      <c r="C2095" s="17" t="n">
        <v>0.9375</v>
      </c>
      <c r="D2095" s="17" t="n">
        <v>0.3333333333333333</v>
      </c>
      <c r="E2095" t="inlineStr">
        <is>
          <t>Night</t>
        </is>
      </c>
      <c r="F2095" t="inlineStr">
        <is>
          <t>Aug</t>
        </is>
      </c>
      <c r="G2095" s="18">
        <f>IF(D2095&lt;C2095,D2095+1-C2095,D2095-C2095)*24</f>
        <v/>
      </c>
      <c r="H2095" s="18">
        <f>MAX(0,G2095-8)</f>
        <v/>
      </c>
    </row>
    <row r="2096">
      <c r="A2096" t="n">
        <v>1115</v>
      </c>
      <c r="B2096" s="14" t="n">
        <v>46260</v>
      </c>
      <c r="C2096" s="17" t="n">
        <v>0.9166666666666666</v>
      </c>
      <c r="D2096" s="17" t="n">
        <v>0.25</v>
      </c>
      <c r="E2096" t="inlineStr">
        <is>
          <t>Night</t>
        </is>
      </c>
      <c r="F2096" t="inlineStr">
        <is>
          <t>Aug</t>
        </is>
      </c>
      <c r="G2096" s="18">
        <f>IF(D2096&lt;C2096,D2096+1-C2096,D2096-C2096)*24</f>
        <v/>
      </c>
      <c r="H2096" s="18">
        <f>MAX(0,G2096-8)</f>
        <v/>
      </c>
    </row>
    <row r="2097">
      <c r="A2097" t="n">
        <v>1116</v>
      </c>
      <c r="B2097" s="14" t="n">
        <v>46260</v>
      </c>
      <c r="C2097" s="17" t="n">
        <v>0.9375</v>
      </c>
      <c r="D2097" s="17" t="n">
        <v>0.2708333333333333</v>
      </c>
      <c r="E2097" t="inlineStr">
        <is>
          <t>Night</t>
        </is>
      </c>
      <c r="F2097" t="inlineStr">
        <is>
          <t>Aug</t>
        </is>
      </c>
      <c r="G2097" s="18">
        <f>IF(D2097&lt;C2097,D2097+1-C2097,D2097-C2097)*24</f>
        <v/>
      </c>
      <c r="H2097" s="18">
        <f>MAX(0,G2097-8)</f>
        <v/>
      </c>
    </row>
    <row r="2098">
      <c r="A2098" t="n">
        <v>1117</v>
      </c>
      <c r="B2098" s="14" t="n">
        <v>46260</v>
      </c>
      <c r="C2098" s="17" t="n">
        <v>0.9166666666666666</v>
      </c>
      <c r="D2098" s="17" t="n">
        <v>0.3333333333333333</v>
      </c>
      <c r="E2098" t="inlineStr">
        <is>
          <t>Night</t>
        </is>
      </c>
      <c r="F2098" t="inlineStr">
        <is>
          <t>Aug</t>
        </is>
      </c>
      <c r="G2098" s="18">
        <f>IF(D2098&lt;C2098,D2098+1-C2098,D2098-C2098)*24</f>
        <v/>
      </c>
      <c r="H2098" s="18">
        <f>MAX(0,G2098-8)</f>
        <v/>
      </c>
    </row>
    <row r="2099">
      <c r="A2099" t="n">
        <v>1118</v>
      </c>
      <c r="B2099" s="14" t="n">
        <v>46260</v>
      </c>
      <c r="C2099" s="17" t="n">
        <v>0.9270833333333334</v>
      </c>
      <c r="D2099" s="17" t="n">
        <v>0.2604166666666667</v>
      </c>
      <c r="E2099" t="inlineStr">
        <is>
          <t>Night</t>
        </is>
      </c>
      <c r="F2099" t="inlineStr">
        <is>
          <t>Aug</t>
        </is>
      </c>
      <c r="G2099" s="18">
        <f>IF(D2099&lt;C2099,D2099+1-C2099,D2099-C2099)*24</f>
        <v/>
      </c>
      <c r="H2099" s="18">
        <f>MAX(0,G2099-8)</f>
        <v/>
      </c>
    </row>
    <row r="2100">
      <c r="A2100" t="n">
        <v>1119</v>
      </c>
      <c r="B2100" s="14" t="n">
        <v>46260</v>
      </c>
      <c r="C2100" s="17" t="n">
        <v>0.9375</v>
      </c>
      <c r="D2100" s="17" t="n">
        <v>0.3333333333333333</v>
      </c>
      <c r="E2100" t="inlineStr">
        <is>
          <t>Night</t>
        </is>
      </c>
      <c r="F2100" t="inlineStr">
        <is>
          <t>Aug</t>
        </is>
      </c>
      <c r="G2100" s="18">
        <f>IF(D2100&lt;C2100,D2100+1-C2100,D2100-C2100)*24</f>
        <v/>
      </c>
      <c r="H2100" s="18">
        <f>MAX(0,G2100-8)</f>
        <v/>
      </c>
    </row>
    <row r="2101">
      <c r="A2101" t="n">
        <v>1120</v>
      </c>
      <c r="B2101" s="14" t="n">
        <v>46260</v>
      </c>
      <c r="C2101" s="17" t="n">
        <v>0.9166666666666666</v>
      </c>
      <c r="D2101" s="17" t="n">
        <v>0.25</v>
      </c>
      <c r="E2101" t="inlineStr">
        <is>
          <t>Night</t>
        </is>
      </c>
      <c r="F2101" t="inlineStr">
        <is>
          <t>Aug</t>
        </is>
      </c>
      <c r="G2101" s="18">
        <f>IF(D2101&lt;C2101,D2101+1-C2101,D2101-C2101)*24</f>
        <v/>
      </c>
      <c r="H2101" s="18">
        <f>MAX(0,G2101-8)</f>
        <v/>
      </c>
    </row>
    <row r="2102">
      <c r="A2102" t="n">
        <v>1122</v>
      </c>
      <c r="B2102" s="14" t="n">
        <v>46260</v>
      </c>
      <c r="C2102" s="17" t="n">
        <v>0.9166666666666666</v>
      </c>
      <c r="D2102" s="17" t="n">
        <v>0.25</v>
      </c>
      <c r="E2102" t="inlineStr">
        <is>
          <t>Night</t>
        </is>
      </c>
      <c r="F2102" t="inlineStr">
        <is>
          <t>Aug</t>
        </is>
      </c>
      <c r="G2102" s="18">
        <f>IF(D2102&lt;C2102,D2102+1-C2102,D2102-C2102)*24</f>
        <v/>
      </c>
      <c r="H2102" s="18">
        <f>MAX(0,G2102-8)</f>
        <v/>
      </c>
    </row>
    <row r="2103">
      <c r="A2103" t="n">
        <v>1123</v>
      </c>
      <c r="B2103" s="14" t="n">
        <v>46260</v>
      </c>
      <c r="C2103" s="17" t="n">
        <v>0.9166666666666666</v>
      </c>
      <c r="D2103" s="17" t="n">
        <v>0.3125</v>
      </c>
      <c r="E2103" t="inlineStr">
        <is>
          <t>Night</t>
        </is>
      </c>
      <c r="F2103" t="inlineStr">
        <is>
          <t>Aug</t>
        </is>
      </c>
      <c r="G2103" s="18">
        <f>IF(D2103&lt;C2103,D2103+1-C2103,D2103-C2103)*24</f>
        <v/>
      </c>
      <c r="H2103" s="18">
        <f>MAX(0,G2103-8)</f>
        <v/>
      </c>
    </row>
    <row r="2104">
      <c r="A2104" t="n">
        <v>1125</v>
      </c>
      <c r="B2104" s="14" t="n">
        <v>46260</v>
      </c>
      <c r="C2104" s="17" t="n">
        <v>0.9166666666666666</v>
      </c>
      <c r="D2104" s="17" t="n">
        <v>0.25</v>
      </c>
      <c r="E2104" t="inlineStr">
        <is>
          <t>Night</t>
        </is>
      </c>
      <c r="F2104" t="inlineStr">
        <is>
          <t>Aug</t>
        </is>
      </c>
      <c r="G2104" s="18">
        <f>IF(D2104&lt;C2104,D2104+1-C2104,D2104-C2104)*24</f>
        <v/>
      </c>
      <c r="H2104" s="18">
        <f>MAX(0,G2104-8)</f>
        <v/>
      </c>
    </row>
    <row r="2105">
      <c r="A2105" t="n">
        <v>1126</v>
      </c>
      <c r="B2105" s="14" t="n">
        <v>46260</v>
      </c>
      <c r="C2105" s="17" t="n">
        <v>0.9166666666666666</v>
      </c>
      <c r="D2105" s="17" t="n">
        <v>0.3333333333333333</v>
      </c>
      <c r="E2105" t="inlineStr">
        <is>
          <t>Night</t>
        </is>
      </c>
      <c r="F2105" t="inlineStr">
        <is>
          <t>Aug</t>
        </is>
      </c>
      <c r="G2105" s="18">
        <f>IF(D2105&lt;C2105,D2105+1-C2105,D2105-C2105)*24</f>
        <v/>
      </c>
      <c r="H2105" s="18">
        <f>MAX(0,G2105-8)</f>
        <v/>
      </c>
    </row>
    <row r="2106">
      <c r="A2106" t="n">
        <v>1127</v>
      </c>
      <c r="B2106" s="14" t="n">
        <v>46260</v>
      </c>
      <c r="C2106" s="17" t="n">
        <v>0.9270833333333334</v>
      </c>
      <c r="D2106" s="17" t="n">
        <v>0.3229166666666667</v>
      </c>
      <c r="E2106" t="inlineStr">
        <is>
          <t>Night</t>
        </is>
      </c>
      <c r="F2106" t="inlineStr">
        <is>
          <t>Aug</t>
        </is>
      </c>
      <c r="G2106" s="18">
        <f>IF(D2106&lt;C2106,D2106+1-C2106,D2106-C2106)*24</f>
        <v/>
      </c>
      <c r="H2106" s="18">
        <f>MAX(0,G2106-8)</f>
        <v/>
      </c>
    </row>
    <row r="2107">
      <c r="A2107" t="n">
        <v>1128</v>
      </c>
      <c r="B2107" s="14" t="n">
        <v>46260</v>
      </c>
      <c r="C2107" s="17" t="n">
        <v>0.9375</v>
      </c>
      <c r="D2107" s="17" t="n">
        <v>0.3958333333333333</v>
      </c>
      <c r="E2107" t="inlineStr">
        <is>
          <t>Night</t>
        </is>
      </c>
      <c r="F2107" t="inlineStr">
        <is>
          <t>Aug</t>
        </is>
      </c>
      <c r="G2107" s="18">
        <f>IF(D2107&lt;C2107,D2107+1-C2107,D2107-C2107)*24</f>
        <v/>
      </c>
      <c r="H2107" s="18">
        <f>MAX(0,G2107-8)</f>
        <v/>
      </c>
    </row>
    <row r="2108">
      <c r="A2108" t="n">
        <v>1129</v>
      </c>
      <c r="B2108" s="14" t="n">
        <v>46260</v>
      </c>
      <c r="C2108" s="17" t="n">
        <v>0.9375</v>
      </c>
      <c r="D2108" s="17" t="n">
        <v>0.3333333333333333</v>
      </c>
      <c r="E2108" t="inlineStr">
        <is>
          <t>Night</t>
        </is>
      </c>
      <c r="F2108" t="inlineStr">
        <is>
          <t>Aug</t>
        </is>
      </c>
      <c r="G2108" s="18">
        <f>IF(D2108&lt;C2108,D2108+1-C2108,D2108-C2108)*24</f>
        <v/>
      </c>
      <c r="H2108" s="18">
        <f>MAX(0,G2108-8)</f>
        <v/>
      </c>
    </row>
    <row r="2109">
      <c r="A2109" t="n">
        <v>1130</v>
      </c>
      <c r="B2109" s="14" t="n">
        <v>46260</v>
      </c>
      <c r="C2109" s="17" t="n">
        <v>0.9270833333333334</v>
      </c>
      <c r="D2109" s="17" t="n">
        <v>0.2604166666666667</v>
      </c>
      <c r="E2109" t="inlineStr">
        <is>
          <t>Night</t>
        </is>
      </c>
      <c r="F2109" t="inlineStr">
        <is>
          <t>Aug</t>
        </is>
      </c>
      <c r="G2109" s="18">
        <f>IF(D2109&lt;C2109,D2109+1-C2109,D2109-C2109)*24</f>
        <v/>
      </c>
      <c r="H2109" s="18">
        <f>MAX(0,G2109-8)</f>
        <v/>
      </c>
    </row>
    <row r="2110">
      <c r="A2110" t="n">
        <v>1131</v>
      </c>
      <c r="B2110" s="14" t="n">
        <v>46260</v>
      </c>
      <c r="C2110" s="17" t="n">
        <v>0.9270833333333334</v>
      </c>
      <c r="D2110" s="17" t="n">
        <v>0.28125</v>
      </c>
      <c r="E2110" t="inlineStr">
        <is>
          <t>Night</t>
        </is>
      </c>
      <c r="F2110" t="inlineStr">
        <is>
          <t>Aug</t>
        </is>
      </c>
      <c r="G2110" s="18">
        <f>IF(D2110&lt;C2110,D2110+1-C2110,D2110-C2110)*24</f>
        <v/>
      </c>
      <c r="H2110" s="18">
        <f>MAX(0,G2110-8)</f>
        <v/>
      </c>
    </row>
    <row r="2111">
      <c r="A2111" t="n">
        <v>1132</v>
      </c>
      <c r="B2111" s="14" t="n">
        <v>46260</v>
      </c>
      <c r="C2111" s="17" t="n">
        <v>0.9166666666666666</v>
      </c>
      <c r="D2111" s="17" t="n">
        <v>0.2708333333333333</v>
      </c>
      <c r="E2111" t="inlineStr">
        <is>
          <t>Night</t>
        </is>
      </c>
      <c r="F2111" t="inlineStr">
        <is>
          <t>Aug</t>
        </is>
      </c>
      <c r="G2111" s="18">
        <f>IF(D2111&lt;C2111,D2111+1-C2111,D2111-C2111)*24</f>
        <v/>
      </c>
      <c r="H2111" s="18">
        <f>MAX(0,G2111-8)</f>
        <v/>
      </c>
    </row>
    <row r="2112">
      <c r="A2112" t="n">
        <v>1133</v>
      </c>
      <c r="B2112" s="14" t="n">
        <v>46260</v>
      </c>
      <c r="C2112" s="17" t="n">
        <v>0.9166666666666666</v>
      </c>
      <c r="D2112" s="17" t="n">
        <v>0.25</v>
      </c>
      <c r="E2112" t="inlineStr">
        <is>
          <t>Night</t>
        </is>
      </c>
      <c r="F2112" t="inlineStr">
        <is>
          <t>Aug</t>
        </is>
      </c>
      <c r="G2112" s="18">
        <f>IF(D2112&lt;C2112,D2112+1-C2112,D2112-C2112)*24</f>
        <v/>
      </c>
      <c r="H2112" s="18">
        <f>MAX(0,G2112-8)</f>
        <v/>
      </c>
    </row>
    <row r="2113">
      <c r="A2113" t="n">
        <v>1134</v>
      </c>
      <c r="B2113" s="14" t="n">
        <v>46260</v>
      </c>
      <c r="C2113" s="17" t="n">
        <v>0.9375</v>
      </c>
      <c r="D2113" s="17" t="n">
        <v>0.2916666666666667</v>
      </c>
      <c r="E2113" t="inlineStr">
        <is>
          <t>Night</t>
        </is>
      </c>
      <c r="F2113" t="inlineStr">
        <is>
          <t>Aug</t>
        </is>
      </c>
      <c r="G2113" s="18">
        <f>IF(D2113&lt;C2113,D2113+1-C2113,D2113-C2113)*24</f>
        <v/>
      </c>
      <c r="H2113" s="18">
        <f>MAX(0,G2113-8)</f>
        <v/>
      </c>
    </row>
    <row r="2114">
      <c r="A2114" t="n">
        <v>1135</v>
      </c>
      <c r="B2114" s="14" t="n">
        <v>46260</v>
      </c>
      <c r="C2114" s="17" t="n">
        <v>0.9166666666666666</v>
      </c>
      <c r="D2114" s="17" t="n">
        <v>0.3958333333333333</v>
      </c>
      <c r="E2114" t="inlineStr">
        <is>
          <t>Night</t>
        </is>
      </c>
      <c r="F2114" t="inlineStr">
        <is>
          <t>Aug</t>
        </is>
      </c>
      <c r="G2114" s="18">
        <f>IF(D2114&lt;C2114,D2114+1-C2114,D2114-C2114)*24</f>
        <v/>
      </c>
      <c r="H2114" s="18">
        <f>MAX(0,G2114-8)</f>
        <v/>
      </c>
    </row>
    <row r="2115">
      <c r="A2115" t="n">
        <v>1137</v>
      </c>
      <c r="B2115" s="14" t="n">
        <v>46260</v>
      </c>
      <c r="C2115" s="17" t="n">
        <v>0.9166666666666666</v>
      </c>
      <c r="D2115" s="17" t="n">
        <v>0.25</v>
      </c>
      <c r="E2115" t="inlineStr">
        <is>
          <t>Night</t>
        </is>
      </c>
      <c r="F2115" t="inlineStr">
        <is>
          <t>Aug</t>
        </is>
      </c>
      <c r="G2115" s="18">
        <f>IF(D2115&lt;C2115,D2115+1-C2115,D2115-C2115)*24</f>
        <v/>
      </c>
      <c r="H2115" s="18">
        <f>MAX(0,G2115-8)</f>
        <v/>
      </c>
    </row>
    <row r="2116">
      <c r="A2116" t="n">
        <v>1147</v>
      </c>
      <c r="B2116" s="14" t="n">
        <v>46260</v>
      </c>
      <c r="C2116" s="17" t="n">
        <v>0.9166666666666666</v>
      </c>
      <c r="D2116" s="17" t="n">
        <v>0.3541666666666667</v>
      </c>
      <c r="E2116" t="inlineStr">
        <is>
          <t>Night</t>
        </is>
      </c>
      <c r="F2116" t="inlineStr">
        <is>
          <t>Aug</t>
        </is>
      </c>
      <c r="G2116" s="18">
        <f>IF(D2116&lt;C2116,D2116+1-C2116,D2116-C2116)*24</f>
        <v/>
      </c>
      <c r="H2116" s="18">
        <f>MAX(0,G2116-8)</f>
        <v/>
      </c>
    </row>
    <row r="2117">
      <c r="A2117" t="n">
        <v>1103</v>
      </c>
      <c r="B2117" s="14" t="n">
        <v>46260</v>
      </c>
      <c r="C2117" s="17" t="n">
        <v>0.01041666666666667</v>
      </c>
      <c r="D2117" s="17" t="n">
        <v>0.40625</v>
      </c>
      <c r="E2117" t="inlineStr">
        <is>
          <t>Night</t>
        </is>
      </c>
      <c r="F2117" t="inlineStr">
        <is>
          <t>Aug</t>
        </is>
      </c>
      <c r="G2117" s="18">
        <f>IF(D2117&lt;C2117,D2117+1-C2117,D2117-C2117)*24</f>
        <v/>
      </c>
      <c r="H2117" s="18">
        <f>MAX(0,G2117-8)</f>
        <v/>
      </c>
    </row>
    <row r="2118">
      <c r="A2118" t="n">
        <v>1107</v>
      </c>
      <c r="B2118" s="14" t="n">
        <v>46260</v>
      </c>
      <c r="C2118" s="17" t="n">
        <v>0.01041666666666667</v>
      </c>
      <c r="D2118" s="17" t="n">
        <v>0.3645833333333333</v>
      </c>
      <c r="E2118" t="inlineStr">
        <is>
          <t>Night</t>
        </is>
      </c>
      <c r="F2118" t="inlineStr">
        <is>
          <t>Aug</t>
        </is>
      </c>
      <c r="G2118" s="18">
        <f>IF(D2118&lt;C2118,D2118+1-C2118,D2118-C2118)*24</f>
        <v/>
      </c>
      <c r="H2118" s="18">
        <f>MAX(0,G2118-8)</f>
        <v/>
      </c>
    </row>
    <row r="2119">
      <c r="A2119" t="n">
        <v>1114</v>
      </c>
      <c r="B2119" s="14" t="n">
        <v>46260</v>
      </c>
      <c r="C2119" s="17" t="n">
        <v>0.02083333333333333</v>
      </c>
      <c r="D2119" s="17" t="n">
        <v>0.375</v>
      </c>
      <c r="E2119" t="inlineStr">
        <is>
          <t>Night</t>
        </is>
      </c>
      <c r="F2119" t="inlineStr">
        <is>
          <t>Aug</t>
        </is>
      </c>
      <c r="G2119" s="18">
        <f>IF(D2119&lt;C2119,D2119+1-C2119,D2119-C2119)*24</f>
        <v/>
      </c>
      <c r="H2119" s="18">
        <f>MAX(0,G2119-8)</f>
        <v/>
      </c>
    </row>
    <row r="2120">
      <c r="A2120" t="n">
        <v>1121</v>
      </c>
      <c r="B2120" s="14" t="n">
        <v>46260</v>
      </c>
      <c r="C2120" s="17" t="n">
        <v>0.02083333333333333</v>
      </c>
      <c r="D2120" s="17" t="n">
        <v>0.375</v>
      </c>
      <c r="E2120" t="inlineStr">
        <is>
          <t>Night</t>
        </is>
      </c>
      <c r="F2120" t="inlineStr">
        <is>
          <t>Aug</t>
        </is>
      </c>
      <c r="G2120" s="18">
        <f>IF(D2120&lt;C2120,D2120+1-C2120,D2120-C2120)*24</f>
        <v/>
      </c>
      <c r="H2120" s="18">
        <f>MAX(0,G2120-8)</f>
        <v/>
      </c>
    </row>
    <row r="2121">
      <c r="A2121" t="n">
        <v>1201</v>
      </c>
      <c r="B2121" s="14" t="n">
        <v>46260</v>
      </c>
      <c r="C2121" s="17" t="n">
        <v>0.25</v>
      </c>
      <c r="D2121" s="17" t="n">
        <v>0.6041666666666666</v>
      </c>
      <c r="E2121" t="inlineStr">
        <is>
          <t>Day</t>
        </is>
      </c>
      <c r="F2121" t="inlineStr">
        <is>
          <t>Aug</t>
        </is>
      </c>
      <c r="G2121" s="18">
        <f>IF(D2121&lt;C2121,D2121+1-C2121,D2121-C2121)*24</f>
        <v/>
      </c>
      <c r="H2121" s="18">
        <f>MAX(0,G2121-8)</f>
        <v/>
      </c>
    </row>
    <row r="2122">
      <c r="A2122" t="n">
        <v>1202</v>
      </c>
      <c r="B2122" s="14" t="n">
        <v>46260</v>
      </c>
      <c r="C2122" s="17" t="n">
        <v>0.25</v>
      </c>
      <c r="D2122" s="17" t="n">
        <v>0.5833333333333334</v>
      </c>
      <c r="E2122" t="inlineStr">
        <is>
          <t>Day</t>
        </is>
      </c>
      <c r="F2122" t="inlineStr">
        <is>
          <t>Aug</t>
        </is>
      </c>
      <c r="G2122" s="18">
        <f>IF(D2122&lt;C2122,D2122+1-C2122,D2122-C2122)*24</f>
        <v/>
      </c>
      <c r="H2122" s="18">
        <f>MAX(0,G2122-8)</f>
        <v/>
      </c>
    </row>
    <row r="2123">
      <c r="A2123" t="n">
        <v>1203</v>
      </c>
      <c r="B2123" s="14" t="n">
        <v>46260</v>
      </c>
      <c r="C2123" s="17" t="n">
        <v>0.25</v>
      </c>
      <c r="D2123" s="17" t="n">
        <v>0.625</v>
      </c>
      <c r="E2123" t="inlineStr">
        <is>
          <t>Day</t>
        </is>
      </c>
      <c r="F2123" t="inlineStr">
        <is>
          <t>Aug</t>
        </is>
      </c>
      <c r="G2123" s="18">
        <f>IF(D2123&lt;C2123,D2123+1-C2123,D2123-C2123)*24</f>
        <v/>
      </c>
      <c r="H2123" s="18">
        <f>MAX(0,G2123-8)</f>
        <v/>
      </c>
    </row>
    <row r="2124">
      <c r="A2124" t="n">
        <v>1204</v>
      </c>
      <c r="B2124" s="14" t="n">
        <v>46260</v>
      </c>
      <c r="C2124" s="17" t="n">
        <v>0.25</v>
      </c>
      <c r="D2124" s="17" t="n">
        <v>0.625</v>
      </c>
      <c r="E2124" t="inlineStr">
        <is>
          <t>Day</t>
        </is>
      </c>
      <c r="F2124" t="inlineStr">
        <is>
          <t>Aug</t>
        </is>
      </c>
      <c r="G2124" s="18">
        <f>IF(D2124&lt;C2124,D2124+1-C2124,D2124-C2124)*24</f>
        <v/>
      </c>
      <c r="H2124" s="18">
        <f>MAX(0,G2124-8)</f>
        <v/>
      </c>
    </row>
    <row r="2125">
      <c r="A2125" t="n">
        <v>1205</v>
      </c>
      <c r="B2125" s="14" t="n">
        <v>46260</v>
      </c>
      <c r="C2125" s="17" t="n">
        <v>0.25</v>
      </c>
      <c r="D2125" s="17" t="n">
        <v>0.6041666666666666</v>
      </c>
      <c r="E2125" t="inlineStr">
        <is>
          <t>Day</t>
        </is>
      </c>
      <c r="F2125" t="inlineStr">
        <is>
          <t>Aug</t>
        </is>
      </c>
      <c r="G2125" s="18">
        <f>IF(D2125&lt;C2125,D2125+1-C2125,D2125-C2125)*24</f>
        <v/>
      </c>
      <c r="H2125" s="18">
        <f>MAX(0,G2125-8)</f>
        <v/>
      </c>
    </row>
    <row r="2126">
      <c r="A2126" t="n">
        <v>1208</v>
      </c>
      <c r="B2126" s="14" t="n">
        <v>46260</v>
      </c>
      <c r="C2126" s="17" t="n">
        <v>0.2708333333333333</v>
      </c>
      <c r="D2126" s="17" t="n">
        <v>0.6041666666666666</v>
      </c>
      <c r="E2126" t="inlineStr">
        <is>
          <t>Day</t>
        </is>
      </c>
      <c r="F2126" t="inlineStr">
        <is>
          <t>Aug</t>
        </is>
      </c>
      <c r="G2126" s="18">
        <f>IF(D2126&lt;C2126,D2126+1-C2126,D2126-C2126)*24</f>
        <v/>
      </c>
      <c r="H2126" s="18">
        <f>MAX(0,G2126-8)</f>
        <v/>
      </c>
    </row>
    <row r="2127">
      <c r="A2127" t="n">
        <v>1209</v>
      </c>
      <c r="B2127" s="14" t="n">
        <v>46260</v>
      </c>
      <c r="C2127" s="17" t="n">
        <v>0.25</v>
      </c>
      <c r="D2127" s="17" t="n">
        <v>0.625</v>
      </c>
      <c r="E2127" t="inlineStr">
        <is>
          <t>Day</t>
        </is>
      </c>
      <c r="F2127" t="inlineStr">
        <is>
          <t>Aug</t>
        </is>
      </c>
      <c r="G2127" s="18">
        <f>IF(D2127&lt;C2127,D2127+1-C2127,D2127-C2127)*24</f>
        <v/>
      </c>
      <c r="H2127" s="18">
        <f>MAX(0,G2127-8)</f>
        <v/>
      </c>
    </row>
    <row r="2128">
      <c r="A2128" t="n">
        <v>1210</v>
      </c>
      <c r="B2128" s="14" t="n">
        <v>46260</v>
      </c>
      <c r="C2128" s="17" t="n">
        <v>0.2708333333333333</v>
      </c>
      <c r="D2128" s="17" t="n">
        <v>0.6875</v>
      </c>
      <c r="E2128" t="inlineStr">
        <is>
          <t>Day</t>
        </is>
      </c>
      <c r="F2128" t="inlineStr">
        <is>
          <t>Aug</t>
        </is>
      </c>
      <c r="G2128" s="18">
        <f>IF(D2128&lt;C2128,D2128+1-C2128,D2128-C2128)*24</f>
        <v/>
      </c>
      <c r="H2128" s="18">
        <f>MAX(0,G2128-8)</f>
        <v/>
      </c>
    </row>
    <row r="2129">
      <c r="A2129" t="n">
        <v>1211</v>
      </c>
      <c r="B2129" s="14" t="n">
        <v>46260</v>
      </c>
      <c r="C2129" s="17" t="n">
        <v>0.25</v>
      </c>
      <c r="D2129" s="17" t="n">
        <v>0.625</v>
      </c>
      <c r="E2129" t="inlineStr">
        <is>
          <t>Day</t>
        </is>
      </c>
      <c r="F2129" t="inlineStr">
        <is>
          <t>Aug</t>
        </is>
      </c>
      <c r="G2129" s="18">
        <f>IF(D2129&lt;C2129,D2129+1-C2129,D2129-C2129)*24</f>
        <v/>
      </c>
      <c r="H2129" s="18">
        <f>MAX(0,G2129-8)</f>
        <v/>
      </c>
    </row>
    <row r="2130">
      <c r="A2130" t="n">
        <v>1212</v>
      </c>
      <c r="B2130" s="14" t="n">
        <v>46260</v>
      </c>
      <c r="C2130" s="17" t="n">
        <v>0.25</v>
      </c>
      <c r="D2130" s="17" t="n">
        <v>0.5833333333333334</v>
      </c>
      <c r="E2130" t="inlineStr">
        <is>
          <t>Day</t>
        </is>
      </c>
      <c r="F2130" t="inlineStr">
        <is>
          <t>Aug</t>
        </is>
      </c>
      <c r="G2130" s="18">
        <f>IF(D2130&lt;C2130,D2130+1-C2130,D2130-C2130)*24</f>
        <v/>
      </c>
      <c r="H2130" s="18">
        <f>MAX(0,G2130-8)</f>
        <v/>
      </c>
    </row>
    <row r="2131">
      <c r="A2131" t="n">
        <v>1213</v>
      </c>
      <c r="B2131" s="14" t="n">
        <v>46260</v>
      </c>
      <c r="C2131" s="17" t="n">
        <v>0.25</v>
      </c>
      <c r="D2131" s="17" t="n">
        <v>0.6666666666666666</v>
      </c>
      <c r="E2131" t="inlineStr">
        <is>
          <t>Day</t>
        </is>
      </c>
      <c r="F2131" t="inlineStr">
        <is>
          <t>Aug</t>
        </is>
      </c>
      <c r="G2131" s="18">
        <f>IF(D2131&lt;C2131,D2131+1-C2131,D2131-C2131)*24</f>
        <v/>
      </c>
      <c r="H2131" s="18">
        <f>MAX(0,G2131-8)</f>
        <v/>
      </c>
    </row>
    <row r="2132">
      <c r="A2132" t="n">
        <v>1214</v>
      </c>
      <c r="B2132" s="14" t="n">
        <v>46260</v>
      </c>
      <c r="C2132" s="17" t="n">
        <v>0.25</v>
      </c>
      <c r="D2132" s="17" t="n">
        <v>0.5833333333333334</v>
      </c>
      <c r="E2132" t="inlineStr">
        <is>
          <t>Day</t>
        </is>
      </c>
      <c r="F2132" t="inlineStr">
        <is>
          <t>Aug</t>
        </is>
      </c>
      <c r="G2132" s="18">
        <f>IF(D2132&lt;C2132,D2132+1-C2132,D2132-C2132)*24</f>
        <v/>
      </c>
      <c r="H2132" s="18">
        <f>MAX(0,G2132-8)</f>
        <v/>
      </c>
    </row>
    <row r="2133">
      <c r="A2133" t="n">
        <v>1215</v>
      </c>
      <c r="B2133" s="14" t="n">
        <v>46260</v>
      </c>
      <c r="C2133" s="17" t="n">
        <v>0.2708333333333333</v>
      </c>
      <c r="D2133" s="17" t="n">
        <v>0.6041666666666666</v>
      </c>
      <c r="E2133" t="inlineStr">
        <is>
          <t>Day</t>
        </is>
      </c>
      <c r="F2133" t="inlineStr">
        <is>
          <t>Aug</t>
        </is>
      </c>
      <c r="G2133" s="18">
        <f>IF(D2133&lt;C2133,D2133+1-C2133,D2133-C2133)*24</f>
        <v/>
      </c>
      <c r="H2133" s="18">
        <f>MAX(0,G2133-8)</f>
        <v/>
      </c>
    </row>
    <row r="2134">
      <c r="A2134" t="n">
        <v>1216</v>
      </c>
      <c r="B2134" s="14" t="n">
        <v>46260</v>
      </c>
      <c r="C2134" s="17" t="n">
        <v>0.25</v>
      </c>
      <c r="D2134" s="17" t="n">
        <v>0.6666666666666666</v>
      </c>
      <c r="E2134" t="inlineStr">
        <is>
          <t>Day</t>
        </is>
      </c>
      <c r="F2134" t="inlineStr">
        <is>
          <t>Aug</t>
        </is>
      </c>
      <c r="G2134" s="18">
        <f>IF(D2134&lt;C2134,D2134+1-C2134,D2134-C2134)*24</f>
        <v/>
      </c>
      <c r="H2134" s="18">
        <f>MAX(0,G2134-8)</f>
        <v/>
      </c>
    </row>
    <row r="2135">
      <c r="A2135" t="n">
        <v>1218</v>
      </c>
      <c r="B2135" s="14" t="n">
        <v>46260</v>
      </c>
      <c r="C2135" s="17" t="n">
        <v>0.25</v>
      </c>
      <c r="D2135" s="17" t="n">
        <v>0.625</v>
      </c>
      <c r="E2135" t="inlineStr">
        <is>
          <t>Day</t>
        </is>
      </c>
      <c r="F2135" t="inlineStr">
        <is>
          <t>Aug</t>
        </is>
      </c>
      <c r="G2135" s="18">
        <f>IF(D2135&lt;C2135,D2135+1-C2135,D2135-C2135)*24</f>
        <v/>
      </c>
      <c r="H2135" s="18">
        <f>MAX(0,G2135-8)</f>
        <v/>
      </c>
    </row>
    <row r="2136">
      <c r="A2136" t="n">
        <v>1219</v>
      </c>
      <c r="B2136" s="14" t="n">
        <v>46260</v>
      </c>
      <c r="C2136" s="17" t="n">
        <v>0.2708333333333333</v>
      </c>
      <c r="D2136" s="17" t="n">
        <v>0.6458333333333334</v>
      </c>
      <c r="E2136" t="inlineStr">
        <is>
          <t>Day</t>
        </is>
      </c>
      <c r="F2136" t="inlineStr">
        <is>
          <t>Aug</t>
        </is>
      </c>
      <c r="G2136" s="18">
        <f>IF(D2136&lt;C2136,D2136+1-C2136,D2136-C2136)*24</f>
        <v/>
      </c>
      <c r="H2136" s="18">
        <f>MAX(0,G2136-8)</f>
        <v/>
      </c>
    </row>
    <row r="2137">
      <c r="A2137" t="n">
        <v>1220</v>
      </c>
      <c r="B2137" s="14" t="n">
        <v>46260</v>
      </c>
      <c r="C2137" s="17" t="n">
        <v>0.25</v>
      </c>
      <c r="D2137" s="17" t="n">
        <v>0.6041666666666666</v>
      </c>
      <c r="E2137" t="inlineStr">
        <is>
          <t>Day</t>
        </is>
      </c>
      <c r="F2137" t="inlineStr">
        <is>
          <t>Aug</t>
        </is>
      </c>
      <c r="G2137" s="18">
        <f>IF(D2137&lt;C2137,D2137+1-C2137,D2137-C2137)*24</f>
        <v/>
      </c>
      <c r="H2137" s="18">
        <f>MAX(0,G2137-8)</f>
        <v/>
      </c>
    </row>
    <row r="2138">
      <c r="A2138" t="n">
        <v>1101</v>
      </c>
      <c r="B2138" s="14" t="n">
        <v>46261</v>
      </c>
      <c r="C2138" s="17" t="n">
        <v>0.9166666666666666</v>
      </c>
      <c r="D2138" s="17" t="n">
        <v>0.2708333333333333</v>
      </c>
      <c r="E2138" t="inlineStr">
        <is>
          <t>Night</t>
        </is>
      </c>
      <c r="F2138" t="inlineStr">
        <is>
          <t>Aug</t>
        </is>
      </c>
      <c r="G2138" s="18">
        <f>IF(D2138&lt;C2138,D2138+1-C2138,D2138-C2138)*24</f>
        <v/>
      </c>
      <c r="H2138" s="18">
        <f>MAX(0,G2138-8)</f>
        <v/>
      </c>
    </row>
    <row r="2139">
      <c r="A2139" t="n">
        <v>1102</v>
      </c>
      <c r="B2139" s="14" t="n">
        <v>46261</v>
      </c>
      <c r="C2139" s="17" t="n">
        <v>0.9166666666666666</v>
      </c>
      <c r="D2139" s="17" t="n">
        <v>0.2916666666666667</v>
      </c>
      <c r="E2139" t="inlineStr">
        <is>
          <t>Night</t>
        </is>
      </c>
      <c r="F2139" t="inlineStr">
        <is>
          <t>Aug</t>
        </is>
      </c>
      <c r="G2139" s="18">
        <f>IF(D2139&lt;C2139,D2139+1-C2139,D2139-C2139)*24</f>
        <v/>
      </c>
      <c r="H2139" s="18">
        <f>MAX(0,G2139-8)</f>
        <v/>
      </c>
    </row>
    <row r="2140">
      <c r="A2140" t="n">
        <v>1103</v>
      </c>
      <c r="B2140" s="14" t="n">
        <v>46261</v>
      </c>
      <c r="C2140" s="17" t="n">
        <v>0.9166666666666666</v>
      </c>
      <c r="D2140" s="17" t="n">
        <v>0.25</v>
      </c>
      <c r="E2140" t="inlineStr">
        <is>
          <t>Night</t>
        </is>
      </c>
      <c r="F2140" t="inlineStr">
        <is>
          <t>Aug</t>
        </is>
      </c>
      <c r="G2140" s="18">
        <f>IF(D2140&lt;C2140,D2140+1-C2140,D2140-C2140)*24</f>
        <v/>
      </c>
      <c r="H2140" s="18">
        <f>MAX(0,G2140-8)</f>
        <v/>
      </c>
    </row>
    <row r="2141">
      <c r="A2141" t="n">
        <v>1104</v>
      </c>
      <c r="B2141" s="14" t="n">
        <v>46261</v>
      </c>
      <c r="C2141" s="17" t="n">
        <v>0.9270833333333334</v>
      </c>
      <c r="D2141" s="17" t="n">
        <v>0.2604166666666667</v>
      </c>
      <c r="E2141" t="inlineStr">
        <is>
          <t>Night</t>
        </is>
      </c>
      <c r="F2141" t="inlineStr">
        <is>
          <t>Aug</t>
        </is>
      </c>
      <c r="G2141" s="18">
        <f>IF(D2141&lt;C2141,D2141+1-C2141,D2141-C2141)*24</f>
        <v/>
      </c>
      <c r="H2141" s="18">
        <f>MAX(0,G2141-8)</f>
        <v/>
      </c>
    </row>
    <row r="2142">
      <c r="A2142" t="n">
        <v>1106</v>
      </c>
      <c r="B2142" s="14" t="n">
        <v>46261</v>
      </c>
      <c r="C2142" s="17" t="n">
        <v>0.9166666666666666</v>
      </c>
      <c r="D2142" s="17" t="n">
        <v>0.3541666666666667</v>
      </c>
      <c r="E2142" t="inlineStr">
        <is>
          <t>Night</t>
        </is>
      </c>
      <c r="F2142" t="inlineStr">
        <is>
          <t>Aug</t>
        </is>
      </c>
      <c r="G2142" s="18">
        <f>IF(D2142&lt;C2142,D2142+1-C2142,D2142-C2142)*24</f>
        <v/>
      </c>
      <c r="H2142" s="18">
        <f>MAX(0,G2142-8)</f>
        <v/>
      </c>
    </row>
    <row r="2143">
      <c r="A2143" t="n">
        <v>1108</v>
      </c>
      <c r="B2143" s="14" t="n">
        <v>46261</v>
      </c>
      <c r="C2143" s="17" t="n">
        <v>0.9270833333333334</v>
      </c>
      <c r="D2143" s="17" t="n">
        <v>0.3229166666666667</v>
      </c>
      <c r="E2143" t="inlineStr">
        <is>
          <t>Night</t>
        </is>
      </c>
      <c r="F2143" t="inlineStr">
        <is>
          <t>Aug</t>
        </is>
      </c>
      <c r="G2143" s="18">
        <f>IF(D2143&lt;C2143,D2143+1-C2143,D2143-C2143)*24</f>
        <v/>
      </c>
      <c r="H2143" s="18">
        <f>MAX(0,G2143-8)</f>
        <v/>
      </c>
    </row>
    <row r="2144">
      <c r="A2144" t="n">
        <v>1109</v>
      </c>
      <c r="B2144" s="14" t="n">
        <v>46261</v>
      </c>
      <c r="C2144" s="17" t="n">
        <v>0.9166666666666666</v>
      </c>
      <c r="D2144" s="17" t="n">
        <v>0.3333333333333333</v>
      </c>
      <c r="E2144" t="inlineStr">
        <is>
          <t>Night</t>
        </is>
      </c>
      <c r="F2144" t="inlineStr">
        <is>
          <t>Aug</t>
        </is>
      </c>
      <c r="G2144" s="18">
        <f>IF(D2144&lt;C2144,D2144+1-C2144,D2144-C2144)*24</f>
        <v/>
      </c>
      <c r="H2144" s="18">
        <f>MAX(0,G2144-8)</f>
        <v/>
      </c>
    </row>
    <row r="2145">
      <c r="A2145" t="n">
        <v>1110</v>
      </c>
      <c r="B2145" s="14" t="n">
        <v>46261</v>
      </c>
      <c r="C2145" s="17" t="n">
        <v>0.9166666666666666</v>
      </c>
      <c r="D2145" s="17" t="n">
        <v>0.3333333333333333</v>
      </c>
      <c r="E2145" t="inlineStr">
        <is>
          <t>Night</t>
        </is>
      </c>
      <c r="F2145" t="inlineStr">
        <is>
          <t>Aug</t>
        </is>
      </c>
      <c r="G2145" s="18">
        <f>IF(D2145&lt;C2145,D2145+1-C2145,D2145-C2145)*24</f>
        <v/>
      </c>
      <c r="H2145" s="18">
        <f>MAX(0,G2145-8)</f>
        <v/>
      </c>
    </row>
    <row r="2146">
      <c r="A2146" t="n">
        <v>1111</v>
      </c>
      <c r="B2146" s="14" t="n">
        <v>46261</v>
      </c>
      <c r="C2146" s="17" t="n">
        <v>0.9166666666666666</v>
      </c>
      <c r="D2146" s="17" t="n">
        <v>0.375</v>
      </c>
      <c r="E2146" t="inlineStr">
        <is>
          <t>Night</t>
        </is>
      </c>
      <c r="F2146" t="inlineStr">
        <is>
          <t>Aug</t>
        </is>
      </c>
      <c r="G2146" s="18">
        <f>IF(D2146&lt;C2146,D2146+1-C2146,D2146-C2146)*24</f>
        <v/>
      </c>
      <c r="H2146" s="18">
        <f>MAX(0,G2146-8)</f>
        <v/>
      </c>
    </row>
    <row r="2147">
      <c r="A2147" t="n">
        <v>1112</v>
      </c>
      <c r="B2147" s="14" t="n">
        <v>46261</v>
      </c>
      <c r="C2147" s="17" t="n">
        <v>0.9166666666666666</v>
      </c>
      <c r="D2147" s="17" t="n">
        <v>0.3541666666666667</v>
      </c>
      <c r="E2147" t="inlineStr">
        <is>
          <t>Night</t>
        </is>
      </c>
      <c r="F2147" t="inlineStr">
        <is>
          <t>Aug</t>
        </is>
      </c>
      <c r="G2147" s="18">
        <f>IF(D2147&lt;C2147,D2147+1-C2147,D2147-C2147)*24</f>
        <v/>
      </c>
      <c r="H2147" s="18">
        <f>MAX(0,G2147-8)</f>
        <v/>
      </c>
    </row>
    <row r="2148">
      <c r="A2148" t="n">
        <v>1114</v>
      </c>
      <c r="B2148" s="14" t="n">
        <v>46261</v>
      </c>
      <c r="C2148" s="17" t="n">
        <v>0.9270833333333334</v>
      </c>
      <c r="D2148" s="17" t="n">
        <v>0.2604166666666667</v>
      </c>
      <c r="E2148" t="inlineStr">
        <is>
          <t>Night</t>
        </is>
      </c>
      <c r="F2148" t="inlineStr">
        <is>
          <t>Aug</t>
        </is>
      </c>
      <c r="G2148" s="18">
        <f>IF(D2148&lt;C2148,D2148+1-C2148,D2148-C2148)*24</f>
        <v/>
      </c>
      <c r="H2148" s="18">
        <f>MAX(0,G2148-8)</f>
        <v/>
      </c>
    </row>
    <row r="2149">
      <c r="A2149" t="n">
        <v>1115</v>
      </c>
      <c r="B2149" s="14" t="n">
        <v>46261</v>
      </c>
      <c r="C2149" s="17" t="n">
        <v>0.9375</v>
      </c>
      <c r="D2149" s="17" t="n">
        <v>0.3541666666666667</v>
      </c>
      <c r="E2149" t="inlineStr">
        <is>
          <t>Night</t>
        </is>
      </c>
      <c r="F2149" t="inlineStr">
        <is>
          <t>Aug</t>
        </is>
      </c>
      <c r="G2149" s="18">
        <f>IF(D2149&lt;C2149,D2149+1-C2149,D2149-C2149)*24</f>
        <v/>
      </c>
      <c r="H2149" s="18">
        <f>MAX(0,G2149-8)</f>
        <v/>
      </c>
    </row>
    <row r="2150">
      <c r="A2150" t="n">
        <v>1116</v>
      </c>
      <c r="B2150" s="14" t="n">
        <v>46261</v>
      </c>
      <c r="C2150" s="17" t="n">
        <v>0.9166666666666666</v>
      </c>
      <c r="D2150" s="17" t="n">
        <v>0.25</v>
      </c>
      <c r="E2150" t="inlineStr">
        <is>
          <t>Night</t>
        </is>
      </c>
      <c r="F2150" t="inlineStr">
        <is>
          <t>Aug</t>
        </is>
      </c>
      <c r="G2150" s="18">
        <f>IF(D2150&lt;C2150,D2150+1-C2150,D2150-C2150)*24</f>
        <v/>
      </c>
      <c r="H2150" s="18">
        <f>MAX(0,G2150-8)</f>
        <v/>
      </c>
    </row>
    <row r="2151">
      <c r="A2151" t="n">
        <v>1117</v>
      </c>
      <c r="B2151" s="14" t="n">
        <v>46261</v>
      </c>
      <c r="C2151" s="17" t="n">
        <v>0.9166666666666666</v>
      </c>
      <c r="D2151" s="17" t="n">
        <v>0.3958333333333333</v>
      </c>
      <c r="E2151" t="inlineStr">
        <is>
          <t>Night</t>
        </is>
      </c>
      <c r="F2151" t="inlineStr">
        <is>
          <t>Aug</t>
        </is>
      </c>
      <c r="G2151" s="18">
        <f>IF(D2151&lt;C2151,D2151+1-C2151,D2151-C2151)*24</f>
        <v/>
      </c>
      <c r="H2151" s="18">
        <f>MAX(0,G2151-8)</f>
        <v/>
      </c>
    </row>
    <row r="2152">
      <c r="A2152" t="n">
        <v>1118</v>
      </c>
      <c r="B2152" s="14" t="n">
        <v>46261</v>
      </c>
      <c r="C2152" s="17" t="n">
        <v>0.9270833333333334</v>
      </c>
      <c r="D2152" s="17" t="n">
        <v>0.3020833333333333</v>
      </c>
      <c r="E2152" t="inlineStr">
        <is>
          <t>Night</t>
        </is>
      </c>
      <c r="F2152" t="inlineStr">
        <is>
          <t>Aug</t>
        </is>
      </c>
      <c r="G2152" s="18">
        <f>IF(D2152&lt;C2152,D2152+1-C2152,D2152-C2152)*24</f>
        <v/>
      </c>
      <c r="H2152" s="18">
        <f>MAX(0,G2152-8)</f>
        <v/>
      </c>
    </row>
    <row r="2153">
      <c r="A2153" t="n">
        <v>1119</v>
      </c>
      <c r="B2153" s="14" t="n">
        <v>46261</v>
      </c>
      <c r="C2153" s="17" t="n">
        <v>0.9375</v>
      </c>
      <c r="D2153" s="17" t="n">
        <v>0.375</v>
      </c>
      <c r="E2153" t="inlineStr">
        <is>
          <t>Night</t>
        </is>
      </c>
      <c r="F2153" t="inlineStr">
        <is>
          <t>Aug</t>
        </is>
      </c>
      <c r="G2153" s="18">
        <f>IF(D2153&lt;C2153,D2153+1-C2153,D2153-C2153)*24</f>
        <v/>
      </c>
      <c r="H2153" s="18">
        <f>MAX(0,G2153-8)</f>
        <v/>
      </c>
    </row>
    <row r="2154">
      <c r="A2154" t="n">
        <v>1120</v>
      </c>
      <c r="B2154" s="14" t="n">
        <v>46261</v>
      </c>
      <c r="C2154" s="17" t="n">
        <v>0.9166666666666666</v>
      </c>
      <c r="D2154" s="17" t="n">
        <v>0.2708333333333333</v>
      </c>
      <c r="E2154" t="inlineStr">
        <is>
          <t>Night</t>
        </is>
      </c>
      <c r="F2154" t="inlineStr">
        <is>
          <t>Aug</t>
        </is>
      </c>
      <c r="G2154" s="18">
        <f>IF(D2154&lt;C2154,D2154+1-C2154,D2154-C2154)*24</f>
        <v/>
      </c>
      <c r="H2154" s="18">
        <f>MAX(0,G2154-8)</f>
        <v/>
      </c>
    </row>
    <row r="2155">
      <c r="A2155" t="n">
        <v>1121</v>
      </c>
      <c r="B2155" s="14" t="n">
        <v>46261</v>
      </c>
      <c r="C2155" s="17" t="n">
        <v>0.9270833333333334</v>
      </c>
      <c r="D2155" s="17" t="n">
        <v>0.3020833333333333</v>
      </c>
      <c r="E2155" t="inlineStr">
        <is>
          <t>Night</t>
        </is>
      </c>
      <c r="F2155" t="inlineStr">
        <is>
          <t>Aug</t>
        </is>
      </c>
      <c r="G2155" s="18">
        <f>IF(D2155&lt;C2155,D2155+1-C2155,D2155-C2155)*24</f>
        <v/>
      </c>
      <c r="H2155" s="18">
        <f>MAX(0,G2155-8)</f>
        <v/>
      </c>
    </row>
    <row r="2156">
      <c r="A2156" t="n">
        <v>1122</v>
      </c>
      <c r="B2156" s="14" t="n">
        <v>46261</v>
      </c>
      <c r="C2156" s="17" t="n">
        <v>0.9270833333333334</v>
      </c>
      <c r="D2156" s="17" t="n">
        <v>0.3020833333333333</v>
      </c>
      <c r="E2156" t="inlineStr">
        <is>
          <t>Night</t>
        </is>
      </c>
      <c r="F2156" t="inlineStr">
        <is>
          <t>Aug</t>
        </is>
      </c>
      <c r="G2156" s="18">
        <f>IF(D2156&lt;C2156,D2156+1-C2156,D2156-C2156)*24</f>
        <v/>
      </c>
      <c r="H2156" s="18">
        <f>MAX(0,G2156-8)</f>
        <v/>
      </c>
    </row>
    <row r="2157">
      <c r="A2157" t="n">
        <v>1123</v>
      </c>
      <c r="B2157" s="14" t="n">
        <v>46261</v>
      </c>
      <c r="C2157" s="17" t="n">
        <v>0.9166666666666666</v>
      </c>
      <c r="D2157" s="17" t="n">
        <v>0.2916666666666667</v>
      </c>
      <c r="E2157" t="inlineStr">
        <is>
          <t>Night</t>
        </is>
      </c>
      <c r="F2157" t="inlineStr">
        <is>
          <t>Aug</t>
        </is>
      </c>
      <c r="G2157" s="18">
        <f>IF(D2157&lt;C2157,D2157+1-C2157,D2157-C2157)*24</f>
        <v/>
      </c>
      <c r="H2157" s="18">
        <f>MAX(0,G2157-8)</f>
        <v/>
      </c>
    </row>
    <row r="2158">
      <c r="A2158" t="n">
        <v>1124</v>
      </c>
      <c r="B2158" s="14" t="n">
        <v>46261</v>
      </c>
      <c r="C2158" s="17" t="n">
        <v>0.9166666666666666</v>
      </c>
      <c r="D2158" s="17" t="n">
        <v>0.375</v>
      </c>
      <c r="E2158" t="inlineStr">
        <is>
          <t>Night</t>
        </is>
      </c>
      <c r="F2158" t="inlineStr">
        <is>
          <t>Aug</t>
        </is>
      </c>
      <c r="G2158" s="18">
        <f>IF(D2158&lt;C2158,D2158+1-C2158,D2158-C2158)*24</f>
        <v/>
      </c>
      <c r="H2158" s="18">
        <f>MAX(0,G2158-8)</f>
        <v/>
      </c>
    </row>
    <row r="2159">
      <c r="A2159" t="n">
        <v>1125</v>
      </c>
      <c r="B2159" s="14" t="n">
        <v>46261</v>
      </c>
      <c r="C2159" s="17" t="n">
        <v>0.9166666666666666</v>
      </c>
      <c r="D2159" s="17" t="n">
        <v>0.3958333333333333</v>
      </c>
      <c r="E2159" t="inlineStr">
        <is>
          <t>Night</t>
        </is>
      </c>
      <c r="F2159" t="inlineStr">
        <is>
          <t>Aug</t>
        </is>
      </c>
      <c r="G2159" s="18">
        <f>IF(D2159&lt;C2159,D2159+1-C2159,D2159-C2159)*24</f>
        <v/>
      </c>
      <c r="H2159" s="18">
        <f>MAX(0,G2159-8)</f>
        <v/>
      </c>
    </row>
    <row r="2160">
      <c r="A2160" t="n">
        <v>1126</v>
      </c>
      <c r="B2160" s="14" t="n">
        <v>46261</v>
      </c>
      <c r="C2160" s="17" t="n">
        <v>0.9166666666666666</v>
      </c>
      <c r="D2160" s="17" t="n">
        <v>0.2916666666666667</v>
      </c>
      <c r="E2160" t="inlineStr">
        <is>
          <t>Night</t>
        </is>
      </c>
      <c r="F2160" t="inlineStr">
        <is>
          <t>Aug</t>
        </is>
      </c>
      <c r="G2160" s="18">
        <f>IF(D2160&lt;C2160,D2160+1-C2160,D2160-C2160)*24</f>
        <v/>
      </c>
      <c r="H2160" s="18">
        <f>MAX(0,G2160-8)</f>
        <v/>
      </c>
    </row>
    <row r="2161">
      <c r="A2161" t="n">
        <v>1128</v>
      </c>
      <c r="B2161" s="14" t="n">
        <v>46261</v>
      </c>
      <c r="C2161" s="17" t="n">
        <v>0.9166666666666666</v>
      </c>
      <c r="D2161" s="17" t="n">
        <v>0.3125</v>
      </c>
      <c r="E2161" t="inlineStr">
        <is>
          <t>Night</t>
        </is>
      </c>
      <c r="F2161" t="inlineStr">
        <is>
          <t>Aug</t>
        </is>
      </c>
      <c r="G2161" s="18">
        <f>IF(D2161&lt;C2161,D2161+1-C2161,D2161-C2161)*24</f>
        <v/>
      </c>
      <c r="H2161" s="18">
        <f>MAX(0,G2161-8)</f>
        <v/>
      </c>
    </row>
    <row r="2162">
      <c r="A2162" t="n">
        <v>1130</v>
      </c>
      <c r="B2162" s="14" t="n">
        <v>46261</v>
      </c>
      <c r="C2162" s="17" t="n">
        <v>0.9166666666666666</v>
      </c>
      <c r="D2162" s="17" t="n">
        <v>0.375</v>
      </c>
      <c r="E2162" t="inlineStr">
        <is>
          <t>Night</t>
        </is>
      </c>
      <c r="F2162" t="inlineStr">
        <is>
          <t>Aug</t>
        </is>
      </c>
      <c r="G2162" s="18">
        <f>IF(D2162&lt;C2162,D2162+1-C2162,D2162-C2162)*24</f>
        <v/>
      </c>
      <c r="H2162" s="18">
        <f>MAX(0,G2162-8)</f>
        <v/>
      </c>
    </row>
    <row r="2163">
      <c r="A2163" t="n">
        <v>1132</v>
      </c>
      <c r="B2163" s="14" t="n">
        <v>46261</v>
      </c>
      <c r="C2163" s="17" t="n">
        <v>0.9166666666666666</v>
      </c>
      <c r="D2163" s="17" t="n">
        <v>0.3541666666666667</v>
      </c>
      <c r="E2163" t="inlineStr">
        <is>
          <t>Night</t>
        </is>
      </c>
      <c r="F2163" t="inlineStr">
        <is>
          <t>Aug</t>
        </is>
      </c>
      <c r="G2163" s="18">
        <f>IF(D2163&lt;C2163,D2163+1-C2163,D2163-C2163)*24</f>
        <v/>
      </c>
      <c r="H2163" s="18">
        <f>MAX(0,G2163-8)</f>
        <v/>
      </c>
    </row>
    <row r="2164">
      <c r="A2164" t="n">
        <v>1133</v>
      </c>
      <c r="B2164" s="14" t="n">
        <v>46261</v>
      </c>
      <c r="C2164" s="17" t="n">
        <v>0.9375</v>
      </c>
      <c r="D2164" s="17" t="n">
        <v>0.3541666666666667</v>
      </c>
      <c r="E2164" t="inlineStr">
        <is>
          <t>Night</t>
        </is>
      </c>
      <c r="F2164" t="inlineStr">
        <is>
          <t>Aug</t>
        </is>
      </c>
      <c r="G2164" s="18">
        <f>IF(D2164&lt;C2164,D2164+1-C2164,D2164-C2164)*24</f>
        <v/>
      </c>
      <c r="H2164" s="18">
        <f>MAX(0,G2164-8)</f>
        <v/>
      </c>
    </row>
    <row r="2165">
      <c r="A2165" t="n">
        <v>1135</v>
      </c>
      <c r="B2165" s="14" t="n">
        <v>46261</v>
      </c>
      <c r="C2165" s="17" t="n">
        <v>0.9166666666666666</v>
      </c>
      <c r="D2165" s="17" t="n">
        <v>0.25</v>
      </c>
      <c r="E2165" t="inlineStr">
        <is>
          <t>Night</t>
        </is>
      </c>
      <c r="F2165" t="inlineStr">
        <is>
          <t>Aug</t>
        </is>
      </c>
      <c r="G2165" s="18">
        <f>IF(D2165&lt;C2165,D2165+1-C2165,D2165-C2165)*24</f>
        <v/>
      </c>
      <c r="H2165" s="18">
        <f>MAX(0,G2165-8)</f>
        <v/>
      </c>
    </row>
    <row r="2166">
      <c r="A2166" t="n">
        <v>1136</v>
      </c>
      <c r="B2166" s="14" t="n">
        <v>46261</v>
      </c>
      <c r="C2166" s="17" t="n">
        <v>0.9166666666666666</v>
      </c>
      <c r="D2166" s="17" t="n">
        <v>0.2708333333333333</v>
      </c>
      <c r="E2166" t="inlineStr">
        <is>
          <t>Night</t>
        </is>
      </c>
      <c r="F2166" t="inlineStr">
        <is>
          <t>Aug</t>
        </is>
      </c>
      <c r="G2166" s="18">
        <f>IF(D2166&lt;C2166,D2166+1-C2166,D2166-C2166)*24</f>
        <v/>
      </c>
      <c r="H2166" s="18">
        <f>MAX(0,G2166-8)</f>
        <v/>
      </c>
    </row>
    <row r="2167">
      <c r="A2167" t="n">
        <v>1137</v>
      </c>
      <c r="B2167" s="14" t="n">
        <v>46261</v>
      </c>
      <c r="C2167" s="17" t="n">
        <v>0.9166666666666666</v>
      </c>
      <c r="D2167" s="17" t="n">
        <v>0.3125</v>
      </c>
      <c r="E2167" t="inlineStr">
        <is>
          <t>Night</t>
        </is>
      </c>
      <c r="F2167" t="inlineStr">
        <is>
          <t>Aug</t>
        </is>
      </c>
      <c r="G2167" s="18">
        <f>IF(D2167&lt;C2167,D2167+1-C2167,D2167-C2167)*24</f>
        <v/>
      </c>
      <c r="H2167" s="18">
        <f>MAX(0,G2167-8)</f>
        <v/>
      </c>
    </row>
    <row r="2168">
      <c r="A2168" t="n">
        <v>1113</v>
      </c>
      <c r="B2168" s="14" t="n">
        <v>46261</v>
      </c>
      <c r="C2168" s="17" t="n">
        <v>0.02083333333333333</v>
      </c>
      <c r="D2168" s="17" t="n">
        <v>0.3958333333333333</v>
      </c>
      <c r="E2168" t="inlineStr">
        <is>
          <t>Night</t>
        </is>
      </c>
      <c r="F2168" t="inlineStr">
        <is>
          <t>Aug</t>
        </is>
      </c>
      <c r="G2168" s="18">
        <f>IF(D2168&lt;C2168,D2168+1-C2168,D2168-C2168)*24</f>
        <v/>
      </c>
      <c r="H2168" s="18">
        <f>MAX(0,G2168-8)</f>
        <v/>
      </c>
    </row>
    <row r="2169">
      <c r="A2169" t="n">
        <v>1127</v>
      </c>
      <c r="B2169" s="14" t="n">
        <v>46261</v>
      </c>
      <c r="C2169" s="17" t="n">
        <v>0.01041666666666667</v>
      </c>
      <c r="D2169" s="17" t="n">
        <v>0.3645833333333333</v>
      </c>
      <c r="E2169" t="inlineStr">
        <is>
          <t>Night</t>
        </is>
      </c>
      <c r="F2169" t="inlineStr">
        <is>
          <t>Aug</t>
        </is>
      </c>
      <c r="G2169" s="18">
        <f>IF(D2169&lt;C2169,D2169+1-C2169,D2169-C2169)*24</f>
        <v/>
      </c>
      <c r="H2169" s="18">
        <f>MAX(0,G2169-8)</f>
        <v/>
      </c>
    </row>
    <row r="2170">
      <c r="A2170" t="n">
        <v>1147</v>
      </c>
      <c r="B2170" s="14" t="n">
        <v>46261</v>
      </c>
      <c r="C2170" s="17" t="n">
        <v>0.01041666666666667</v>
      </c>
      <c r="D2170" s="17" t="n">
        <v>0.3854166666666667</v>
      </c>
      <c r="E2170" t="inlineStr">
        <is>
          <t>Night</t>
        </is>
      </c>
      <c r="F2170" t="inlineStr">
        <is>
          <t>Aug</t>
        </is>
      </c>
      <c r="G2170" s="18">
        <f>IF(D2170&lt;C2170,D2170+1-C2170,D2170-C2170)*24</f>
        <v/>
      </c>
      <c r="H2170" s="18">
        <f>MAX(0,G2170-8)</f>
        <v/>
      </c>
    </row>
    <row r="2171">
      <c r="A2171" t="n">
        <v>1201</v>
      </c>
      <c r="B2171" s="14" t="n">
        <v>46261</v>
      </c>
      <c r="C2171" s="17" t="n">
        <v>0.2708333333333333</v>
      </c>
      <c r="D2171" s="17" t="n">
        <v>0.625</v>
      </c>
      <c r="E2171" t="inlineStr">
        <is>
          <t>Day</t>
        </is>
      </c>
      <c r="F2171" t="inlineStr">
        <is>
          <t>Aug</t>
        </is>
      </c>
      <c r="G2171" s="18">
        <f>IF(D2171&lt;C2171,D2171+1-C2171,D2171-C2171)*24</f>
        <v/>
      </c>
      <c r="H2171" s="18">
        <f>MAX(0,G2171-8)</f>
        <v/>
      </c>
    </row>
    <row r="2172">
      <c r="A2172" t="n">
        <v>1202</v>
      </c>
      <c r="B2172" s="14" t="n">
        <v>46261</v>
      </c>
      <c r="C2172" s="17" t="n">
        <v>0.25</v>
      </c>
      <c r="D2172" s="17" t="n">
        <v>0.5833333333333334</v>
      </c>
      <c r="E2172" t="inlineStr">
        <is>
          <t>Day</t>
        </is>
      </c>
      <c r="F2172" t="inlineStr">
        <is>
          <t>Aug</t>
        </is>
      </c>
      <c r="G2172" s="18">
        <f>IF(D2172&lt;C2172,D2172+1-C2172,D2172-C2172)*24</f>
        <v/>
      </c>
      <c r="H2172" s="18">
        <f>MAX(0,G2172-8)</f>
        <v/>
      </c>
    </row>
    <row r="2173">
      <c r="A2173" t="n">
        <v>1203</v>
      </c>
      <c r="B2173" s="14" t="n">
        <v>46261</v>
      </c>
      <c r="C2173" s="17" t="n">
        <v>0.2708333333333333</v>
      </c>
      <c r="D2173" s="17" t="n">
        <v>0.6875</v>
      </c>
      <c r="E2173" t="inlineStr">
        <is>
          <t>Day</t>
        </is>
      </c>
      <c r="F2173" t="inlineStr">
        <is>
          <t>Aug</t>
        </is>
      </c>
      <c r="G2173" s="18">
        <f>IF(D2173&lt;C2173,D2173+1-C2173,D2173-C2173)*24</f>
        <v/>
      </c>
      <c r="H2173" s="18">
        <f>MAX(0,G2173-8)</f>
        <v/>
      </c>
    </row>
    <row r="2174">
      <c r="A2174" t="n">
        <v>1204</v>
      </c>
      <c r="B2174" s="14" t="n">
        <v>46261</v>
      </c>
      <c r="C2174" s="17" t="n">
        <v>0.25</v>
      </c>
      <c r="D2174" s="17" t="n">
        <v>0.6666666666666666</v>
      </c>
      <c r="E2174" t="inlineStr">
        <is>
          <t>Day</t>
        </is>
      </c>
      <c r="F2174" t="inlineStr">
        <is>
          <t>Aug</t>
        </is>
      </c>
      <c r="G2174" s="18">
        <f>IF(D2174&lt;C2174,D2174+1-C2174,D2174-C2174)*24</f>
        <v/>
      </c>
      <c r="H2174" s="18">
        <f>MAX(0,G2174-8)</f>
        <v/>
      </c>
    </row>
    <row r="2175">
      <c r="A2175" t="n">
        <v>1205</v>
      </c>
      <c r="B2175" s="14" t="n">
        <v>46261</v>
      </c>
      <c r="C2175" s="17" t="n">
        <v>0.2708333333333333</v>
      </c>
      <c r="D2175" s="17" t="n">
        <v>0.6458333333333334</v>
      </c>
      <c r="E2175" t="inlineStr">
        <is>
          <t>Day</t>
        </is>
      </c>
      <c r="F2175" t="inlineStr">
        <is>
          <t>Aug</t>
        </is>
      </c>
      <c r="G2175" s="18">
        <f>IF(D2175&lt;C2175,D2175+1-C2175,D2175-C2175)*24</f>
        <v/>
      </c>
      <c r="H2175" s="18">
        <f>MAX(0,G2175-8)</f>
        <v/>
      </c>
    </row>
    <row r="2176">
      <c r="A2176" t="n">
        <v>1206</v>
      </c>
      <c r="B2176" s="14" t="n">
        <v>46261</v>
      </c>
      <c r="C2176" s="17" t="n">
        <v>0.25</v>
      </c>
      <c r="D2176" s="17" t="n">
        <v>0.5833333333333334</v>
      </c>
      <c r="E2176" t="inlineStr">
        <is>
          <t>Day</t>
        </is>
      </c>
      <c r="F2176" t="inlineStr">
        <is>
          <t>Aug</t>
        </is>
      </c>
      <c r="G2176" s="18">
        <f>IF(D2176&lt;C2176,D2176+1-C2176,D2176-C2176)*24</f>
        <v/>
      </c>
      <c r="H2176" s="18">
        <f>MAX(0,G2176-8)</f>
        <v/>
      </c>
    </row>
    <row r="2177">
      <c r="A2177" t="n">
        <v>1207</v>
      </c>
      <c r="B2177" s="14" t="n">
        <v>46261</v>
      </c>
      <c r="C2177" s="17" t="n">
        <v>0.2708333333333333</v>
      </c>
      <c r="D2177" s="17" t="n">
        <v>0.625</v>
      </c>
      <c r="E2177" t="inlineStr">
        <is>
          <t>Day</t>
        </is>
      </c>
      <c r="F2177" t="inlineStr">
        <is>
          <t>Aug</t>
        </is>
      </c>
      <c r="G2177" s="18">
        <f>IF(D2177&lt;C2177,D2177+1-C2177,D2177-C2177)*24</f>
        <v/>
      </c>
      <c r="H2177" s="18">
        <f>MAX(0,G2177-8)</f>
        <v/>
      </c>
    </row>
    <row r="2178">
      <c r="A2178" t="n">
        <v>1208</v>
      </c>
      <c r="B2178" s="14" t="n">
        <v>46261</v>
      </c>
      <c r="C2178" s="17" t="n">
        <v>0.25</v>
      </c>
      <c r="D2178" s="17" t="n">
        <v>0.5833333333333334</v>
      </c>
      <c r="E2178" t="inlineStr">
        <is>
          <t>Day</t>
        </is>
      </c>
      <c r="F2178" t="inlineStr">
        <is>
          <t>Aug</t>
        </is>
      </c>
      <c r="G2178" s="18">
        <f>IF(D2178&lt;C2178,D2178+1-C2178,D2178-C2178)*24</f>
        <v/>
      </c>
      <c r="H2178" s="18">
        <f>MAX(0,G2178-8)</f>
        <v/>
      </c>
    </row>
    <row r="2179">
      <c r="A2179" t="n">
        <v>1210</v>
      </c>
      <c r="B2179" s="14" t="n">
        <v>46261</v>
      </c>
      <c r="C2179" s="17" t="n">
        <v>0.2708333333333333</v>
      </c>
      <c r="D2179" s="17" t="n">
        <v>0.6875</v>
      </c>
      <c r="E2179" t="inlineStr">
        <is>
          <t>Day</t>
        </is>
      </c>
      <c r="F2179" t="inlineStr">
        <is>
          <t>Aug</t>
        </is>
      </c>
      <c r="G2179" s="18">
        <f>IF(D2179&lt;C2179,D2179+1-C2179,D2179-C2179)*24</f>
        <v/>
      </c>
      <c r="H2179" s="18">
        <f>MAX(0,G2179-8)</f>
        <v/>
      </c>
    </row>
    <row r="2180">
      <c r="A2180" t="n">
        <v>1211</v>
      </c>
      <c r="B2180" s="14" t="n">
        <v>46261</v>
      </c>
      <c r="C2180" s="17" t="n">
        <v>0.25</v>
      </c>
      <c r="D2180" s="17" t="n">
        <v>0.5833333333333334</v>
      </c>
      <c r="E2180" t="inlineStr">
        <is>
          <t>Day</t>
        </is>
      </c>
      <c r="F2180" t="inlineStr">
        <is>
          <t>Aug</t>
        </is>
      </c>
      <c r="G2180" s="18">
        <f>IF(D2180&lt;C2180,D2180+1-C2180,D2180-C2180)*24</f>
        <v/>
      </c>
      <c r="H2180" s="18">
        <f>MAX(0,G2180-8)</f>
        <v/>
      </c>
    </row>
    <row r="2181">
      <c r="A2181" t="n">
        <v>1212</v>
      </c>
      <c r="B2181" s="14" t="n">
        <v>46261</v>
      </c>
      <c r="C2181" s="17" t="n">
        <v>0.25</v>
      </c>
      <c r="D2181" s="17" t="n">
        <v>0.6666666666666666</v>
      </c>
      <c r="E2181" t="inlineStr">
        <is>
          <t>Day</t>
        </is>
      </c>
      <c r="F2181" t="inlineStr">
        <is>
          <t>Aug</t>
        </is>
      </c>
      <c r="G2181" s="18">
        <f>IF(D2181&lt;C2181,D2181+1-C2181,D2181-C2181)*24</f>
        <v/>
      </c>
      <c r="H2181" s="18">
        <f>MAX(0,G2181-8)</f>
        <v/>
      </c>
    </row>
    <row r="2182">
      <c r="A2182" t="n">
        <v>1213</v>
      </c>
      <c r="B2182" s="14" t="n">
        <v>46261</v>
      </c>
      <c r="C2182" s="17" t="n">
        <v>0.25</v>
      </c>
      <c r="D2182" s="17" t="n">
        <v>0.6041666666666666</v>
      </c>
      <c r="E2182" t="inlineStr">
        <is>
          <t>Day</t>
        </is>
      </c>
      <c r="F2182" t="inlineStr">
        <is>
          <t>Aug</t>
        </is>
      </c>
      <c r="G2182" s="18">
        <f>IF(D2182&lt;C2182,D2182+1-C2182,D2182-C2182)*24</f>
        <v/>
      </c>
      <c r="H2182" s="18">
        <f>MAX(0,G2182-8)</f>
        <v/>
      </c>
    </row>
    <row r="2183">
      <c r="A2183" t="n">
        <v>1214</v>
      </c>
      <c r="B2183" s="14" t="n">
        <v>46261</v>
      </c>
      <c r="C2183" s="17" t="n">
        <v>0.25</v>
      </c>
      <c r="D2183" s="17" t="n">
        <v>0.6041666666666666</v>
      </c>
      <c r="E2183" t="inlineStr">
        <is>
          <t>Day</t>
        </is>
      </c>
      <c r="F2183" t="inlineStr">
        <is>
          <t>Aug</t>
        </is>
      </c>
      <c r="G2183" s="18">
        <f>IF(D2183&lt;C2183,D2183+1-C2183,D2183-C2183)*24</f>
        <v/>
      </c>
      <c r="H2183" s="18">
        <f>MAX(0,G2183-8)</f>
        <v/>
      </c>
    </row>
    <row r="2184">
      <c r="A2184" t="n">
        <v>1215</v>
      </c>
      <c r="B2184" s="14" t="n">
        <v>46261</v>
      </c>
      <c r="C2184" s="17" t="n">
        <v>0.2708333333333333</v>
      </c>
      <c r="D2184" s="17" t="n">
        <v>0.625</v>
      </c>
      <c r="E2184" t="inlineStr">
        <is>
          <t>Day</t>
        </is>
      </c>
      <c r="F2184" t="inlineStr">
        <is>
          <t>Aug</t>
        </is>
      </c>
      <c r="G2184" s="18">
        <f>IF(D2184&lt;C2184,D2184+1-C2184,D2184-C2184)*24</f>
        <v/>
      </c>
      <c r="H2184" s="18">
        <f>MAX(0,G2184-8)</f>
        <v/>
      </c>
    </row>
    <row r="2185">
      <c r="A2185" t="n">
        <v>1216</v>
      </c>
      <c r="B2185" s="14" t="n">
        <v>46261</v>
      </c>
      <c r="C2185" s="17" t="n">
        <v>0.2708333333333333</v>
      </c>
      <c r="D2185" s="17" t="n">
        <v>0.6458333333333334</v>
      </c>
      <c r="E2185" t="inlineStr">
        <is>
          <t>Day</t>
        </is>
      </c>
      <c r="F2185" t="inlineStr">
        <is>
          <t>Aug</t>
        </is>
      </c>
      <c r="G2185" s="18">
        <f>IF(D2185&lt;C2185,D2185+1-C2185,D2185-C2185)*24</f>
        <v/>
      </c>
      <c r="H2185" s="18">
        <f>MAX(0,G2185-8)</f>
        <v/>
      </c>
    </row>
    <row r="2186">
      <c r="A2186" t="n">
        <v>1217</v>
      </c>
      <c r="B2186" s="14" t="n">
        <v>46261</v>
      </c>
      <c r="C2186" s="17" t="n">
        <v>0.25</v>
      </c>
      <c r="D2186" s="17" t="n">
        <v>0.5833333333333334</v>
      </c>
      <c r="E2186" t="inlineStr">
        <is>
          <t>Day</t>
        </is>
      </c>
      <c r="F2186" t="inlineStr">
        <is>
          <t>Aug</t>
        </is>
      </c>
      <c r="G2186" s="18">
        <f>IF(D2186&lt;C2186,D2186+1-C2186,D2186-C2186)*24</f>
        <v/>
      </c>
      <c r="H2186" s="18">
        <f>MAX(0,G2186-8)</f>
        <v/>
      </c>
    </row>
    <row r="2187">
      <c r="A2187" t="n">
        <v>1218</v>
      </c>
      <c r="B2187" s="14" t="n">
        <v>46261</v>
      </c>
      <c r="C2187" s="17" t="n">
        <v>0.25</v>
      </c>
      <c r="D2187" s="17" t="n">
        <v>0.6041666666666666</v>
      </c>
      <c r="E2187" t="inlineStr">
        <is>
          <t>Day</t>
        </is>
      </c>
      <c r="F2187" t="inlineStr">
        <is>
          <t>Aug</t>
        </is>
      </c>
      <c r="G2187" s="18">
        <f>IF(D2187&lt;C2187,D2187+1-C2187,D2187-C2187)*24</f>
        <v/>
      </c>
      <c r="H2187" s="18">
        <f>MAX(0,G2187-8)</f>
        <v/>
      </c>
    </row>
    <row r="2188">
      <c r="A2188" t="n">
        <v>1219</v>
      </c>
      <c r="B2188" s="14" t="n">
        <v>46261</v>
      </c>
      <c r="C2188" s="17" t="n">
        <v>0.25</v>
      </c>
      <c r="D2188" s="17" t="n">
        <v>0.6666666666666666</v>
      </c>
      <c r="E2188" t="inlineStr">
        <is>
          <t>Day</t>
        </is>
      </c>
      <c r="F2188" t="inlineStr">
        <is>
          <t>Aug</t>
        </is>
      </c>
      <c r="G2188" s="18">
        <f>IF(D2188&lt;C2188,D2188+1-C2188,D2188-C2188)*24</f>
        <v/>
      </c>
      <c r="H2188" s="18">
        <f>MAX(0,G2188-8)</f>
        <v/>
      </c>
    </row>
    <row r="2189">
      <c r="A2189" t="n">
        <v>1220</v>
      </c>
      <c r="B2189" s="14" t="n">
        <v>46261</v>
      </c>
      <c r="C2189" s="17" t="n">
        <v>0.25</v>
      </c>
      <c r="D2189" s="17" t="n">
        <v>0.6666666666666666</v>
      </c>
      <c r="E2189" t="inlineStr">
        <is>
          <t>Day</t>
        </is>
      </c>
      <c r="F2189" t="inlineStr">
        <is>
          <t>Aug</t>
        </is>
      </c>
      <c r="G2189" s="18">
        <f>IF(D2189&lt;C2189,D2189+1-C2189,D2189-C2189)*24</f>
        <v/>
      </c>
      <c r="H2189" s="18">
        <f>MAX(0,G2189-8)</f>
        <v/>
      </c>
    </row>
    <row r="2190">
      <c r="A2190" t="n">
        <v>1102</v>
      </c>
      <c r="B2190" s="14" t="n">
        <v>46262</v>
      </c>
      <c r="C2190" s="17" t="n">
        <v>0.9166666666666666</v>
      </c>
      <c r="D2190" s="17" t="n">
        <v>0.3333333333333333</v>
      </c>
      <c r="E2190" t="inlineStr">
        <is>
          <t>Night</t>
        </is>
      </c>
      <c r="F2190" t="inlineStr">
        <is>
          <t>Aug</t>
        </is>
      </c>
      <c r="G2190" s="18">
        <f>IF(D2190&lt;C2190,D2190+1-C2190,D2190-C2190)*24</f>
        <v/>
      </c>
      <c r="H2190" s="18">
        <f>MAX(0,G2190-8)</f>
        <v/>
      </c>
    </row>
    <row r="2191">
      <c r="A2191" t="n">
        <v>1103</v>
      </c>
      <c r="B2191" s="14" t="n">
        <v>46262</v>
      </c>
      <c r="C2191" s="17" t="n">
        <v>0.9166666666666666</v>
      </c>
      <c r="D2191" s="17" t="n">
        <v>0.2916666666666667</v>
      </c>
      <c r="E2191" t="inlineStr">
        <is>
          <t>Night</t>
        </is>
      </c>
      <c r="F2191" t="inlineStr">
        <is>
          <t>Aug</t>
        </is>
      </c>
      <c r="G2191" s="18">
        <f>IF(D2191&lt;C2191,D2191+1-C2191,D2191-C2191)*24</f>
        <v/>
      </c>
      <c r="H2191" s="18">
        <f>MAX(0,G2191-8)</f>
        <v/>
      </c>
    </row>
    <row r="2192">
      <c r="A2192" t="n">
        <v>1104</v>
      </c>
      <c r="B2192" s="14" t="n">
        <v>46262</v>
      </c>
      <c r="C2192" s="17" t="n">
        <v>0.9166666666666666</v>
      </c>
      <c r="D2192" s="17" t="n">
        <v>0.3958333333333333</v>
      </c>
      <c r="E2192" t="inlineStr">
        <is>
          <t>Night</t>
        </is>
      </c>
      <c r="F2192" t="inlineStr">
        <is>
          <t>Aug</t>
        </is>
      </c>
      <c r="G2192" s="18">
        <f>IF(D2192&lt;C2192,D2192+1-C2192,D2192-C2192)*24</f>
        <v/>
      </c>
      <c r="H2192" s="18">
        <f>MAX(0,G2192-8)</f>
        <v/>
      </c>
    </row>
    <row r="2193">
      <c r="A2193" t="n">
        <v>1106</v>
      </c>
      <c r="B2193" s="14" t="n">
        <v>46262</v>
      </c>
      <c r="C2193" s="17" t="n">
        <v>0.9375</v>
      </c>
      <c r="D2193" s="17" t="n">
        <v>0.3125</v>
      </c>
      <c r="E2193" t="inlineStr">
        <is>
          <t>Night</t>
        </is>
      </c>
      <c r="F2193" t="inlineStr">
        <is>
          <t>Aug</t>
        </is>
      </c>
      <c r="G2193" s="18">
        <f>IF(D2193&lt;C2193,D2193+1-C2193,D2193-C2193)*24</f>
        <v/>
      </c>
      <c r="H2193" s="18">
        <f>MAX(0,G2193-8)</f>
        <v/>
      </c>
    </row>
    <row r="2194">
      <c r="A2194" t="n">
        <v>1107</v>
      </c>
      <c r="B2194" s="14" t="n">
        <v>46262</v>
      </c>
      <c r="C2194" s="17" t="n">
        <v>0.9270833333333334</v>
      </c>
      <c r="D2194" s="17" t="n">
        <v>0.3854166666666667</v>
      </c>
      <c r="E2194" t="inlineStr">
        <is>
          <t>Night</t>
        </is>
      </c>
      <c r="F2194" t="inlineStr">
        <is>
          <t>Aug</t>
        </is>
      </c>
      <c r="G2194" s="18">
        <f>IF(D2194&lt;C2194,D2194+1-C2194,D2194-C2194)*24</f>
        <v/>
      </c>
      <c r="H2194" s="18">
        <f>MAX(0,G2194-8)</f>
        <v/>
      </c>
    </row>
    <row r="2195">
      <c r="A2195" t="n">
        <v>1108</v>
      </c>
      <c r="B2195" s="14" t="n">
        <v>46262</v>
      </c>
      <c r="C2195" s="17" t="n">
        <v>0.9375</v>
      </c>
      <c r="D2195" s="17" t="n">
        <v>0.375</v>
      </c>
      <c r="E2195" t="inlineStr">
        <is>
          <t>Night</t>
        </is>
      </c>
      <c r="F2195" t="inlineStr">
        <is>
          <t>Aug</t>
        </is>
      </c>
      <c r="G2195" s="18">
        <f>IF(D2195&lt;C2195,D2195+1-C2195,D2195-C2195)*24</f>
        <v/>
      </c>
      <c r="H2195" s="18">
        <f>MAX(0,G2195-8)</f>
        <v/>
      </c>
    </row>
    <row r="2196">
      <c r="A2196" t="n">
        <v>1110</v>
      </c>
      <c r="B2196" s="14" t="n">
        <v>46262</v>
      </c>
      <c r="C2196" s="17" t="n">
        <v>0.9375</v>
      </c>
      <c r="D2196" s="17" t="n">
        <v>0.4166666666666667</v>
      </c>
      <c r="E2196" t="inlineStr">
        <is>
          <t>Night</t>
        </is>
      </c>
      <c r="F2196" t="inlineStr">
        <is>
          <t>Aug</t>
        </is>
      </c>
      <c r="G2196" s="18">
        <f>IF(D2196&lt;C2196,D2196+1-C2196,D2196-C2196)*24</f>
        <v/>
      </c>
      <c r="H2196" s="18">
        <f>MAX(0,G2196-8)</f>
        <v/>
      </c>
    </row>
    <row r="2197">
      <c r="A2197" t="n">
        <v>1112</v>
      </c>
      <c r="B2197" s="14" t="n">
        <v>46262</v>
      </c>
      <c r="C2197" s="17" t="n">
        <v>0.9166666666666666</v>
      </c>
      <c r="D2197" s="17" t="n">
        <v>0.375</v>
      </c>
      <c r="E2197" t="inlineStr">
        <is>
          <t>Night</t>
        </is>
      </c>
      <c r="F2197" t="inlineStr">
        <is>
          <t>Aug</t>
        </is>
      </c>
      <c r="G2197" s="18">
        <f>IF(D2197&lt;C2197,D2197+1-C2197,D2197-C2197)*24</f>
        <v/>
      </c>
      <c r="H2197" s="18">
        <f>MAX(0,G2197-8)</f>
        <v/>
      </c>
    </row>
    <row r="2198">
      <c r="A2198" t="n">
        <v>1113</v>
      </c>
      <c r="B2198" s="14" t="n">
        <v>46262</v>
      </c>
      <c r="C2198" s="17" t="n">
        <v>0.9166666666666666</v>
      </c>
      <c r="D2198" s="17" t="n">
        <v>0.25</v>
      </c>
      <c r="E2198" t="inlineStr">
        <is>
          <t>Night</t>
        </is>
      </c>
      <c r="F2198" t="inlineStr">
        <is>
          <t>Aug</t>
        </is>
      </c>
      <c r="G2198" s="18">
        <f>IF(D2198&lt;C2198,D2198+1-C2198,D2198-C2198)*24</f>
        <v/>
      </c>
      <c r="H2198" s="18">
        <f>MAX(0,G2198-8)</f>
        <v/>
      </c>
    </row>
    <row r="2199">
      <c r="A2199" t="n">
        <v>1115</v>
      </c>
      <c r="B2199" s="14" t="n">
        <v>46262</v>
      </c>
      <c r="C2199" s="17" t="n">
        <v>0.9166666666666666</v>
      </c>
      <c r="D2199" s="17" t="n">
        <v>0.3958333333333333</v>
      </c>
      <c r="E2199" t="inlineStr">
        <is>
          <t>Night</t>
        </is>
      </c>
      <c r="F2199" t="inlineStr">
        <is>
          <t>Aug</t>
        </is>
      </c>
      <c r="G2199" s="18">
        <f>IF(D2199&lt;C2199,D2199+1-C2199,D2199-C2199)*24</f>
        <v/>
      </c>
      <c r="H2199" s="18">
        <f>MAX(0,G2199-8)</f>
        <v/>
      </c>
    </row>
    <row r="2200">
      <c r="A2200" t="n">
        <v>1117</v>
      </c>
      <c r="B2200" s="14" t="n">
        <v>46262</v>
      </c>
      <c r="C2200" s="17" t="n">
        <v>0.9375</v>
      </c>
      <c r="D2200" s="17" t="n">
        <v>0.375</v>
      </c>
      <c r="E2200" t="inlineStr">
        <is>
          <t>Night</t>
        </is>
      </c>
      <c r="F2200" t="inlineStr">
        <is>
          <t>Aug</t>
        </is>
      </c>
      <c r="G2200" s="18">
        <f>IF(D2200&lt;C2200,D2200+1-C2200,D2200-C2200)*24</f>
        <v/>
      </c>
      <c r="H2200" s="18">
        <f>MAX(0,G2200-8)</f>
        <v/>
      </c>
    </row>
    <row r="2201">
      <c r="A2201" t="n">
        <v>1118</v>
      </c>
      <c r="B2201" s="14" t="n">
        <v>46262</v>
      </c>
      <c r="C2201" s="17" t="n">
        <v>0.9270833333333334</v>
      </c>
      <c r="D2201" s="17" t="n">
        <v>0.40625</v>
      </c>
      <c r="E2201" t="inlineStr">
        <is>
          <t>Night</t>
        </is>
      </c>
      <c r="F2201" t="inlineStr">
        <is>
          <t>Aug</t>
        </is>
      </c>
      <c r="G2201" s="18">
        <f>IF(D2201&lt;C2201,D2201+1-C2201,D2201-C2201)*24</f>
        <v/>
      </c>
      <c r="H2201" s="18">
        <f>MAX(0,G2201-8)</f>
        <v/>
      </c>
    </row>
    <row r="2202">
      <c r="A2202" t="n">
        <v>1119</v>
      </c>
      <c r="B2202" s="14" t="n">
        <v>46262</v>
      </c>
      <c r="C2202" s="17" t="n">
        <v>0.9166666666666666</v>
      </c>
      <c r="D2202" s="17" t="n">
        <v>0.25</v>
      </c>
      <c r="E2202" t="inlineStr">
        <is>
          <t>Night</t>
        </is>
      </c>
      <c r="F2202" t="inlineStr">
        <is>
          <t>Aug</t>
        </is>
      </c>
      <c r="G2202" s="18">
        <f>IF(D2202&lt;C2202,D2202+1-C2202,D2202-C2202)*24</f>
        <v/>
      </c>
      <c r="H2202" s="18">
        <f>MAX(0,G2202-8)</f>
        <v/>
      </c>
    </row>
    <row r="2203">
      <c r="A2203" t="n">
        <v>1121</v>
      </c>
      <c r="B2203" s="14" t="n">
        <v>46262</v>
      </c>
      <c r="C2203" s="17" t="n">
        <v>0.9166666666666666</v>
      </c>
      <c r="D2203" s="17" t="n">
        <v>0.2708333333333333</v>
      </c>
      <c r="E2203" t="inlineStr">
        <is>
          <t>Night</t>
        </is>
      </c>
      <c r="F2203" t="inlineStr">
        <is>
          <t>Aug</t>
        </is>
      </c>
      <c r="G2203" s="18">
        <f>IF(D2203&lt;C2203,D2203+1-C2203,D2203-C2203)*24</f>
        <v/>
      </c>
      <c r="H2203" s="18">
        <f>MAX(0,G2203-8)</f>
        <v/>
      </c>
    </row>
    <row r="2204">
      <c r="A2204" t="n">
        <v>1122</v>
      </c>
      <c r="B2204" s="14" t="n">
        <v>46262</v>
      </c>
      <c r="C2204" s="17" t="n">
        <v>0.9166666666666666</v>
      </c>
      <c r="D2204" s="17" t="n">
        <v>0.2708333333333333</v>
      </c>
      <c r="E2204" t="inlineStr">
        <is>
          <t>Night</t>
        </is>
      </c>
      <c r="F2204" t="inlineStr">
        <is>
          <t>Aug</t>
        </is>
      </c>
      <c r="G2204" s="18">
        <f>IF(D2204&lt;C2204,D2204+1-C2204,D2204-C2204)*24</f>
        <v/>
      </c>
      <c r="H2204" s="18">
        <f>MAX(0,G2204-8)</f>
        <v/>
      </c>
    </row>
    <row r="2205">
      <c r="A2205" t="n">
        <v>1123</v>
      </c>
      <c r="B2205" s="14" t="n">
        <v>46262</v>
      </c>
      <c r="C2205" s="17" t="n">
        <v>0.9166666666666666</v>
      </c>
      <c r="D2205" s="17" t="n">
        <v>0.3125</v>
      </c>
      <c r="E2205" t="inlineStr">
        <is>
          <t>Night</t>
        </is>
      </c>
      <c r="F2205" t="inlineStr">
        <is>
          <t>Aug</t>
        </is>
      </c>
      <c r="G2205" s="18">
        <f>IF(D2205&lt;C2205,D2205+1-C2205,D2205-C2205)*24</f>
        <v/>
      </c>
      <c r="H2205" s="18">
        <f>MAX(0,G2205-8)</f>
        <v/>
      </c>
    </row>
    <row r="2206">
      <c r="A2206" t="n">
        <v>1124</v>
      </c>
      <c r="B2206" s="14" t="n">
        <v>46262</v>
      </c>
      <c r="C2206" s="17" t="n">
        <v>0.9166666666666666</v>
      </c>
      <c r="D2206" s="17" t="n">
        <v>0.25</v>
      </c>
      <c r="E2206" t="inlineStr">
        <is>
          <t>Night</t>
        </is>
      </c>
      <c r="F2206" t="inlineStr">
        <is>
          <t>Aug</t>
        </is>
      </c>
      <c r="G2206" s="18">
        <f>IF(D2206&lt;C2206,D2206+1-C2206,D2206-C2206)*24</f>
        <v/>
      </c>
      <c r="H2206" s="18">
        <f>MAX(0,G2206-8)</f>
        <v/>
      </c>
    </row>
    <row r="2207">
      <c r="A2207" t="n">
        <v>1125</v>
      </c>
      <c r="B2207" s="14" t="n">
        <v>46262</v>
      </c>
      <c r="C2207" s="17" t="n">
        <v>0.9375</v>
      </c>
      <c r="D2207" s="17" t="n">
        <v>0.3333333333333333</v>
      </c>
      <c r="E2207" t="inlineStr">
        <is>
          <t>Night</t>
        </is>
      </c>
      <c r="F2207" t="inlineStr">
        <is>
          <t>Aug</t>
        </is>
      </c>
      <c r="G2207" s="18">
        <f>IF(D2207&lt;C2207,D2207+1-C2207,D2207-C2207)*24</f>
        <v/>
      </c>
      <c r="H2207" s="18">
        <f>MAX(0,G2207-8)</f>
        <v/>
      </c>
    </row>
    <row r="2208">
      <c r="A2208" t="n">
        <v>1126</v>
      </c>
      <c r="B2208" s="14" t="n">
        <v>46262</v>
      </c>
      <c r="C2208" s="17" t="n">
        <v>0.9166666666666666</v>
      </c>
      <c r="D2208" s="17" t="n">
        <v>0.3333333333333333</v>
      </c>
      <c r="E2208" t="inlineStr">
        <is>
          <t>Night</t>
        </is>
      </c>
      <c r="F2208" t="inlineStr">
        <is>
          <t>Aug</t>
        </is>
      </c>
      <c r="G2208" s="18">
        <f>IF(D2208&lt;C2208,D2208+1-C2208,D2208-C2208)*24</f>
        <v/>
      </c>
      <c r="H2208" s="18">
        <f>MAX(0,G2208-8)</f>
        <v/>
      </c>
    </row>
    <row r="2209">
      <c r="A2209" t="n">
        <v>1127</v>
      </c>
      <c r="B2209" s="14" t="n">
        <v>46262</v>
      </c>
      <c r="C2209" s="17" t="n">
        <v>0.9166666666666666</v>
      </c>
      <c r="D2209" s="17" t="n">
        <v>0.3125</v>
      </c>
      <c r="E2209" t="inlineStr">
        <is>
          <t>Night</t>
        </is>
      </c>
      <c r="F2209" t="inlineStr">
        <is>
          <t>Aug</t>
        </is>
      </c>
      <c r="G2209" s="18">
        <f>IF(D2209&lt;C2209,D2209+1-C2209,D2209-C2209)*24</f>
        <v/>
      </c>
      <c r="H2209" s="18">
        <f>MAX(0,G2209-8)</f>
        <v/>
      </c>
    </row>
    <row r="2210">
      <c r="A2210" t="n">
        <v>1128</v>
      </c>
      <c r="B2210" s="14" t="n">
        <v>46262</v>
      </c>
      <c r="C2210" s="17" t="n">
        <v>0.9166666666666666</v>
      </c>
      <c r="D2210" s="17" t="n">
        <v>0.3333333333333333</v>
      </c>
      <c r="E2210" t="inlineStr">
        <is>
          <t>Night</t>
        </is>
      </c>
      <c r="F2210" t="inlineStr">
        <is>
          <t>Aug</t>
        </is>
      </c>
      <c r="G2210" s="18">
        <f>IF(D2210&lt;C2210,D2210+1-C2210,D2210-C2210)*24</f>
        <v/>
      </c>
      <c r="H2210" s="18">
        <f>MAX(0,G2210-8)</f>
        <v/>
      </c>
    </row>
    <row r="2211">
      <c r="A2211" t="n">
        <v>1129</v>
      </c>
      <c r="B2211" s="14" t="n">
        <v>46262</v>
      </c>
      <c r="C2211" s="17" t="n">
        <v>0.9375</v>
      </c>
      <c r="D2211" s="17" t="n">
        <v>0.2916666666666667</v>
      </c>
      <c r="E2211" t="inlineStr">
        <is>
          <t>Night</t>
        </is>
      </c>
      <c r="F2211" t="inlineStr">
        <is>
          <t>Aug</t>
        </is>
      </c>
      <c r="G2211" s="18">
        <f>IF(D2211&lt;C2211,D2211+1-C2211,D2211-C2211)*24</f>
        <v/>
      </c>
      <c r="H2211" s="18">
        <f>MAX(0,G2211-8)</f>
        <v/>
      </c>
    </row>
    <row r="2212">
      <c r="A2212" t="n">
        <v>1130</v>
      </c>
      <c r="B2212" s="14" t="n">
        <v>46262</v>
      </c>
      <c r="C2212" s="17" t="n">
        <v>0.9375</v>
      </c>
      <c r="D2212" s="17" t="n">
        <v>0.3333333333333333</v>
      </c>
      <c r="E2212" t="inlineStr">
        <is>
          <t>Night</t>
        </is>
      </c>
      <c r="F2212" t="inlineStr">
        <is>
          <t>Aug</t>
        </is>
      </c>
      <c r="G2212" s="18">
        <f>IF(D2212&lt;C2212,D2212+1-C2212,D2212-C2212)*24</f>
        <v/>
      </c>
      <c r="H2212" s="18">
        <f>MAX(0,G2212-8)</f>
        <v/>
      </c>
    </row>
    <row r="2213">
      <c r="A2213" t="n">
        <v>1131</v>
      </c>
      <c r="B2213" s="14" t="n">
        <v>46262</v>
      </c>
      <c r="C2213" s="17" t="n">
        <v>0.9166666666666666</v>
      </c>
      <c r="D2213" s="17" t="n">
        <v>0.3958333333333333</v>
      </c>
      <c r="E2213" t="inlineStr">
        <is>
          <t>Night</t>
        </is>
      </c>
      <c r="F2213" t="inlineStr">
        <is>
          <t>Aug</t>
        </is>
      </c>
      <c r="G2213" s="18">
        <f>IF(D2213&lt;C2213,D2213+1-C2213,D2213-C2213)*24</f>
        <v/>
      </c>
      <c r="H2213" s="18">
        <f>MAX(0,G2213-8)</f>
        <v/>
      </c>
    </row>
    <row r="2214">
      <c r="A2214" t="n">
        <v>1132</v>
      </c>
      <c r="B2214" s="14" t="n">
        <v>46262</v>
      </c>
      <c r="C2214" s="17" t="n">
        <v>0.9166666666666666</v>
      </c>
      <c r="D2214" s="17" t="n">
        <v>0.3125</v>
      </c>
      <c r="E2214" t="inlineStr">
        <is>
          <t>Night</t>
        </is>
      </c>
      <c r="F2214" t="inlineStr">
        <is>
          <t>Aug</t>
        </is>
      </c>
      <c r="G2214" s="18">
        <f>IF(D2214&lt;C2214,D2214+1-C2214,D2214-C2214)*24</f>
        <v/>
      </c>
      <c r="H2214" s="18">
        <f>MAX(0,G2214-8)</f>
        <v/>
      </c>
    </row>
    <row r="2215">
      <c r="A2215" t="n">
        <v>1133</v>
      </c>
      <c r="B2215" s="14" t="n">
        <v>46262</v>
      </c>
      <c r="C2215" s="17" t="n">
        <v>0.9375</v>
      </c>
      <c r="D2215" s="17" t="n">
        <v>0.3333333333333333</v>
      </c>
      <c r="E2215" t="inlineStr">
        <is>
          <t>Night</t>
        </is>
      </c>
      <c r="F2215" t="inlineStr">
        <is>
          <t>Aug</t>
        </is>
      </c>
      <c r="G2215" s="18">
        <f>IF(D2215&lt;C2215,D2215+1-C2215,D2215-C2215)*24</f>
        <v/>
      </c>
      <c r="H2215" s="18">
        <f>MAX(0,G2215-8)</f>
        <v/>
      </c>
    </row>
    <row r="2216">
      <c r="A2216" t="n">
        <v>1134</v>
      </c>
      <c r="B2216" s="14" t="n">
        <v>46262</v>
      </c>
      <c r="C2216" s="17" t="n">
        <v>0.9166666666666666</v>
      </c>
      <c r="D2216" s="17" t="n">
        <v>0.2916666666666667</v>
      </c>
      <c r="E2216" t="inlineStr">
        <is>
          <t>Night</t>
        </is>
      </c>
      <c r="F2216" t="inlineStr">
        <is>
          <t>Aug</t>
        </is>
      </c>
      <c r="G2216" s="18">
        <f>IF(D2216&lt;C2216,D2216+1-C2216,D2216-C2216)*24</f>
        <v/>
      </c>
      <c r="H2216" s="18">
        <f>MAX(0,G2216-8)</f>
        <v/>
      </c>
    </row>
    <row r="2217">
      <c r="A2217" t="n">
        <v>1135</v>
      </c>
      <c r="B2217" s="14" t="n">
        <v>46262</v>
      </c>
      <c r="C2217" s="17" t="n">
        <v>0.9166666666666666</v>
      </c>
      <c r="D2217" s="17" t="n">
        <v>0.2708333333333333</v>
      </c>
      <c r="E2217" t="inlineStr">
        <is>
          <t>Night</t>
        </is>
      </c>
      <c r="F2217" t="inlineStr">
        <is>
          <t>Aug</t>
        </is>
      </c>
      <c r="G2217" s="18">
        <f>IF(D2217&lt;C2217,D2217+1-C2217,D2217-C2217)*24</f>
        <v/>
      </c>
      <c r="H2217" s="18">
        <f>MAX(0,G2217-8)</f>
        <v/>
      </c>
    </row>
    <row r="2218">
      <c r="A2218" t="n">
        <v>1136</v>
      </c>
      <c r="B2218" s="14" t="n">
        <v>46262</v>
      </c>
      <c r="C2218" s="17" t="n">
        <v>0.9166666666666666</v>
      </c>
      <c r="D2218" s="17" t="n">
        <v>0.2916666666666667</v>
      </c>
      <c r="E2218" t="inlineStr">
        <is>
          <t>Night</t>
        </is>
      </c>
      <c r="F2218" t="inlineStr">
        <is>
          <t>Aug</t>
        </is>
      </c>
      <c r="G2218" s="18">
        <f>IF(D2218&lt;C2218,D2218+1-C2218,D2218-C2218)*24</f>
        <v/>
      </c>
      <c r="H2218" s="18">
        <f>MAX(0,G2218-8)</f>
        <v/>
      </c>
    </row>
    <row r="2219">
      <c r="A2219" t="n">
        <v>1137</v>
      </c>
      <c r="B2219" s="14" t="n">
        <v>46262</v>
      </c>
      <c r="C2219" s="17" t="n">
        <v>0.9166666666666666</v>
      </c>
      <c r="D2219" s="17" t="n">
        <v>0.3333333333333333</v>
      </c>
      <c r="E2219" t="inlineStr">
        <is>
          <t>Night</t>
        </is>
      </c>
      <c r="F2219" t="inlineStr">
        <is>
          <t>Aug</t>
        </is>
      </c>
      <c r="G2219" s="18">
        <f>IF(D2219&lt;C2219,D2219+1-C2219,D2219-C2219)*24</f>
        <v/>
      </c>
      <c r="H2219" s="18">
        <f>MAX(0,G2219-8)</f>
        <v/>
      </c>
    </row>
    <row r="2220">
      <c r="A2220" t="n">
        <v>1147</v>
      </c>
      <c r="B2220" s="14" t="n">
        <v>46262</v>
      </c>
      <c r="C2220" s="17" t="n">
        <v>0.9375</v>
      </c>
      <c r="D2220" s="17" t="n">
        <v>0.3333333333333333</v>
      </c>
      <c r="E2220" t="inlineStr">
        <is>
          <t>Night</t>
        </is>
      </c>
      <c r="F2220" t="inlineStr">
        <is>
          <t>Aug</t>
        </is>
      </c>
      <c r="G2220" s="18">
        <f>IF(D2220&lt;C2220,D2220+1-C2220,D2220-C2220)*24</f>
        <v/>
      </c>
      <c r="H2220" s="18">
        <f>MAX(0,G2220-8)</f>
        <v/>
      </c>
    </row>
    <row r="2221">
      <c r="A2221" t="n">
        <v>1101</v>
      </c>
      <c r="B2221" s="14" t="n">
        <v>46262</v>
      </c>
      <c r="C2221" s="17" t="n">
        <v>0.02083333333333333</v>
      </c>
      <c r="D2221" s="17" t="n">
        <v>0.375</v>
      </c>
      <c r="E2221" t="inlineStr">
        <is>
          <t>Night</t>
        </is>
      </c>
      <c r="F2221" t="inlineStr">
        <is>
          <t>Aug</t>
        </is>
      </c>
      <c r="G2221" s="18">
        <f>IF(D2221&lt;C2221,D2221+1-C2221,D2221-C2221)*24</f>
        <v/>
      </c>
      <c r="H2221" s="18">
        <f>MAX(0,G2221-8)</f>
        <v/>
      </c>
    </row>
    <row r="2222">
      <c r="A2222" t="n">
        <v>1109</v>
      </c>
      <c r="B2222" s="14" t="n">
        <v>46262</v>
      </c>
      <c r="C2222" s="17" t="n">
        <v>0.02083333333333333</v>
      </c>
      <c r="D2222" s="17" t="n">
        <v>0.375</v>
      </c>
      <c r="E2222" t="inlineStr">
        <is>
          <t>Night</t>
        </is>
      </c>
      <c r="F2222" t="inlineStr">
        <is>
          <t>Aug</t>
        </is>
      </c>
      <c r="G2222" s="18">
        <f>IF(D2222&lt;C2222,D2222+1-C2222,D2222-C2222)*24</f>
        <v/>
      </c>
      <c r="H2222" s="18">
        <f>MAX(0,G2222-8)</f>
        <v/>
      </c>
    </row>
    <row r="2223">
      <c r="A2223" t="n">
        <v>1114</v>
      </c>
      <c r="B2223" s="14" t="n">
        <v>46262</v>
      </c>
      <c r="C2223" s="17" t="n">
        <v>0.02083333333333333</v>
      </c>
      <c r="D2223" s="17" t="n">
        <v>0.375</v>
      </c>
      <c r="E2223" t="inlineStr">
        <is>
          <t>Night</t>
        </is>
      </c>
      <c r="F2223" t="inlineStr">
        <is>
          <t>Aug</t>
        </is>
      </c>
      <c r="G2223" s="18">
        <f>IF(D2223&lt;C2223,D2223+1-C2223,D2223-C2223)*24</f>
        <v/>
      </c>
      <c r="H2223" s="18">
        <f>MAX(0,G2223-8)</f>
        <v/>
      </c>
    </row>
    <row r="2224">
      <c r="A2224" t="n">
        <v>1116</v>
      </c>
      <c r="B2224" s="14" t="n">
        <v>46262</v>
      </c>
      <c r="C2224" s="17" t="n">
        <v>0.02083333333333333</v>
      </c>
      <c r="D2224" s="17" t="n">
        <v>0.4583333333333333</v>
      </c>
      <c r="E2224" t="inlineStr">
        <is>
          <t>Night</t>
        </is>
      </c>
      <c r="F2224" t="inlineStr">
        <is>
          <t>Aug</t>
        </is>
      </c>
      <c r="G2224" s="18">
        <f>IF(D2224&lt;C2224,D2224+1-C2224,D2224-C2224)*24</f>
        <v/>
      </c>
      <c r="H2224" s="18">
        <f>MAX(0,G2224-8)</f>
        <v/>
      </c>
    </row>
    <row r="2225">
      <c r="A2225" t="n">
        <v>1120</v>
      </c>
      <c r="B2225" s="14" t="n">
        <v>46262</v>
      </c>
      <c r="C2225" s="17" t="n">
        <v>0.02083333333333333</v>
      </c>
      <c r="D2225" s="17" t="n">
        <v>0.375</v>
      </c>
      <c r="E2225" t="inlineStr">
        <is>
          <t>Night</t>
        </is>
      </c>
      <c r="F2225" t="inlineStr">
        <is>
          <t>Aug</t>
        </is>
      </c>
      <c r="G2225" s="18">
        <f>IF(D2225&lt;C2225,D2225+1-C2225,D2225-C2225)*24</f>
        <v/>
      </c>
      <c r="H2225" s="18">
        <f>MAX(0,G2225-8)</f>
        <v/>
      </c>
    </row>
    <row r="2226">
      <c r="A2226" t="n">
        <v>1202</v>
      </c>
      <c r="B2226" s="14" t="n">
        <v>46262</v>
      </c>
      <c r="C2226" s="17" t="n">
        <v>0.2708333333333333</v>
      </c>
      <c r="D2226" s="17" t="n">
        <v>0.6458333333333334</v>
      </c>
      <c r="E2226" t="inlineStr">
        <is>
          <t>Day</t>
        </is>
      </c>
      <c r="F2226" t="inlineStr">
        <is>
          <t>Aug</t>
        </is>
      </c>
      <c r="G2226" s="18">
        <f>IF(D2226&lt;C2226,D2226+1-C2226,D2226-C2226)*24</f>
        <v/>
      </c>
      <c r="H2226" s="18">
        <f>MAX(0,G2226-8)</f>
        <v/>
      </c>
    </row>
    <row r="2227">
      <c r="A2227" t="n">
        <v>1203</v>
      </c>
      <c r="B2227" s="14" t="n">
        <v>46262</v>
      </c>
      <c r="C2227" s="17" t="n">
        <v>0.2708333333333333</v>
      </c>
      <c r="D2227" s="17" t="n">
        <v>0.6875</v>
      </c>
      <c r="E2227" t="inlineStr">
        <is>
          <t>Day</t>
        </is>
      </c>
      <c r="F2227" t="inlineStr">
        <is>
          <t>Aug</t>
        </is>
      </c>
      <c r="G2227" s="18">
        <f>IF(D2227&lt;C2227,D2227+1-C2227,D2227-C2227)*24</f>
        <v/>
      </c>
      <c r="H2227" s="18">
        <f>MAX(0,G2227-8)</f>
        <v/>
      </c>
    </row>
    <row r="2228">
      <c r="A2228" t="n">
        <v>1204</v>
      </c>
      <c r="B2228" s="14" t="n">
        <v>46262</v>
      </c>
      <c r="C2228" s="17" t="n">
        <v>0.2708333333333333</v>
      </c>
      <c r="D2228" s="17" t="n">
        <v>0.6041666666666666</v>
      </c>
      <c r="E2228" t="inlineStr">
        <is>
          <t>Day</t>
        </is>
      </c>
      <c r="F2228" t="inlineStr">
        <is>
          <t>Aug</t>
        </is>
      </c>
      <c r="G2228" s="18">
        <f>IF(D2228&lt;C2228,D2228+1-C2228,D2228-C2228)*24</f>
        <v/>
      </c>
      <c r="H2228" s="18">
        <f>MAX(0,G2228-8)</f>
        <v/>
      </c>
    </row>
    <row r="2229">
      <c r="A2229" t="n">
        <v>1205</v>
      </c>
      <c r="B2229" s="14" t="n">
        <v>46262</v>
      </c>
      <c r="C2229" s="17" t="n">
        <v>0.2708333333333333</v>
      </c>
      <c r="D2229" s="17" t="n">
        <v>0.6041666666666666</v>
      </c>
      <c r="E2229" t="inlineStr">
        <is>
          <t>Day</t>
        </is>
      </c>
      <c r="F2229" t="inlineStr">
        <is>
          <t>Aug</t>
        </is>
      </c>
      <c r="G2229" s="18">
        <f>IF(D2229&lt;C2229,D2229+1-C2229,D2229-C2229)*24</f>
        <v/>
      </c>
      <c r="H2229" s="18">
        <f>MAX(0,G2229-8)</f>
        <v/>
      </c>
    </row>
    <row r="2230">
      <c r="A2230" t="n">
        <v>1206</v>
      </c>
      <c r="B2230" s="14" t="n">
        <v>46262</v>
      </c>
      <c r="C2230" s="17" t="n">
        <v>0.2708333333333333</v>
      </c>
      <c r="D2230" s="17" t="n">
        <v>0.6041666666666666</v>
      </c>
      <c r="E2230" t="inlineStr">
        <is>
          <t>Day</t>
        </is>
      </c>
      <c r="F2230" t="inlineStr">
        <is>
          <t>Aug</t>
        </is>
      </c>
      <c r="G2230" s="18">
        <f>IF(D2230&lt;C2230,D2230+1-C2230,D2230-C2230)*24</f>
        <v/>
      </c>
      <c r="H2230" s="18">
        <f>MAX(0,G2230-8)</f>
        <v/>
      </c>
    </row>
    <row r="2231">
      <c r="A2231" t="n">
        <v>1207</v>
      </c>
      <c r="B2231" s="14" t="n">
        <v>46262</v>
      </c>
      <c r="C2231" s="17" t="n">
        <v>0.25</v>
      </c>
      <c r="D2231" s="17" t="n">
        <v>0.6666666666666666</v>
      </c>
      <c r="E2231" t="inlineStr">
        <is>
          <t>Day</t>
        </is>
      </c>
      <c r="F2231" t="inlineStr">
        <is>
          <t>Aug</t>
        </is>
      </c>
      <c r="G2231" s="18">
        <f>IF(D2231&lt;C2231,D2231+1-C2231,D2231-C2231)*24</f>
        <v/>
      </c>
      <c r="H2231" s="18">
        <f>MAX(0,G2231-8)</f>
        <v/>
      </c>
    </row>
    <row r="2232">
      <c r="A2232" t="n">
        <v>1208</v>
      </c>
      <c r="B2232" s="14" t="n">
        <v>46262</v>
      </c>
      <c r="C2232" s="17" t="n">
        <v>0.2708333333333333</v>
      </c>
      <c r="D2232" s="17" t="n">
        <v>0.625</v>
      </c>
      <c r="E2232" t="inlineStr">
        <is>
          <t>Day</t>
        </is>
      </c>
      <c r="F2232" t="inlineStr">
        <is>
          <t>Aug</t>
        </is>
      </c>
      <c r="G2232" s="18">
        <f>IF(D2232&lt;C2232,D2232+1-C2232,D2232-C2232)*24</f>
        <v/>
      </c>
      <c r="H2232" s="18">
        <f>MAX(0,G2232-8)</f>
        <v/>
      </c>
    </row>
    <row r="2233">
      <c r="A2233" t="n">
        <v>1210</v>
      </c>
      <c r="B2233" s="14" t="n">
        <v>46262</v>
      </c>
      <c r="C2233" s="17" t="n">
        <v>0.2708333333333333</v>
      </c>
      <c r="D2233" s="17" t="n">
        <v>0.6041666666666666</v>
      </c>
      <c r="E2233" t="inlineStr">
        <is>
          <t>Day</t>
        </is>
      </c>
      <c r="F2233" t="inlineStr">
        <is>
          <t>Aug</t>
        </is>
      </c>
      <c r="G2233" s="18">
        <f>IF(D2233&lt;C2233,D2233+1-C2233,D2233-C2233)*24</f>
        <v/>
      </c>
      <c r="H2233" s="18">
        <f>MAX(0,G2233-8)</f>
        <v/>
      </c>
    </row>
    <row r="2234">
      <c r="A2234" t="n">
        <v>1211</v>
      </c>
      <c r="B2234" s="14" t="n">
        <v>46262</v>
      </c>
      <c r="C2234" s="17" t="n">
        <v>0.25</v>
      </c>
      <c r="D2234" s="17" t="n">
        <v>0.5833333333333334</v>
      </c>
      <c r="E2234" t="inlineStr">
        <is>
          <t>Day</t>
        </is>
      </c>
      <c r="F2234" t="inlineStr">
        <is>
          <t>Aug</t>
        </is>
      </c>
      <c r="G2234" s="18">
        <f>IF(D2234&lt;C2234,D2234+1-C2234,D2234-C2234)*24</f>
        <v/>
      </c>
      <c r="H2234" s="18">
        <f>MAX(0,G2234-8)</f>
        <v/>
      </c>
    </row>
    <row r="2235">
      <c r="A2235" t="n">
        <v>1212</v>
      </c>
      <c r="B2235" s="14" t="n">
        <v>46262</v>
      </c>
      <c r="C2235" s="17" t="n">
        <v>0.2708333333333333</v>
      </c>
      <c r="D2235" s="17" t="n">
        <v>0.6041666666666666</v>
      </c>
      <c r="E2235" t="inlineStr">
        <is>
          <t>Day</t>
        </is>
      </c>
      <c r="F2235" t="inlineStr">
        <is>
          <t>Aug</t>
        </is>
      </c>
      <c r="G2235" s="18">
        <f>IF(D2235&lt;C2235,D2235+1-C2235,D2235-C2235)*24</f>
        <v/>
      </c>
      <c r="H2235" s="18">
        <f>MAX(0,G2235-8)</f>
        <v/>
      </c>
    </row>
    <row r="2236">
      <c r="A2236" t="n">
        <v>1213</v>
      </c>
      <c r="B2236" s="14" t="n">
        <v>46262</v>
      </c>
      <c r="C2236" s="17" t="n">
        <v>0.25</v>
      </c>
      <c r="D2236" s="17" t="n">
        <v>0.5833333333333334</v>
      </c>
      <c r="E2236" t="inlineStr">
        <is>
          <t>Day</t>
        </is>
      </c>
      <c r="F2236" t="inlineStr">
        <is>
          <t>Aug</t>
        </is>
      </c>
      <c r="G2236" s="18">
        <f>IF(D2236&lt;C2236,D2236+1-C2236,D2236-C2236)*24</f>
        <v/>
      </c>
      <c r="H2236" s="18">
        <f>MAX(0,G2236-8)</f>
        <v/>
      </c>
    </row>
    <row r="2237">
      <c r="A2237" t="n">
        <v>1214</v>
      </c>
      <c r="B2237" s="14" t="n">
        <v>46262</v>
      </c>
      <c r="C2237" s="17" t="n">
        <v>0.25</v>
      </c>
      <c r="D2237" s="17" t="n">
        <v>0.6041666666666666</v>
      </c>
      <c r="E2237" t="inlineStr">
        <is>
          <t>Day</t>
        </is>
      </c>
      <c r="F2237" t="inlineStr">
        <is>
          <t>Aug</t>
        </is>
      </c>
      <c r="G2237" s="18">
        <f>IF(D2237&lt;C2237,D2237+1-C2237,D2237-C2237)*24</f>
        <v/>
      </c>
      <c r="H2237" s="18">
        <f>MAX(0,G2237-8)</f>
        <v/>
      </c>
    </row>
    <row r="2238">
      <c r="A2238" t="n">
        <v>1215</v>
      </c>
      <c r="B2238" s="14" t="n">
        <v>46262</v>
      </c>
      <c r="C2238" s="17" t="n">
        <v>0.25</v>
      </c>
      <c r="D2238" s="17" t="n">
        <v>0.5833333333333334</v>
      </c>
      <c r="E2238" t="inlineStr">
        <is>
          <t>Day</t>
        </is>
      </c>
      <c r="F2238" t="inlineStr">
        <is>
          <t>Aug</t>
        </is>
      </c>
      <c r="G2238" s="18">
        <f>IF(D2238&lt;C2238,D2238+1-C2238,D2238-C2238)*24</f>
        <v/>
      </c>
      <c r="H2238" s="18">
        <f>MAX(0,G2238-8)</f>
        <v/>
      </c>
    </row>
    <row r="2239">
      <c r="A2239" t="n">
        <v>1216</v>
      </c>
      <c r="B2239" s="14" t="n">
        <v>46262</v>
      </c>
      <c r="C2239" s="17" t="n">
        <v>0.25</v>
      </c>
      <c r="D2239" s="17" t="n">
        <v>0.5833333333333334</v>
      </c>
      <c r="E2239" t="inlineStr">
        <is>
          <t>Day</t>
        </is>
      </c>
      <c r="F2239" t="inlineStr">
        <is>
          <t>Aug</t>
        </is>
      </c>
      <c r="G2239" s="18">
        <f>IF(D2239&lt;C2239,D2239+1-C2239,D2239-C2239)*24</f>
        <v/>
      </c>
      <c r="H2239" s="18">
        <f>MAX(0,G2239-8)</f>
        <v/>
      </c>
    </row>
    <row r="2240">
      <c r="A2240" t="n">
        <v>1217</v>
      </c>
      <c r="B2240" s="14" t="n">
        <v>46262</v>
      </c>
      <c r="C2240" s="17" t="n">
        <v>0.25</v>
      </c>
      <c r="D2240" s="17" t="n">
        <v>0.6041666666666666</v>
      </c>
      <c r="E2240" t="inlineStr">
        <is>
          <t>Day</t>
        </is>
      </c>
      <c r="F2240" t="inlineStr">
        <is>
          <t>Aug</t>
        </is>
      </c>
      <c r="G2240" s="18">
        <f>IF(D2240&lt;C2240,D2240+1-C2240,D2240-C2240)*24</f>
        <v/>
      </c>
      <c r="H2240" s="18">
        <f>MAX(0,G2240-8)</f>
        <v/>
      </c>
    </row>
    <row r="2241">
      <c r="A2241" t="n">
        <v>1218</v>
      </c>
      <c r="B2241" s="14" t="n">
        <v>46262</v>
      </c>
      <c r="C2241" s="17" t="n">
        <v>0.25</v>
      </c>
      <c r="D2241" s="17" t="n">
        <v>0.6041666666666666</v>
      </c>
      <c r="E2241" t="inlineStr">
        <is>
          <t>Day</t>
        </is>
      </c>
      <c r="F2241" t="inlineStr">
        <is>
          <t>Aug</t>
        </is>
      </c>
      <c r="G2241" s="18">
        <f>IF(D2241&lt;C2241,D2241+1-C2241,D2241-C2241)*24</f>
        <v/>
      </c>
      <c r="H2241" s="18">
        <f>MAX(0,G2241-8)</f>
        <v/>
      </c>
    </row>
    <row r="2242">
      <c r="A2242" t="n">
        <v>1219</v>
      </c>
      <c r="B2242" s="14" t="n">
        <v>46262</v>
      </c>
      <c r="C2242" s="17" t="n">
        <v>0.2708333333333333</v>
      </c>
      <c r="D2242" s="17" t="n">
        <v>0.6041666666666666</v>
      </c>
      <c r="E2242" t="inlineStr">
        <is>
          <t>Day</t>
        </is>
      </c>
      <c r="F2242" t="inlineStr">
        <is>
          <t>Aug</t>
        </is>
      </c>
      <c r="G2242" s="18">
        <f>IF(D2242&lt;C2242,D2242+1-C2242,D2242-C2242)*24</f>
        <v/>
      </c>
      <c r="H2242" s="18">
        <f>MAX(0,G2242-8)</f>
        <v/>
      </c>
    </row>
    <row r="2243">
      <c r="A2243" t="n">
        <v>1220</v>
      </c>
      <c r="B2243" s="14" t="n">
        <v>46262</v>
      </c>
      <c r="C2243" s="17" t="n">
        <v>0.2708333333333333</v>
      </c>
      <c r="D2243" s="17" t="n">
        <v>0.625</v>
      </c>
      <c r="E2243" t="inlineStr">
        <is>
          <t>Day</t>
        </is>
      </c>
      <c r="F2243" t="inlineStr">
        <is>
          <t>Aug</t>
        </is>
      </c>
      <c r="G2243" s="18">
        <f>IF(D2243&lt;C2243,D2243+1-C2243,D2243-C2243)*24</f>
        <v/>
      </c>
      <c r="H2243" s="18">
        <f>MAX(0,G2243-8)</f>
        <v/>
      </c>
    </row>
    <row r="2244">
      <c r="A2244" t="n">
        <v>1101</v>
      </c>
      <c r="B2244" s="14" t="n">
        <v>46265</v>
      </c>
      <c r="C2244" s="17" t="n">
        <v>0.9166666666666666</v>
      </c>
      <c r="D2244" s="17" t="n">
        <v>0.3541666666666667</v>
      </c>
      <c r="E2244" t="inlineStr">
        <is>
          <t>Night</t>
        </is>
      </c>
      <c r="F2244" t="inlineStr">
        <is>
          <t>Aug</t>
        </is>
      </c>
      <c r="G2244" s="18">
        <f>IF(D2244&lt;C2244,D2244+1-C2244,D2244-C2244)*24</f>
        <v/>
      </c>
      <c r="H2244" s="18">
        <f>MAX(0,G2244-8)</f>
        <v/>
      </c>
    </row>
    <row r="2245">
      <c r="A2245" t="n">
        <v>1103</v>
      </c>
      <c r="B2245" s="14" t="n">
        <v>46265</v>
      </c>
      <c r="C2245" s="17" t="n">
        <v>0.9166666666666666</v>
      </c>
      <c r="D2245" s="17" t="n">
        <v>0.2916666666666667</v>
      </c>
      <c r="E2245" t="inlineStr">
        <is>
          <t>Night</t>
        </is>
      </c>
      <c r="F2245" t="inlineStr">
        <is>
          <t>Aug</t>
        </is>
      </c>
      <c r="G2245" s="18">
        <f>IF(D2245&lt;C2245,D2245+1-C2245,D2245-C2245)*24</f>
        <v/>
      </c>
      <c r="H2245" s="18">
        <f>MAX(0,G2245-8)</f>
        <v/>
      </c>
    </row>
    <row r="2246">
      <c r="A2246" t="n">
        <v>1104</v>
      </c>
      <c r="B2246" s="14" t="n">
        <v>46265</v>
      </c>
      <c r="C2246" s="17" t="n">
        <v>0.9166666666666666</v>
      </c>
      <c r="D2246" s="17" t="n">
        <v>0.3333333333333333</v>
      </c>
      <c r="E2246" t="inlineStr">
        <is>
          <t>Night</t>
        </is>
      </c>
      <c r="F2246" t="inlineStr">
        <is>
          <t>Aug</t>
        </is>
      </c>
      <c r="G2246" s="18">
        <f>IF(D2246&lt;C2246,D2246+1-C2246,D2246-C2246)*24</f>
        <v/>
      </c>
      <c r="H2246" s="18">
        <f>MAX(0,G2246-8)</f>
        <v/>
      </c>
    </row>
    <row r="2247">
      <c r="A2247" t="n">
        <v>1106</v>
      </c>
      <c r="B2247" s="14" t="n">
        <v>46265</v>
      </c>
      <c r="C2247" s="17" t="n">
        <v>0.9375</v>
      </c>
      <c r="D2247" s="17" t="n">
        <v>0.3958333333333333</v>
      </c>
      <c r="E2247" t="inlineStr">
        <is>
          <t>Night</t>
        </is>
      </c>
      <c r="F2247" t="inlineStr">
        <is>
          <t>Aug</t>
        </is>
      </c>
      <c r="G2247" s="18">
        <f>IF(D2247&lt;C2247,D2247+1-C2247,D2247-C2247)*24</f>
        <v/>
      </c>
      <c r="H2247" s="18">
        <f>MAX(0,G2247-8)</f>
        <v/>
      </c>
    </row>
    <row r="2248">
      <c r="A2248" t="n">
        <v>1107</v>
      </c>
      <c r="B2248" s="14" t="n">
        <v>46265</v>
      </c>
      <c r="C2248" s="17" t="n">
        <v>0.9166666666666666</v>
      </c>
      <c r="D2248" s="17" t="n">
        <v>0.3333333333333333</v>
      </c>
      <c r="E2248" t="inlineStr">
        <is>
          <t>Night</t>
        </is>
      </c>
      <c r="F2248" t="inlineStr">
        <is>
          <t>Aug</t>
        </is>
      </c>
      <c r="G2248" s="18">
        <f>IF(D2248&lt;C2248,D2248+1-C2248,D2248-C2248)*24</f>
        <v/>
      </c>
      <c r="H2248" s="18">
        <f>MAX(0,G2248-8)</f>
        <v/>
      </c>
    </row>
    <row r="2249">
      <c r="A2249" t="n">
        <v>1108</v>
      </c>
      <c r="B2249" s="14" t="n">
        <v>46265</v>
      </c>
      <c r="C2249" s="17" t="n">
        <v>0.9166666666666666</v>
      </c>
      <c r="D2249" s="17" t="n">
        <v>0.2708333333333333</v>
      </c>
      <c r="E2249" t="inlineStr">
        <is>
          <t>Night</t>
        </is>
      </c>
      <c r="F2249" t="inlineStr">
        <is>
          <t>Aug</t>
        </is>
      </c>
      <c r="G2249" s="18">
        <f>IF(D2249&lt;C2249,D2249+1-C2249,D2249-C2249)*24</f>
        <v/>
      </c>
      <c r="H2249" s="18">
        <f>MAX(0,G2249-8)</f>
        <v/>
      </c>
    </row>
    <row r="2250">
      <c r="A2250" t="n">
        <v>1109</v>
      </c>
      <c r="B2250" s="14" t="n">
        <v>46265</v>
      </c>
      <c r="C2250" s="17" t="n">
        <v>0.9166666666666666</v>
      </c>
      <c r="D2250" s="17" t="n">
        <v>0.25</v>
      </c>
      <c r="E2250" t="inlineStr">
        <is>
          <t>Night</t>
        </is>
      </c>
      <c r="F2250" t="inlineStr">
        <is>
          <t>Aug</t>
        </is>
      </c>
      <c r="G2250" s="18">
        <f>IF(D2250&lt;C2250,D2250+1-C2250,D2250-C2250)*24</f>
        <v/>
      </c>
      <c r="H2250" s="18">
        <f>MAX(0,G2250-8)</f>
        <v/>
      </c>
    </row>
    <row r="2251">
      <c r="A2251" t="n">
        <v>1110</v>
      </c>
      <c r="B2251" s="14" t="n">
        <v>46265</v>
      </c>
      <c r="C2251" s="17" t="n">
        <v>0.9166666666666666</v>
      </c>
      <c r="D2251" s="17" t="n">
        <v>0.3333333333333333</v>
      </c>
      <c r="E2251" t="inlineStr">
        <is>
          <t>Night</t>
        </is>
      </c>
      <c r="F2251" t="inlineStr">
        <is>
          <t>Aug</t>
        </is>
      </c>
      <c r="G2251" s="18">
        <f>IF(D2251&lt;C2251,D2251+1-C2251,D2251-C2251)*24</f>
        <v/>
      </c>
      <c r="H2251" s="18">
        <f>MAX(0,G2251-8)</f>
        <v/>
      </c>
    </row>
    <row r="2252">
      <c r="A2252" t="n">
        <v>1112</v>
      </c>
      <c r="B2252" s="14" t="n">
        <v>46265</v>
      </c>
      <c r="C2252" s="17" t="n">
        <v>0.9270833333333334</v>
      </c>
      <c r="D2252" s="17" t="n">
        <v>0.3229166666666667</v>
      </c>
      <c r="E2252" t="inlineStr">
        <is>
          <t>Night</t>
        </is>
      </c>
      <c r="F2252" t="inlineStr">
        <is>
          <t>Aug</t>
        </is>
      </c>
      <c r="G2252" s="18">
        <f>IF(D2252&lt;C2252,D2252+1-C2252,D2252-C2252)*24</f>
        <v/>
      </c>
      <c r="H2252" s="18">
        <f>MAX(0,G2252-8)</f>
        <v/>
      </c>
    </row>
    <row r="2253">
      <c r="A2253" t="n">
        <v>1113</v>
      </c>
      <c r="B2253" s="14" t="n">
        <v>46265</v>
      </c>
      <c r="C2253" s="17" t="n">
        <v>0.9166666666666666</v>
      </c>
      <c r="D2253" s="17" t="n">
        <v>0.3958333333333333</v>
      </c>
      <c r="E2253" t="inlineStr">
        <is>
          <t>Night</t>
        </is>
      </c>
      <c r="F2253" t="inlineStr">
        <is>
          <t>Aug</t>
        </is>
      </c>
      <c r="G2253" s="18">
        <f>IF(D2253&lt;C2253,D2253+1-C2253,D2253-C2253)*24</f>
        <v/>
      </c>
      <c r="H2253" s="18">
        <f>MAX(0,G2253-8)</f>
        <v/>
      </c>
    </row>
    <row r="2254">
      <c r="A2254" t="n">
        <v>1114</v>
      </c>
      <c r="B2254" s="14" t="n">
        <v>46265</v>
      </c>
      <c r="C2254" s="17" t="n">
        <v>0.9270833333333334</v>
      </c>
      <c r="D2254" s="17" t="n">
        <v>0.3854166666666667</v>
      </c>
      <c r="E2254" t="inlineStr">
        <is>
          <t>Night</t>
        </is>
      </c>
      <c r="F2254" t="inlineStr">
        <is>
          <t>Aug</t>
        </is>
      </c>
      <c r="G2254" s="18">
        <f>IF(D2254&lt;C2254,D2254+1-C2254,D2254-C2254)*24</f>
        <v/>
      </c>
      <c r="H2254" s="18">
        <f>MAX(0,G2254-8)</f>
        <v/>
      </c>
    </row>
    <row r="2255">
      <c r="A2255" t="n">
        <v>1115</v>
      </c>
      <c r="B2255" s="14" t="n">
        <v>46265</v>
      </c>
      <c r="C2255" s="17" t="n">
        <v>0.9166666666666666</v>
      </c>
      <c r="D2255" s="17" t="n">
        <v>0.2916666666666667</v>
      </c>
      <c r="E2255" t="inlineStr">
        <is>
          <t>Night</t>
        </is>
      </c>
      <c r="F2255" t="inlineStr">
        <is>
          <t>Aug</t>
        </is>
      </c>
      <c r="G2255" s="18">
        <f>IF(D2255&lt;C2255,D2255+1-C2255,D2255-C2255)*24</f>
        <v/>
      </c>
      <c r="H2255" s="18">
        <f>MAX(0,G2255-8)</f>
        <v/>
      </c>
    </row>
    <row r="2256">
      <c r="A2256" t="n">
        <v>1116</v>
      </c>
      <c r="B2256" s="14" t="n">
        <v>46265</v>
      </c>
      <c r="C2256" s="17" t="n">
        <v>0.9270833333333334</v>
      </c>
      <c r="D2256" s="17" t="n">
        <v>0.40625</v>
      </c>
      <c r="E2256" t="inlineStr">
        <is>
          <t>Night</t>
        </is>
      </c>
      <c r="F2256" t="inlineStr">
        <is>
          <t>Aug</t>
        </is>
      </c>
      <c r="G2256" s="18">
        <f>IF(D2256&lt;C2256,D2256+1-C2256,D2256-C2256)*24</f>
        <v/>
      </c>
      <c r="H2256" s="18">
        <f>MAX(0,G2256-8)</f>
        <v/>
      </c>
    </row>
    <row r="2257">
      <c r="A2257" t="n">
        <v>1117</v>
      </c>
      <c r="B2257" s="14" t="n">
        <v>46265</v>
      </c>
      <c r="C2257" s="17" t="n">
        <v>0.9166666666666666</v>
      </c>
      <c r="D2257" s="17" t="n">
        <v>0.25</v>
      </c>
      <c r="E2257" t="inlineStr">
        <is>
          <t>Night</t>
        </is>
      </c>
      <c r="F2257" t="inlineStr">
        <is>
          <t>Aug</t>
        </is>
      </c>
      <c r="G2257" s="18">
        <f>IF(D2257&lt;C2257,D2257+1-C2257,D2257-C2257)*24</f>
        <v/>
      </c>
      <c r="H2257" s="18">
        <f>MAX(0,G2257-8)</f>
        <v/>
      </c>
    </row>
    <row r="2258">
      <c r="A2258" t="n">
        <v>1118</v>
      </c>
      <c r="B2258" s="14" t="n">
        <v>46265</v>
      </c>
      <c r="C2258" s="17" t="n">
        <v>0.9166666666666666</v>
      </c>
      <c r="D2258" s="17" t="n">
        <v>0.375</v>
      </c>
      <c r="E2258" t="inlineStr">
        <is>
          <t>Night</t>
        </is>
      </c>
      <c r="F2258" t="inlineStr">
        <is>
          <t>Aug</t>
        </is>
      </c>
      <c r="G2258" s="18">
        <f>IF(D2258&lt;C2258,D2258+1-C2258,D2258-C2258)*24</f>
        <v/>
      </c>
      <c r="H2258" s="18">
        <f>MAX(0,G2258-8)</f>
        <v/>
      </c>
    </row>
    <row r="2259">
      <c r="A2259" t="n">
        <v>1119</v>
      </c>
      <c r="B2259" s="14" t="n">
        <v>46265</v>
      </c>
      <c r="C2259" s="17" t="n">
        <v>0.9270833333333334</v>
      </c>
      <c r="D2259" s="17" t="n">
        <v>0.3854166666666667</v>
      </c>
      <c r="E2259" t="inlineStr">
        <is>
          <t>Night</t>
        </is>
      </c>
      <c r="F2259" t="inlineStr">
        <is>
          <t>Aug</t>
        </is>
      </c>
      <c r="G2259" s="18">
        <f>IF(D2259&lt;C2259,D2259+1-C2259,D2259-C2259)*24</f>
        <v/>
      </c>
      <c r="H2259" s="18">
        <f>MAX(0,G2259-8)</f>
        <v/>
      </c>
    </row>
    <row r="2260">
      <c r="A2260" t="n">
        <v>1121</v>
      </c>
      <c r="B2260" s="14" t="n">
        <v>46265</v>
      </c>
      <c r="C2260" s="17" t="n">
        <v>0.9166666666666666</v>
      </c>
      <c r="D2260" s="17" t="n">
        <v>0.3333333333333333</v>
      </c>
      <c r="E2260" t="inlineStr">
        <is>
          <t>Night</t>
        </is>
      </c>
      <c r="F2260" t="inlineStr">
        <is>
          <t>Aug</t>
        </is>
      </c>
      <c r="G2260" s="18">
        <f>IF(D2260&lt;C2260,D2260+1-C2260,D2260-C2260)*24</f>
        <v/>
      </c>
      <c r="H2260" s="18">
        <f>MAX(0,G2260-8)</f>
        <v/>
      </c>
    </row>
    <row r="2261">
      <c r="A2261" t="n">
        <v>1122</v>
      </c>
      <c r="B2261" s="14" t="n">
        <v>46265</v>
      </c>
      <c r="C2261" s="17" t="n">
        <v>0.9166666666666666</v>
      </c>
      <c r="D2261" s="17" t="n">
        <v>0.375</v>
      </c>
      <c r="E2261" t="inlineStr">
        <is>
          <t>Night</t>
        </is>
      </c>
      <c r="F2261" t="inlineStr">
        <is>
          <t>Aug</t>
        </is>
      </c>
      <c r="G2261" s="18">
        <f>IF(D2261&lt;C2261,D2261+1-C2261,D2261-C2261)*24</f>
        <v/>
      </c>
      <c r="H2261" s="18">
        <f>MAX(0,G2261-8)</f>
        <v/>
      </c>
    </row>
    <row r="2262">
      <c r="A2262" t="n">
        <v>1123</v>
      </c>
      <c r="B2262" s="14" t="n">
        <v>46265</v>
      </c>
      <c r="C2262" s="17" t="n">
        <v>0.9166666666666666</v>
      </c>
      <c r="D2262" s="17" t="n">
        <v>0.3125</v>
      </c>
      <c r="E2262" t="inlineStr">
        <is>
          <t>Night</t>
        </is>
      </c>
      <c r="F2262" t="inlineStr">
        <is>
          <t>Aug</t>
        </is>
      </c>
      <c r="G2262" s="18">
        <f>IF(D2262&lt;C2262,D2262+1-C2262,D2262-C2262)*24</f>
        <v/>
      </c>
      <c r="H2262" s="18">
        <f>MAX(0,G2262-8)</f>
        <v/>
      </c>
    </row>
    <row r="2263">
      <c r="A2263" t="n">
        <v>1124</v>
      </c>
      <c r="B2263" s="14" t="n">
        <v>46265</v>
      </c>
      <c r="C2263" s="17" t="n">
        <v>0.9270833333333334</v>
      </c>
      <c r="D2263" s="17" t="n">
        <v>0.2604166666666667</v>
      </c>
      <c r="E2263" t="inlineStr">
        <is>
          <t>Night</t>
        </is>
      </c>
      <c r="F2263" t="inlineStr">
        <is>
          <t>Aug</t>
        </is>
      </c>
      <c r="G2263" s="18">
        <f>IF(D2263&lt;C2263,D2263+1-C2263,D2263-C2263)*24</f>
        <v/>
      </c>
      <c r="H2263" s="18">
        <f>MAX(0,G2263-8)</f>
        <v/>
      </c>
    </row>
    <row r="2264">
      <c r="A2264" t="n">
        <v>1125</v>
      </c>
      <c r="B2264" s="14" t="n">
        <v>46265</v>
      </c>
      <c r="C2264" s="17" t="n">
        <v>0.9166666666666666</v>
      </c>
      <c r="D2264" s="17" t="n">
        <v>0.375</v>
      </c>
      <c r="E2264" t="inlineStr">
        <is>
          <t>Night</t>
        </is>
      </c>
      <c r="F2264" t="inlineStr">
        <is>
          <t>Aug</t>
        </is>
      </c>
      <c r="G2264" s="18">
        <f>IF(D2264&lt;C2264,D2264+1-C2264,D2264-C2264)*24</f>
        <v/>
      </c>
      <c r="H2264" s="18">
        <f>MAX(0,G2264-8)</f>
        <v/>
      </c>
    </row>
    <row r="2265">
      <c r="A2265" t="n">
        <v>1127</v>
      </c>
      <c r="B2265" s="14" t="n">
        <v>46265</v>
      </c>
      <c r="C2265" s="17" t="n">
        <v>0.9375</v>
      </c>
      <c r="D2265" s="17" t="n">
        <v>0.3541666666666667</v>
      </c>
      <c r="E2265" t="inlineStr">
        <is>
          <t>Night</t>
        </is>
      </c>
      <c r="F2265" t="inlineStr">
        <is>
          <t>Aug</t>
        </is>
      </c>
      <c r="G2265" s="18">
        <f>IF(D2265&lt;C2265,D2265+1-C2265,D2265-C2265)*24</f>
        <v/>
      </c>
      <c r="H2265" s="18">
        <f>MAX(0,G2265-8)</f>
        <v/>
      </c>
    </row>
    <row r="2266">
      <c r="A2266" t="n">
        <v>1128</v>
      </c>
      <c r="B2266" s="14" t="n">
        <v>46265</v>
      </c>
      <c r="C2266" s="17" t="n">
        <v>0.9270833333333334</v>
      </c>
      <c r="D2266" s="17" t="n">
        <v>0.3020833333333333</v>
      </c>
      <c r="E2266" t="inlineStr">
        <is>
          <t>Night</t>
        </is>
      </c>
      <c r="F2266" t="inlineStr">
        <is>
          <t>Aug</t>
        </is>
      </c>
      <c r="G2266" s="18">
        <f>IF(D2266&lt;C2266,D2266+1-C2266,D2266-C2266)*24</f>
        <v/>
      </c>
      <c r="H2266" s="18">
        <f>MAX(0,G2266-8)</f>
        <v/>
      </c>
    </row>
    <row r="2267">
      <c r="A2267" t="n">
        <v>1129</v>
      </c>
      <c r="B2267" s="14" t="n">
        <v>46265</v>
      </c>
      <c r="C2267" s="17" t="n">
        <v>0.9270833333333334</v>
      </c>
      <c r="D2267" s="17" t="n">
        <v>0.28125</v>
      </c>
      <c r="E2267" t="inlineStr">
        <is>
          <t>Night</t>
        </is>
      </c>
      <c r="F2267" t="inlineStr">
        <is>
          <t>Aug</t>
        </is>
      </c>
      <c r="G2267" s="18">
        <f>IF(D2267&lt;C2267,D2267+1-C2267,D2267-C2267)*24</f>
        <v/>
      </c>
      <c r="H2267" s="18">
        <f>MAX(0,G2267-8)</f>
        <v/>
      </c>
    </row>
    <row r="2268">
      <c r="A2268" t="n">
        <v>1130</v>
      </c>
      <c r="B2268" s="14" t="n">
        <v>46265</v>
      </c>
      <c r="C2268" s="17" t="n">
        <v>0.9166666666666666</v>
      </c>
      <c r="D2268" s="17" t="n">
        <v>0.3958333333333333</v>
      </c>
      <c r="E2268" t="inlineStr">
        <is>
          <t>Night</t>
        </is>
      </c>
      <c r="F2268" t="inlineStr">
        <is>
          <t>Aug</t>
        </is>
      </c>
      <c r="G2268" s="18">
        <f>IF(D2268&lt;C2268,D2268+1-C2268,D2268-C2268)*24</f>
        <v/>
      </c>
      <c r="H2268" s="18">
        <f>MAX(0,G2268-8)</f>
        <v/>
      </c>
    </row>
    <row r="2269">
      <c r="A2269" t="n">
        <v>1131</v>
      </c>
      <c r="B2269" s="14" t="n">
        <v>46265</v>
      </c>
      <c r="C2269" s="17" t="n">
        <v>0.9375</v>
      </c>
      <c r="D2269" s="17" t="n">
        <v>0.2916666666666667</v>
      </c>
      <c r="E2269" t="inlineStr">
        <is>
          <t>Night</t>
        </is>
      </c>
      <c r="F2269" t="inlineStr">
        <is>
          <t>Aug</t>
        </is>
      </c>
      <c r="G2269" s="18">
        <f>IF(D2269&lt;C2269,D2269+1-C2269,D2269-C2269)*24</f>
        <v/>
      </c>
      <c r="H2269" s="18">
        <f>MAX(0,G2269-8)</f>
        <v/>
      </c>
    </row>
    <row r="2270">
      <c r="A2270" t="n">
        <v>1132</v>
      </c>
      <c r="B2270" s="14" t="n">
        <v>46265</v>
      </c>
      <c r="C2270" s="17" t="n">
        <v>0.9166666666666666</v>
      </c>
      <c r="D2270" s="17" t="n">
        <v>0.3541666666666667</v>
      </c>
      <c r="E2270" t="inlineStr">
        <is>
          <t>Night</t>
        </is>
      </c>
      <c r="F2270" t="inlineStr">
        <is>
          <t>Aug</t>
        </is>
      </c>
      <c r="G2270" s="18">
        <f>IF(D2270&lt;C2270,D2270+1-C2270,D2270-C2270)*24</f>
        <v/>
      </c>
      <c r="H2270" s="18">
        <f>MAX(0,G2270-8)</f>
        <v/>
      </c>
    </row>
    <row r="2271">
      <c r="A2271" t="n">
        <v>1133</v>
      </c>
      <c r="B2271" s="14" t="n">
        <v>46265</v>
      </c>
      <c r="C2271" s="17" t="n">
        <v>0.9166666666666666</v>
      </c>
      <c r="D2271" s="17" t="n">
        <v>0.2708333333333333</v>
      </c>
      <c r="E2271" t="inlineStr">
        <is>
          <t>Night</t>
        </is>
      </c>
      <c r="F2271" t="inlineStr">
        <is>
          <t>Aug</t>
        </is>
      </c>
      <c r="G2271" s="18">
        <f>IF(D2271&lt;C2271,D2271+1-C2271,D2271-C2271)*24</f>
        <v/>
      </c>
      <c r="H2271" s="18">
        <f>MAX(0,G2271-8)</f>
        <v/>
      </c>
    </row>
    <row r="2272">
      <c r="A2272" t="n">
        <v>1134</v>
      </c>
      <c r="B2272" s="14" t="n">
        <v>46265</v>
      </c>
      <c r="C2272" s="17" t="n">
        <v>0.9166666666666666</v>
      </c>
      <c r="D2272" s="17" t="n">
        <v>0.25</v>
      </c>
      <c r="E2272" t="inlineStr">
        <is>
          <t>Night</t>
        </is>
      </c>
      <c r="F2272" t="inlineStr">
        <is>
          <t>Aug</t>
        </is>
      </c>
      <c r="G2272" s="18">
        <f>IF(D2272&lt;C2272,D2272+1-C2272,D2272-C2272)*24</f>
        <v/>
      </c>
      <c r="H2272" s="18">
        <f>MAX(0,G2272-8)</f>
        <v/>
      </c>
    </row>
    <row r="2273">
      <c r="A2273" t="n">
        <v>1135</v>
      </c>
      <c r="B2273" s="14" t="n">
        <v>46265</v>
      </c>
      <c r="C2273" s="17" t="n">
        <v>0.9375</v>
      </c>
      <c r="D2273" s="17" t="n">
        <v>0.2916666666666667</v>
      </c>
      <c r="E2273" t="inlineStr">
        <is>
          <t>Night</t>
        </is>
      </c>
      <c r="F2273" t="inlineStr">
        <is>
          <t>Aug</t>
        </is>
      </c>
      <c r="G2273" s="18">
        <f>IF(D2273&lt;C2273,D2273+1-C2273,D2273-C2273)*24</f>
        <v/>
      </c>
      <c r="H2273" s="18">
        <f>MAX(0,G2273-8)</f>
        <v/>
      </c>
    </row>
    <row r="2274">
      <c r="A2274" t="n">
        <v>1136</v>
      </c>
      <c r="B2274" s="14" t="n">
        <v>46265</v>
      </c>
      <c r="C2274" s="17" t="n">
        <v>0.9270833333333334</v>
      </c>
      <c r="D2274" s="17" t="n">
        <v>0.28125</v>
      </c>
      <c r="E2274" t="inlineStr">
        <is>
          <t>Night</t>
        </is>
      </c>
      <c r="F2274" t="inlineStr">
        <is>
          <t>Aug</t>
        </is>
      </c>
      <c r="G2274" s="18">
        <f>IF(D2274&lt;C2274,D2274+1-C2274,D2274-C2274)*24</f>
        <v/>
      </c>
      <c r="H2274" s="18">
        <f>MAX(0,G2274-8)</f>
        <v/>
      </c>
    </row>
    <row r="2275">
      <c r="A2275" t="n">
        <v>1147</v>
      </c>
      <c r="B2275" s="14" t="n">
        <v>46265</v>
      </c>
      <c r="C2275" s="17" t="n">
        <v>0.9166666666666666</v>
      </c>
      <c r="D2275" s="17" t="n">
        <v>0.25</v>
      </c>
      <c r="E2275" t="inlineStr">
        <is>
          <t>Night</t>
        </is>
      </c>
      <c r="F2275" t="inlineStr">
        <is>
          <t>Aug</t>
        </is>
      </c>
      <c r="G2275" s="18">
        <f>IF(D2275&lt;C2275,D2275+1-C2275,D2275-C2275)*24</f>
        <v/>
      </c>
      <c r="H2275" s="18">
        <f>MAX(0,G2275-8)</f>
        <v/>
      </c>
    </row>
    <row r="2276">
      <c r="A2276" t="n">
        <v>1102</v>
      </c>
      <c r="B2276" s="14" t="n">
        <v>46265</v>
      </c>
      <c r="C2276" s="17" t="n">
        <v>0.01041666666666667</v>
      </c>
      <c r="D2276" s="17" t="n">
        <v>0.4895833333333333</v>
      </c>
      <c r="E2276" t="inlineStr">
        <is>
          <t>Night</t>
        </is>
      </c>
      <c r="F2276" t="inlineStr">
        <is>
          <t>Aug</t>
        </is>
      </c>
      <c r="G2276" s="18">
        <f>IF(D2276&lt;C2276,D2276+1-C2276,D2276-C2276)*24</f>
        <v/>
      </c>
      <c r="H2276" s="18">
        <f>MAX(0,G2276-8)</f>
        <v/>
      </c>
    </row>
    <row r="2277">
      <c r="A2277" t="n">
        <v>1111</v>
      </c>
      <c r="B2277" s="14" t="n">
        <v>46265</v>
      </c>
      <c r="C2277" s="17" t="n">
        <v>0.01041666666666667</v>
      </c>
      <c r="D2277" s="17" t="n">
        <v>0.3645833333333333</v>
      </c>
      <c r="E2277" t="inlineStr">
        <is>
          <t>Night</t>
        </is>
      </c>
      <c r="F2277" t="inlineStr">
        <is>
          <t>Aug</t>
        </is>
      </c>
      <c r="G2277" s="18">
        <f>IF(D2277&lt;C2277,D2277+1-C2277,D2277-C2277)*24</f>
        <v/>
      </c>
      <c r="H2277" s="18">
        <f>MAX(0,G2277-8)</f>
        <v/>
      </c>
    </row>
    <row r="2278">
      <c r="A2278" t="n">
        <v>1120</v>
      </c>
      <c r="B2278" s="14" t="n">
        <v>46265</v>
      </c>
      <c r="C2278" s="17" t="n">
        <v>0.02083333333333333</v>
      </c>
      <c r="D2278" s="17" t="n">
        <v>0.4166666666666667</v>
      </c>
      <c r="E2278" t="inlineStr">
        <is>
          <t>Night</t>
        </is>
      </c>
      <c r="F2278" t="inlineStr">
        <is>
          <t>Aug</t>
        </is>
      </c>
      <c r="G2278" s="18">
        <f>IF(D2278&lt;C2278,D2278+1-C2278,D2278-C2278)*24</f>
        <v/>
      </c>
      <c r="H2278" s="18">
        <f>MAX(0,G2278-8)</f>
        <v/>
      </c>
    </row>
    <row r="2279">
      <c r="A2279" t="n">
        <v>1126</v>
      </c>
      <c r="B2279" s="14" t="n">
        <v>46265</v>
      </c>
      <c r="C2279" s="17" t="n">
        <v>0.01041666666666667</v>
      </c>
      <c r="D2279" s="17" t="n">
        <v>0.34375</v>
      </c>
      <c r="E2279" t="inlineStr">
        <is>
          <t>Night</t>
        </is>
      </c>
      <c r="F2279" t="inlineStr">
        <is>
          <t>Aug</t>
        </is>
      </c>
      <c r="G2279" s="18">
        <f>IF(D2279&lt;C2279,D2279+1-C2279,D2279-C2279)*24</f>
        <v/>
      </c>
      <c r="H2279" s="18">
        <f>MAX(0,G2279-8)</f>
        <v/>
      </c>
    </row>
    <row r="2280">
      <c r="A2280" t="n">
        <v>1137</v>
      </c>
      <c r="B2280" s="14" t="n">
        <v>46265</v>
      </c>
      <c r="C2280" s="17" t="n">
        <v>0.02083333333333333</v>
      </c>
      <c r="D2280" s="17" t="n">
        <v>0.5</v>
      </c>
      <c r="E2280" t="inlineStr">
        <is>
          <t>Night</t>
        </is>
      </c>
      <c r="F2280" t="inlineStr">
        <is>
          <t>Aug</t>
        </is>
      </c>
      <c r="G2280" s="18">
        <f>IF(D2280&lt;C2280,D2280+1-C2280,D2280-C2280)*24</f>
        <v/>
      </c>
      <c r="H2280" s="18">
        <f>MAX(0,G2280-8)</f>
        <v/>
      </c>
    </row>
    <row r="2281">
      <c r="A2281" t="n">
        <v>1201</v>
      </c>
      <c r="B2281" s="14" t="n">
        <v>46265</v>
      </c>
      <c r="C2281" s="17" t="n">
        <v>0.2708333333333333</v>
      </c>
      <c r="D2281" s="17" t="n">
        <v>0.6041666666666666</v>
      </c>
      <c r="E2281" t="inlineStr">
        <is>
          <t>Day</t>
        </is>
      </c>
      <c r="F2281" t="inlineStr">
        <is>
          <t>Aug</t>
        </is>
      </c>
      <c r="G2281" s="18">
        <f>IF(D2281&lt;C2281,D2281+1-C2281,D2281-C2281)*24</f>
        <v/>
      </c>
      <c r="H2281" s="18">
        <f>MAX(0,G2281-8)</f>
        <v/>
      </c>
    </row>
    <row r="2282">
      <c r="A2282" t="n">
        <v>1202</v>
      </c>
      <c r="B2282" s="14" t="n">
        <v>46265</v>
      </c>
      <c r="C2282" s="17" t="n">
        <v>0.2708333333333333</v>
      </c>
      <c r="D2282" s="17" t="n">
        <v>0.6875</v>
      </c>
      <c r="E2282" t="inlineStr">
        <is>
          <t>Day</t>
        </is>
      </c>
      <c r="F2282" t="inlineStr">
        <is>
          <t>Aug</t>
        </is>
      </c>
      <c r="G2282" s="18">
        <f>IF(D2282&lt;C2282,D2282+1-C2282,D2282-C2282)*24</f>
        <v/>
      </c>
      <c r="H2282" s="18">
        <f>MAX(0,G2282-8)</f>
        <v/>
      </c>
    </row>
    <row r="2283">
      <c r="A2283" t="n">
        <v>1203</v>
      </c>
      <c r="B2283" s="14" t="n">
        <v>46265</v>
      </c>
      <c r="C2283" s="17" t="n">
        <v>0.25</v>
      </c>
      <c r="D2283" s="17" t="n">
        <v>0.6041666666666666</v>
      </c>
      <c r="E2283" t="inlineStr">
        <is>
          <t>Day</t>
        </is>
      </c>
      <c r="F2283" t="inlineStr">
        <is>
          <t>Aug</t>
        </is>
      </c>
      <c r="G2283" s="18">
        <f>IF(D2283&lt;C2283,D2283+1-C2283,D2283-C2283)*24</f>
        <v/>
      </c>
      <c r="H2283" s="18">
        <f>MAX(0,G2283-8)</f>
        <v/>
      </c>
    </row>
    <row r="2284">
      <c r="A2284" t="n">
        <v>1205</v>
      </c>
      <c r="B2284" s="14" t="n">
        <v>46265</v>
      </c>
      <c r="C2284" s="17" t="n">
        <v>0.25</v>
      </c>
      <c r="D2284" s="17" t="n">
        <v>0.625</v>
      </c>
      <c r="E2284" t="inlineStr">
        <is>
          <t>Day</t>
        </is>
      </c>
      <c r="F2284" t="inlineStr">
        <is>
          <t>Aug</t>
        </is>
      </c>
      <c r="G2284" s="18">
        <f>IF(D2284&lt;C2284,D2284+1-C2284,D2284-C2284)*24</f>
        <v/>
      </c>
      <c r="H2284" s="18">
        <f>MAX(0,G2284-8)</f>
        <v/>
      </c>
    </row>
    <row r="2285">
      <c r="A2285" t="n">
        <v>1207</v>
      </c>
      <c r="B2285" s="14" t="n">
        <v>46265</v>
      </c>
      <c r="C2285" s="17" t="n">
        <v>0.25</v>
      </c>
      <c r="D2285" s="17" t="n">
        <v>0.5833333333333334</v>
      </c>
      <c r="E2285" t="inlineStr">
        <is>
          <t>Day</t>
        </is>
      </c>
      <c r="F2285" t="inlineStr">
        <is>
          <t>Aug</t>
        </is>
      </c>
      <c r="G2285" s="18">
        <f>IF(D2285&lt;C2285,D2285+1-C2285,D2285-C2285)*24</f>
        <v/>
      </c>
      <c r="H2285" s="18">
        <f>MAX(0,G2285-8)</f>
        <v/>
      </c>
    </row>
    <row r="2286">
      <c r="A2286" t="n">
        <v>1208</v>
      </c>
      <c r="B2286" s="14" t="n">
        <v>46265</v>
      </c>
      <c r="C2286" s="17" t="n">
        <v>0.25</v>
      </c>
      <c r="D2286" s="17" t="n">
        <v>0.5833333333333334</v>
      </c>
      <c r="E2286" t="inlineStr">
        <is>
          <t>Day</t>
        </is>
      </c>
      <c r="F2286" t="inlineStr">
        <is>
          <t>Aug</t>
        </is>
      </c>
      <c r="G2286" s="18">
        <f>IF(D2286&lt;C2286,D2286+1-C2286,D2286-C2286)*24</f>
        <v/>
      </c>
      <c r="H2286" s="18">
        <f>MAX(0,G2286-8)</f>
        <v/>
      </c>
    </row>
    <row r="2287">
      <c r="A2287" t="n">
        <v>1209</v>
      </c>
      <c r="B2287" s="14" t="n">
        <v>46265</v>
      </c>
      <c r="C2287" s="17" t="n">
        <v>0.2708333333333333</v>
      </c>
      <c r="D2287" s="17" t="n">
        <v>0.625</v>
      </c>
      <c r="E2287" t="inlineStr">
        <is>
          <t>Day</t>
        </is>
      </c>
      <c r="F2287" t="inlineStr">
        <is>
          <t>Aug</t>
        </is>
      </c>
      <c r="G2287" s="18">
        <f>IF(D2287&lt;C2287,D2287+1-C2287,D2287-C2287)*24</f>
        <v/>
      </c>
      <c r="H2287" s="18">
        <f>MAX(0,G2287-8)</f>
        <v/>
      </c>
    </row>
    <row r="2288">
      <c r="A2288" t="n">
        <v>1210</v>
      </c>
      <c r="B2288" s="14" t="n">
        <v>46265</v>
      </c>
      <c r="C2288" s="17" t="n">
        <v>0.25</v>
      </c>
      <c r="D2288" s="17" t="n">
        <v>0.6666666666666666</v>
      </c>
      <c r="E2288" t="inlineStr">
        <is>
          <t>Day</t>
        </is>
      </c>
      <c r="F2288" t="inlineStr">
        <is>
          <t>Aug</t>
        </is>
      </c>
      <c r="G2288" s="18">
        <f>IF(D2288&lt;C2288,D2288+1-C2288,D2288-C2288)*24</f>
        <v/>
      </c>
      <c r="H2288" s="18">
        <f>MAX(0,G2288-8)</f>
        <v/>
      </c>
    </row>
    <row r="2289">
      <c r="A2289" t="n">
        <v>1211</v>
      </c>
      <c r="B2289" s="14" t="n">
        <v>46265</v>
      </c>
      <c r="C2289" s="17" t="n">
        <v>0.25</v>
      </c>
      <c r="D2289" s="17" t="n">
        <v>0.625</v>
      </c>
      <c r="E2289" t="inlineStr">
        <is>
          <t>Day</t>
        </is>
      </c>
      <c r="F2289" t="inlineStr">
        <is>
          <t>Aug</t>
        </is>
      </c>
      <c r="G2289" s="18">
        <f>IF(D2289&lt;C2289,D2289+1-C2289,D2289-C2289)*24</f>
        <v/>
      </c>
      <c r="H2289" s="18">
        <f>MAX(0,G2289-8)</f>
        <v/>
      </c>
    </row>
    <row r="2290">
      <c r="A2290" t="n">
        <v>1212</v>
      </c>
      <c r="B2290" s="14" t="n">
        <v>46265</v>
      </c>
      <c r="C2290" s="17" t="n">
        <v>0.25</v>
      </c>
      <c r="D2290" s="17" t="n">
        <v>0.625</v>
      </c>
      <c r="E2290" t="inlineStr">
        <is>
          <t>Day</t>
        </is>
      </c>
      <c r="F2290" t="inlineStr">
        <is>
          <t>Aug</t>
        </is>
      </c>
      <c r="G2290" s="18">
        <f>IF(D2290&lt;C2290,D2290+1-C2290,D2290-C2290)*24</f>
        <v/>
      </c>
      <c r="H2290" s="18">
        <f>MAX(0,G2290-8)</f>
        <v/>
      </c>
    </row>
    <row r="2291">
      <c r="A2291" t="n">
        <v>1213</v>
      </c>
      <c r="B2291" s="14" t="n">
        <v>46265</v>
      </c>
      <c r="C2291" s="17" t="n">
        <v>0.25</v>
      </c>
      <c r="D2291" s="17" t="n">
        <v>0.625</v>
      </c>
      <c r="E2291" t="inlineStr">
        <is>
          <t>Day</t>
        </is>
      </c>
      <c r="F2291" t="inlineStr">
        <is>
          <t>Aug</t>
        </is>
      </c>
      <c r="G2291" s="18">
        <f>IF(D2291&lt;C2291,D2291+1-C2291,D2291-C2291)*24</f>
        <v/>
      </c>
      <c r="H2291" s="18">
        <f>MAX(0,G2291-8)</f>
        <v/>
      </c>
    </row>
    <row r="2292">
      <c r="A2292" t="n">
        <v>1214</v>
      </c>
      <c r="B2292" s="14" t="n">
        <v>46265</v>
      </c>
      <c r="C2292" s="17" t="n">
        <v>0.2708333333333333</v>
      </c>
      <c r="D2292" s="17" t="n">
        <v>0.6041666666666666</v>
      </c>
      <c r="E2292" t="inlineStr">
        <is>
          <t>Day</t>
        </is>
      </c>
      <c r="F2292" t="inlineStr">
        <is>
          <t>Aug</t>
        </is>
      </c>
      <c r="G2292" s="18">
        <f>IF(D2292&lt;C2292,D2292+1-C2292,D2292-C2292)*24</f>
        <v/>
      </c>
      <c r="H2292" s="18">
        <f>MAX(0,G2292-8)</f>
        <v/>
      </c>
    </row>
    <row r="2293">
      <c r="A2293" t="n">
        <v>1215</v>
      </c>
      <c r="B2293" s="14" t="n">
        <v>46265</v>
      </c>
      <c r="C2293" s="17" t="n">
        <v>0.25</v>
      </c>
      <c r="D2293" s="17" t="n">
        <v>0.625</v>
      </c>
      <c r="E2293" t="inlineStr">
        <is>
          <t>Day</t>
        </is>
      </c>
      <c r="F2293" t="inlineStr">
        <is>
          <t>Aug</t>
        </is>
      </c>
      <c r="G2293" s="18">
        <f>IF(D2293&lt;C2293,D2293+1-C2293,D2293-C2293)*24</f>
        <v/>
      </c>
      <c r="H2293" s="18">
        <f>MAX(0,G2293-8)</f>
        <v/>
      </c>
    </row>
    <row r="2294">
      <c r="A2294" t="n">
        <v>1216</v>
      </c>
      <c r="B2294" s="14" t="n">
        <v>46265</v>
      </c>
      <c r="C2294" s="17" t="n">
        <v>0.2708333333333333</v>
      </c>
      <c r="D2294" s="17" t="n">
        <v>0.6041666666666666</v>
      </c>
      <c r="E2294" t="inlineStr">
        <is>
          <t>Day</t>
        </is>
      </c>
      <c r="F2294" t="inlineStr">
        <is>
          <t>Aug</t>
        </is>
      </c>
      <c r="G2294" s="18">
        <f>IF(D2294&lt;C2294,D2294+1-C2294,D2294-C2294)*24</f>
        <v/>
      </c>
      <c r="H2294" s="18">
        <f>MAX(0,G2294-8)</f>
        <v/>
      </c>
    </row>
    <row r="2295">
      <c r="A2295" t="n">
        <v>1217</v>
      </c>
      <c r="B2295" s="14" t="n">
        <v>46265</v>
      </c>
      <c r="C2295" s="17" t="n">
        <v>0.25</v>
      </c>
      <c r="D2295" s="17" t="n">
        <v>0.5833333333333334</v>
      </c>
      <c r="E2295" t="inlineStr">
        <is>
          <t>Day</t>
        </is>
      </c>
      <c r="F2295" t="inlineStr">
        <is>
          <t>Aug</t>
        </is>
      </c>
      <c r="G2295" s="18">
        <f>IF(D2295&lt;C2295,D2295+1-C2295,D2295-C2295)*24</f>
        <v/>
      </c>
      <c r="H2295" s="18">
        <f>MAX(0,G2295-8)</f>
        <v/>
      </c>
    </row>
    <row r="2296">
      <c r="A2296" t="n">
        <v>1218</v>
      </c>
      <c r="B2296" s="14" t="n">
        <v>46265</v>
      </c>
      <c r="C2296" s="17" t="n">
        <v>0.2708333333333333</v>
      </c>
      <c r="D2296" s="17" t="n">
        <v>0.6041666666666666</v>
      </c>
      <c r="E2296" t="inlineStr">
        <is>
          <t>Day</t>
        </is>
      </c>
      <c r="F2296" t="inlineStr">
        <is>
          <t>Aug</t>
        </is>
      </c>
      <c r="G2296" s="18">
        <f>IF(D2296&lt;C2296,D2296+1-C2296,D2296-C2296)*24</f>
        <v/>
      </c>
      <c r="H2296" s="18">
        <f>MAX(0,G2296-8)</f>
        <v/>
      </c>
    </row>
    <row r="2297">
      <c r="A2297" t="n">
        <v>1219</v>
      </c>
      <c r="B2297" s="14" t="n">
        <v>46265</v>
      </c>
      <c r="C2297" s="17" t="n">
        <v>0.2708333333333333</v>
      </c>
      <c r="D2297" s="17" t="n">
        <v>0.6458333333333334</v>
      </c>
      <c r="E2297" t="inlineStr">
        <is>
          <t>Day</t>
        </is>
      </c>
      <c r="F2297" t="inlineStr">
        <is>
          <t>Aug</t>
        </is>
      </c>
      <c r="G2297" s="18">
        <f>IF(D2297&lt;C2297,D2297+1-C2297,D2297-C2297)*24</f>
        <v/>
      </c>
      <c r="H2297" s="18">
        <f>MAX(0,G2297-8)</f>
        <v/>
      </c>
    </row>
    <row r="2298">
      <c r="A2298" t="n">
        <v>1220</v>
      </c>
      <c r="B2298" s="14" t="n">
        <v>46265</v>
      </c>
      <c r="C2298" s="17" t="n">
        <v>0.25</v>
      </c>
      <c r="D2298" s="17" t="n">
        <v>0.625</v>
      </c>
      <c r="E2298" t="inlineStr">
        <is>
          <t>Day</t>
        </is>
      </c>
      <c r="F2298" t="inlineStr">
        <is>
          <t>Aug</t>
        </is>
      </c>
      <c r="G2298" s="18">
        <f>IF(D2298&lt;C2298,D2298+1-C2298,D2298-C2298)*24</f>
        <v/>
      </c>
      <c r="H2298" s="18">
        <f>MAX(0,G2298-8)</f>
        <v/>
      </c>
    </row>
    <row r="2299">
      <c r="A2299" t="n">
        <v>1101</v>
      </c>
      <c r="B2299" s="14" t="n">
        <v>46266</v>
      </c>
      <c r="C2299" s="17" t="n">
        <v>0.9166666666666666</v>
      </c>
      <c r="D2299" s="17" t="n">
        <v>0.3333333333333333</v>
      </c>
      <c r="E2299" t="inlineStr">
        <is>
          <t>Night</t>
        </is>
      </c>
      <c r="F2299" t="inlineStr">
        <is>
          <t>Sep</t>
        </is>
      </c>
      <c r="G2299" s="18">
        <f>IF(D2299&lt;C2299,D2299+1-C2299,D2299-C2299)*24</f>
        <v/>
      </c>
      <c r="H2299" s="18">
        <f>MAX(0,G2299-8)</f>
        <v/>
      </c>
    </row>
    <row r="2300">
      <c r="A2300" t="n">
        <v>1102</v>
      </c>
      <c r="B2300" s="14" t="n">
        <v>46266</v>
      </c>
      <c r="C2300" s="17" t="n">
        <v>0.9166666666666666</v>
      </c>
      <c r="D2300" s="17" t="n">
        <v>0.3125</v>
      </c>
      <c r="E2300" t="inlineStr">
        <is>
          <t>Night</t>
        </is>
      </c>
      <c r="F2300" t="inlineStr">
        <is>
          <t>Sep</t>
        </is>
      </c>
      <c r="G2300" s="18">
        <f>IF(D2300&lt;C2300,D2300+1-C2300,D2300-C2300)*24</f>
        <v/>
      </c>
      <c r="H2300" s="18">
        <f>MAX(0,G2300-8)</f>
        <v/>
      </c>
    </row>
    <row r="2301">
      <c r="A2301" t="n">
        <v>1103</v>
      </c>
      <c r="B2301" s="14" t="n">
        <v>46266</v>
      </c>
      <c r="C2301" s="17" t="n">
        <v>0.9166666666666666</v>
      </c>
      <c r="D2301" s="17" t="n">
        <v>0.25</v>
      </c>
      <c r="E2301" t="inlineStr">
        <is>
          <t>Night</t>
        </is>
      </c>
      <c r="F2301" t="inlineStr">
        <is>
          <t>Sep</t>
        </is>
      </c>
      <c r="G2301" s="18">
        <f>IF(D2301&lt;C2301,D2301+1-C2301,D2301-C2301)*24</f>
        <v/>
      </c>
      <c r="H2301" s="18">
        <f>MAX(0,G2301-8)</f>
        <v/>
      </c>
    </row>
    <row r="2302">
      <c r="A2302" t="n">
        <v>1104</v>
      </c>
      <c r="B2302" s="14" t="n">
        <v>46266</v>
      </c>
      <c r="C2302" s="17" t="n">
        <v>0.9166666666666666</v>
      </c>
      <c r="D2302" s="17" t="n">
        <v>0.375</v>
      </c>
      <c r="E2302" t="inlineStr">
        <is>
          <t>Night</t>
        </is>
      </c>
      <c r="F2302" t="inlineStr">
        <is>
          <t>Sep</t>
        </is>
      </c>
      <c r="G2302" s="18">
        <f>IF(D2302&lt;C2302,D2302+1-C2302,D2302-C2302)*24</f>
        <v/>
      </c>
      <c r="H2302" s="18">
        <f>MAX(0,G2302-8)</f>
        <v/>
      </c>
    </row>
    <row r="2303">
      <c r="A2303" t="n">
        <v>1106</v>
      </c>
      <c r="B2303" s="14" t="n">
        <v>46266</v>
      </c>
      <c r="C2303" s="17" t="n">
        <v>0.9270833333333334</v>
      </c>
      <c r="D2303" s="17" t="n">
        <v>0.3645833333333333</v>
      </c>
      <c r="E2303" t="inlineStr">
        <is>
          <t>Night</t>
        </is>
      </c>
      <c r="F2303" t="inlineStr">
        <is>
          <t>Sep</t>
        </is>
      </c>
      <c r="G2303" s="18">
        <f>IF(D2303&lt;C2303,D2303+1-C2303,D2303-C2303)*24</f>
        <v/>
      </c>
      <c r="H2303" s="18">
        <f>MAX(0,G2303-8)</f>
        <v/>
      </c>
    </row>
    <row r="2304">
      <c r="A2304" t="n">
        <v>1111</v>
      </c>
      <c r="B2304" s="14" t="n">
        <v>46266</v>
      </c>
      <c r="C2304" s="17" t="n">
        <v>0.9166666666666666</v>
      </c>
      <c r="D2304" s="17" t="n">
        <v>0.375</v>
      </c>
      <c r="E2304" t="inlineStr">
        <is>
          <t>Night</t>
        </is>
      </c>
      <c r="F2304" t="inlineStr">
        <is>
          <t>Sep</t>
        </is>
      </c>
      <c r="G2304" s="18">
        <f>IF(D2304&lt;C2304,D2304+1-C2304,D2304-C2304)*24</f>
        <v/>
      </c>
      <c r="H2304" s="18">
        <f>MAX(0,G2304-8)</f>
        <v/>
      </c>
    </row>
    <row r="2305">
      <c r="A2305" t="n">
        <v>1112</v>
      </c>
      <c r="B2305" s="14" t="n">
        <v>46266</v>
      </c>
      <c r="C2305" s="17" t="n">
        <v>0.9166666666666666</v>
      </c>
      <c r="D2305" s="17" t="n">
        <v>0.2708333333333333</v>
      </c>
      <c r="E2305" t="inlineStr">
        <is>
          <t>Night</t>
        </is>
      </c>
      <c r="F2305" t="inlineStr">
        <is>
          <t>Sep</t>
        </is>
      </c>
      <c r="G2305" s="18">
        <f>IF(D2305&lt;C2305,D2305+1-C2305,D2305-C2305)*24</f>
        <v/>
      </c>
      <c r="H2305" s="18">
        <f>MAX(0,G2305-8)</f>
        <v/>
      </c>
    </row>
    <row r="2306">
      <c r="A2306" t="n">
        <v>1113</v>
      </c>
      <c r="B2306" s="14" t="n">
        <v>46266</v>
      </c>
      <c r="C2306" s="17" t="n">
        <v>0.9375</v>
      </c>
      <c r="D2306" s="17" t="n">
        <v>0.375</v>
      </c>
      <c r="E2306" t="inlineStr">
        <is>
          <t>Night</t>
        </is>
      </c>
      <c r="F2306" t="inlineStr">
        <is>
          <t>Sep</t>
        </is>
      </c>
      <c r="G2306" s="18">
        <f>IF(D2306&lt;C2306,D2306+1-C2306,D2306-C2306)*24</f>
        <v/>
      </c>
      <c r="H2306" s="18">
        <f>MAX(0,G2306-8)</f>
        <v/>
      </c>
    </row>
    <row r="2307">
      <c r="A2307" t="n">
        <v>1114</v>
      </c>
      <c r="B2307" s="14" t="n">
        <v>46266</v>
      </c>
      <c r="C2307" s="17" t="n">
        <v>0.9375</v>
      </c>
      <c r="D2307" s="17" t="n">
        <v>0.3125</v>
      </c>
      <c r="E2307" t="inlineStr">
        <is>
          <t>Night</t>
        </is>
      </c>
      <c r="F2307" t="inlineStr">
        <is>
          <t>Sep</t>
        </is>
      </c>
      <c r="G2307" s="18">
        <f>IF(D2307&lt;C2307,D2307+1-C2307,D2307-C2307)*24</f>
        <v/>
      </c>
      <c r="H2307" s="18">
        <f>MAX(0,G2307-8)</f>
        <v/>
      </c>
    </row>
    <row r="2308">
      <c r="A2308" t="n">
        <v>1117</v>
      </c>
      <c r="B2308" s="14" t="n">
        <v>46266</v>
      </c>
      <c r="C2308" s="17" t="n">
        <v>0.9375</v>
      </c>
      <c r="D2308" s="17" t="n">
        <v>0.2916666666666667</v>
      </c>
      <c r="E2308" t="inlineStr">
        <is>
          <t>Night</t>
        </is>
      </c>
      <c r="F2308" t="inlineStr">
        <is>
          <t>Sep</t>
        </is>
      </c>
      <c r="G2308" s="18">
        <f>IF(D2308&lt;C2308,D2308+1-C2308,D2308-C2308)*24</f>
        <v/>
      </c>
      <c r="H2308" s="18">
        <f>MAX(0,G2308-8)</f>
        <v/>
      </c>
    </row>
    <row r="2309">
      <c r="A2309" t="n">
        <v>1118</v>
      </c>
      <c r="B2309" s="14" t="n">
        <v>46266</v>
      </c>
      <c r="C2309" s="17" t="n">
        <v>0.9166666666666666</v>
      </c>
      <c r="D2309" s="17" t="n">
        <v>0.3958333333333333</v>
      </c>
      <c r="E2309" t="inlineStr">
        <is>
          <t>Night</t>
        </is>
      </c>
      <c r="F2309" t="inlineStr">
        <is>
          <t>Sep</t>
        </is>
      </c>
      <c r="G2309" s="18">
        <f>IF(D2309&lt;C2309,D2309+1-C2309,D2309-C2309)*24</f>
        <v/>
      </c>
      <c r="H2309" s="18">
        <f>MAX(0,G2309-8)</f>
        <v/>
      </c>
    </row>
    <row r="2310">
      <c r="A2310" t="n">
        <v>1119</v>
      </c>
      <c r="B2310" s="14" t="n">
        <v>46266</v>
      </c>
      <c r="C2310" s="17" t="n">
        <v>0.9166666666666666</v>
      </c>
      <c r="D2310" s="17" t="n">
        <v>0.375</v>
      </c>
      <c r="E2310" t="inlineStr">
        <is>
          <t>Night</t>
        </is>
      </c>
      <c r="F2310" t="inlineStr">
        <is>
          <t>Sep</t>
        </is>
      </c>
      <c r="G2310" s="18">
        <f>IF(D2310&lt;C2310,D2310+1-C2310,D2310-C2310)*24</f>
        <v/>
      </c>
      <c r="H2310" s="18">
        <f>MAX(0,G2310-8)</f>
        <v/>
      </c>
    </row>
    <row r="2311">
      <c r="A2311" t="n">
        <v>1120</v>
      </c>
      <c r="B2311" s="14" t="n">
        <v>46266</v>
      </c>
      <c r="C2311" s="17" t="n">
        <v>0.9166666666666666</v>
      </c>
      <c r="D2311" s="17" t="n">
        <v>0.3125</v>
      </c>
      <c r="E2311" t="inlineStr">
        <is>
          <t>Night</t>
        </is>
      </c>
      <c r="F2311" t="inlineStr">
        <is>
          <t>Sep</t>
        </is>
      </c>
      <c r="G2311" s="18">
        <f>IF(D2311&lt;C2311,D2311+1-C2311,D2311-C2311)*24</f>
        <v/>
      </c>
      <c r="H2311" s="18">
        <f>MAX(0,G2311-8)</f>
        <v/>
      </c>
    </row>
    <row r="2312">
      <c r="A2312" t="n">
        <v>1121</v>
      </c>
      <c r="B2312" s="14" t="n">
        <v>46266</v>
      </c>
      <c r="C2312" s="17" t="n">
        <v>0.9166666666666666</v>
      </c>
      <c r="D2312" s="17" t="n">
        <v>0.25</v>
      </c>
      <c r="E2312" t="inlineStr">
        <is>
          <t>Night</t>
        </is>
      </c>
      <c r="F2312" t="inlineStr">
        <is>
          <t>Sep</t>
        </is>
      </c>
      <c r="G2312" s="18">
        <f>IF(D2312&lt;C2312,D2312+1-C2312,D2312-C2312)*24</f>
        <v/>
      </c>
      <c r="H2312" s="18">
        <f>MAX(0,G2312-8)</f>
        <v/>
      </c>
    </row>
    <row r="2313">
      <c r="A2313" t="n">
        <v>1122</v>
      </c>
      <c r="B2313" s="14" t="n">
        <v>46266</v>
      </c>
      <c r="C2313" s="17" t="n">
        <v>0.9166666666666666</v>
      </c>
      <c r="D2313" s="17" t="n">
        <v>0.2708333333333333</v>
      </c>
      <c r="E2313" t="inlineStr">
        <is>
          <t>Night</t>
        </is>
      </c>
      <c r="F2313" t="inlineStr">
        <is>
          <t>Sep</t>
        </is>
      </c>
      <c r="G2313" s="18">
        <f>IF(D2313&lt;C2313,D2313+1-C2313,D2313-C2313)*24</f>
        <v/>
      </c>
      <c r="H2313" s="18">
        <f>MAX(0,G2313-8)</f>
        <v/>
      </c>
    </row>
    <row r="2314">
      <c r="A2314" t="n">
        <v>1123</v>
      </c>
      <c r="B2314" s="14" t="n">
        <v>46266</v>
      </c>
      <c r="C2314" s="17" t="n">
        <v>0.9166666666666666</v>
      </c>
      <c r="D2314" s="17" t="n">
        <v>0.2708333333333333</v>
      </c>
      <c r="E2314" t="inlineStr">
        <is>
          <t>Night</t>
        </is>
      </c>
      <c r="F2314" t="inlineStr">
        <is>
          <t>Sep</t>
        </is>
      </c>
      <c r="G2314" s="18">
        <f>IF(D2314&lt;C2314,D2314+1-C2314,D2314-C2314)*24</f>
        <v/>
      </c>
      <c r="H2314" s="18">
        <f>MAX(0,G2314-8)</f>
        <v/>
      </c>
    </row>
    <row r="2315">
      <c r="A2315" t="n">
        <v>1124</v>
      </c>
      <c r="B2315" s="14" t="n">
        <v>46266</v>
      </c>
      <c r="C2315" s="17" t="n">
        <v>0.9166666666666666</v>
      </c>
      <c r="D2315" s="17" t="n">
        <v>0.25</v>
      </c>
      <c r="E2315" t="inlineStr">
        <is>
          <t>Night</t>
        </is>
      </c>
      <c r="F2315" t="inlineStr">
        <is>
          <t>Sep</t>
        </is>
      </c>
      <c r="G2315" s="18">
        <f>IF(D2315&lt;C2315,D2315+1-C2315,D2315-C2315)*24</f>
        <v/>
      </c>
      <c r="H2315" s="18">
        <f>MAX(0,G2315-8)</f>
        <v/>
      </c>
    </row>
    <row r="2316">
      <c r="A2316" t="n">
        <v>1126</v>
      </c>
      <c r="B2316" s="14" t="n">
        <v>46266</v>
      </c>
      <c r="C2316" s="17" t="n">
        <v>0.9166666666666666</v>
      </c>
      <c r="D2316" s="17" t="n">
        <v>0.3958333333333333</v>
      </c>
      <c r="E2316" t="inlineStr">
        <is>
          <t>Night</t>
        </is>
      </c>
      <c r="F2316" t="inlineStr">
        <is>
          <t>Sep</t>
        </is>
      </c>
      <c r="G2316" s="18">
        <f>IF(D2316&lt;C2316,D2316+1-C2316,D2316-C2316)*24</f>
        <v/>
      </c>
      <c r="H2316" s="18">
        <f>MAX(0,G2316-8)</f>
        <v/>
      </c>
    </row>
    <row r="2317">
      <c r="A2317" t="n">
        <v>1127</v>
      </c>
      <c r="B2317" s="14" t="n">
        <v>46266</v>
      </c>
      <c r="C2317" s="17" t="n">
        <v>0.9270833333333334</v>
      </c>
      <c r="D2317" s="17" t="n">
        <v>0.3229166666666667</v>
      </c>
      <c r="E2317" t="inlineStr">
        <is>
          <t>Night</t>
        </is>
      </c>
      <c r="F2317" t="inlineStr">
        <is>
          <t>Sep</t>
        </is>
      </c>
      <c r="G2317" s="18">
        <f>IF(D2317&lt;C2317,D2317+1-C2317,D2317-C2317)*24</f>
        <v/>
      </c>
      <c r="H2317" s="18">
        <f>MAX(0,G2317-8)</f>
        <v/>
      </c>
    </row>
    <row r="2318">
      <c r="A2318" t="n">
        <v>1128</v>
      </c>
      <c r="B2318" s="14" t="n">
        <v>46266</v>
      </c>
      <c r="C2318" s="17" t="n">
        <v>0.9166666666666666</v>
      </c>
      <c r="D2318" s="17" t="n">
        <v>0.25</v>
      </c>
      <c r="E2318" t="inlineStr">
        <is>
          <t>Night</t>
        </is>
      </c>
      <c r="F2318" t="inlineStr">
        <is>
          <t>Sep</t>
        </is>
      </c>
      <c r="G2318" s="18">
        <f>IF(D2318&lt;C2318,D2318+1-C2318,D2318-C2318)*24</f>
        <v/>
      </c>
      <c r="H2318" s="18">
        <f>MAX(0,G2318-8)</f>
        <v/>
      </c>
    </row>
    <row r="2319">
      <c r="A2319" t="n">
        <v>1129</v>
      </c>
      <c r="B2319" s="14" t="n">
        <v>46266</v>
      </c>
      <c r="C2319" s="17" t="n">
        <v>0.9166666666666666</v>
      </c>
      <c r="D2319" s="17" t="n">
        <v>0.25</v>
      </c>
      <c r="E2319" t="inlineStr">
        <is>
          <t>Night</t>
        </is>
      </c>
      <c r="F2319" t="inlineStr">
        <is>
          <t>Sep</t>
        </is>
      </c>
      <c r="G2319" s="18">
        <f>IF(D2319&lt;C2319,D2319+1-C2319,D2319-C2319)*24</f>
        <v/>
      </c>
      <c r="H2319" s="18">
        <f>MAX(0,G2319-8)</f>
        <v/>
      </c>
    </row>
    <row r="2320">
      <c r="A2320" t="n">
        <v>1130</v>
      </c>
      <c r="B2320" s="14" t="n">
        <v>46266</v>
      </c>
      <c r="C2320" s="17" t="n">
        <v>0.9166666666666666</v>
      </c>
      <c r="D2320" s="17" t="n">
        <v>0.3333333333333333</v>
      </c>
      <c r="E2320" t="inlineStr">
        <is>
          <t>Night</t>
        </is>
      </c>
      <c r="F2320" t="inlineStr">
        <is>
          <t>Sep</t>
        </is>
      </c>
      <c r="G2320" s="18">
        <f>IF(D2320&lt;C2320,D2320+1-C2320,D2320-C2320)*24</f>
        <v/>
      </c>
      <c r="H2320" s="18">
        <f>MAX(0,G2320-8)</f>
        <v/>
      </c>
    </row>
    <row r="2321">
      <c r="A2321" t="n">
        <v>1132</v>
      </c>
      <c r="B2321" s="14" t="n">
        <v>46266</v>
      </c>
      <c r="C2321" s="17" t="n">
        <v>0.9166666666666666</v>
      </c>
      <c r="D2321" s="17" t="n">
        <v>0.3125</v>
      </c>
      <c r="E2321" t="inlineStr">
        <is>
          <t>Night</t>
        </is>
      </c>
      <c r="F2321" t="inlineStr">
        <is>
          <t>Sep</t>
        </is>
      </c>
      <c r="G2321" s="18">
        <f>IF(D2321&lt;C2321,D2321+1-C2321,D2321-C2321)*24</f>
        <v/>
      </c>
      <c r="H2321" s="18">
        <f>MAX(0,G2321-8)</f>
        <v/>
      </c>
    </row>
    <row r="2322">
      <c r="A2322" t="n">
        <v>1133</v>
      </c>
      <c r="B2322" s="14" t="n">
        <v>46266</v>
      </c>
      <c r="C2322" s="17" t="n">
        <v>0.9375</v>
      </c>
      <c r="D2322" s="17" t="n">
        <v>0.3125</v>
      </c>
      <c r="E2322" t="inlineStr">
        <is>
          <t>Night</t>
        </is>
      </c>
      <c r="F2322" t="inlineStr">
        <is>
          <t>Sep</t>
        </is>
      </c>
      <c r="G2322" s="18">
        <f>IF(D2322&lt;C2322,D2322+1-C2322,D2322-C2322)*24</f>
        <v/>
      </c>
      <c r="H2322" s="18">
        <f>MAX(0,G2322-8)</f>
        <v/>
      </c>
    </row>
    <row r="2323">
      <c r="A2323" t="n">
        <v>1134</v>
      </c>
      <c r="B2323" s="14" t="n">
        <v>46266</v>
      </c>
      <c r="C2323" s="17" t="n">
        <v>0.9166666666666666</v>
      </c>
      <c r="D2323" s="17" t="n">
        <v>0.2708333333333333</v>
      </c>
      <c r="E2323" t="inlineStr">
        <is>
          <t>Night</t>
        </is>
      </c>
      <c r="F2323" t="inlineStr">
        <is>
          <t>Sep</t>
        </is>
      </c>
      <c r="G2323" s="18">
        <f>IF(D2323&lt;C2323,D2323+1-C2323,D2323-C2323)*24</f>
        <v/>
      </c>
      <c r="H2323" s="18">
        <f>MAX(0,G2323-8)</f>
        <v/>
      </c>
    </row>
    <row r="2324">
      <c r="A2324" t="n">
        <v>1135</v>
      </c>
      <c r="B2324" s="14" t="n">
        <v>46266</v>
      </c>
      <c r="C2324" s="17" t="n">
        <v>0.9270833333333334</v>
      </c>
      <c r="D2324" s="17" t="n">
        <v>0.3854166666666667</v>
      </c>
      <c r="E2324" t="inlineStr">
        <is>
          <t>Night</t>
        </is>
      </c>
      <c r="F2324" t="inlineStr">
        <is>
          <t>Sep</t>
        </is>
      </c>
      <c r="G2324" s="18">
        <f>IF(D2324&lt;C2324,D2324+1-C2324,D2324-C2324)*24</f>
        <v/>
      </c>
      <c r="H2324" s="18">
        <f>MAX(0,G2324-8)</f>
        <v/>
      </c>
    </row>
    <row r="2325">
      <c r="A2325" t="n">
        <v>1136</v>
      </c>
      <c r="B2325" s="14" t="n">
        <v>46266</v>
      </c>
      <c r="C2325" s="17" t="n">
        <v>0.9166666666666666</v>
      </c>
      <c r="D2325" s="17" t="n">
        <v>0.3125</v>
      </c>
      <c r="E2325" t="inlineStr">
        <is>
          <t>Night</t>
        </is>
      </c>
      <c r="F2325" t="inlineStr">
        <is>
          <t>Sep</t>
        </is>
      </c>
      <c r="G2325" s="18">
        <f>IF(D2325&lt;C2325,D2325+1-C2325,D2325-C2325)*24</f>
        <v/>
      </c>
      <c r="H2325" s="18">
        <f>MAX(0,G2325-8)</f>
        <v/>
      </c>
    </row>
    <row r="2326">
      <c r="A2326" t="n">
        <v>1137</v>
      </c>
      <c r="B2326" s="14" t="n">
        <v>46266</v>
      </c>
      <c r="C2326" s="17" t="n">
        <v>0.9166666666666666</v>
      </c>
      <c r="D2326" s="17" t="n">
        <v>0.3958333333333333</v>
      </c>
      <c r="E2326" t="inlineStr">
        <is>
          <t>Night</t>
        </is>
      </c>
      <c r="F2326" t="inlineStr">
        <is>
          <t>Sep</t>
        </is>
      </c>
      <c r="G2326" s="18">
        <f>IF(D2326&lt;C2326,D2326+1-C2326,D2326-C2326)*24</f>
        <v/>
      </c>
      <c r="H2326" s="18">
        <f>MAX(0,G2326-8)</f>
        <v/>
      </c>
    </row>
    <row r="2327">
      <c r="A2327" t="n">
        <v>1147</v>
      </c>
      <c r="B2327" s="14" t="n">
        <v>46266</v>
      </c>
      <c r="C2327" s="17" t="n">
        <v>0.9270833333333334</v>
      </c>
      <c r="D2327" s="17" t="n">
        <v>0.3229166666666667</v>
      </c>
      <c r="E2327" t="inlineStr">
        <is>
          <t>Night</t>
        </is>
      </c>
      <c r="F2327" t="inlineStr">
        <is>
          <t>Sep</t>
        </is>
      </c>
      <c r="G2327" s="18">
        <f>IF(D2327&lt;C2327,D2327+1-C2327,D2327-C2327)*24</f>
        <v/>
      </c>
      <c r="H2327" s="18">
        <f>MAX(0,G2327-8)</f>
        <v/>
      </c>
    </row>
    <row r="2328">
      <c r="A2328" t="n">
        <v>1107</v>
      </c>
      <c r="B2328" s="14" t="n">
        <v>46266</v>
      </c>
      <c r="C2328" s="17" t="n">
        <v>0.01041666666666667</v>
      </c>
      <c r="D2328" s="17" t="n">
        <v>0.34375</v>
      </c>
      <c r="E2328" t="inlineStr">
        <is>
          <t>Night</t>
        </is>
      </c>
      <c r="F2328" t="inlineStr">
        <is>
          <t>Sep</t>
        </is>
      </c>
      <c r="G2328" s="18">
        <f>IF(D2328&lt;C2328,D2328+1-C2328,D2328-C2328)*24</f>
        <v/>
      </c>
      <c r="H2328" s="18">
        <f>MAX(0,G2328-8)</f>
        <v/>
      </c>
    </row>
    <row r="2329">
      <c r="A2329" t="n">
        <v>1110</v>
      </c>
      <c r="B2329" s="14" t="n">
        <v>46266</v>
      </c>
      <c r="C2329" s="17" t="n">
        <v>0.01041666666666667</v>
      </c>
      <c r="D2329" s="17" t="n">
        <v>0.3645833333333333</v>
      </c>
      <c r="E2329" t="inlineStr">
        <is>
          <t>Night</t>
        </is>
      </c>
      <c r="F2329" t="inlineStr">
        <is>
          <t>Sep</t>
        </is>
      </c>
      <c r="G2329" s="18">
        <f>IF(D2329&lt;C2329,D2329+1-C2329,D2329-C2329)*24</f>
        <v/>
      </c>
      <c r="H2329" s="18">
        <f>MAX(0,G2329-8)</f>
        <v/>
      </c>
    </row>
    <row r="2330">
      <c r="A2330" t="n">
        <v>1125</v>
      </c>
      <c r="B2330" s="14" t="n">
        <v>46266</v>
      </c>
      <c r="C2330" s="17" t="n">
        <v>0.01041666666666667</v>
      </c>
      <c r="D2330" s="17" t="n">
        <v>0.4895833333333333</v>
      </c>
      <c r="E2330" t="inlineStr">
        <is>
          <t>Night</t>
        </is>
      </c>
      <c r="F2330" t="inlineStr">
        <is>
          <t>Sep</t>
        </is>
      </c>
      <c r="G2330" s="18">
        <f>IF(D2330&lt;C2330,D2330+1-C2330,D2330-C2330)*24</f>
        <v/>
      </c>
      <c r="H2330" s="18">
        <f>MAX(0,G2330-8)</f>
        <v/>
      </c>
    </row>
    <row r="2331">
      <c r="A2331" t="n">
        <v>1131</v>
      </c>
      <c r="B2331" s="14" t="n">
        <v>46266</v>
      </c>
      <c r="C2331" s="17" t="n">
        <v>0.02083333333333333</v>
      </c>
      <c r="D2331" s="17" t="n">
        <v>0.4375</v>
      </c>
      <c r="E2331" t="inlineStr">
        <is>
          <t>Night</t>
        </is>
      </c>
      <c r="F2331" t="inlineStr">
        <is>
          <t>Sep</t>
        </is>
      </c>
      <c r="G2331" s="18">
        <f>IF(D2331&lt;C2331,D2331+1-C2331,D2331-C2331)*24</f>
        <v/>
      </c>
      <c r="H2331" s="18">
        <f>MAX(0,G2331-8)</f>
        <v/>
      </c>
    </row>
    <row r="2332">
      <c r="A2332" t="n">
        <v>1201</v>
      </c>
      <c r="B2332" s="14" t="n">
        <v>46266</v>
      </c>
      <c r="C2332" s="17" t="n">
        <v>0.2708333333333333</v>
      </c>
      <c r="D2332" s="17" t="n">
        <v>0.6458333333333334</v>
      </c>
      <c r="E2332" t="inlineStr">
        <is>
          <t>Day</t>
        </is>
      </c>
      <c r="F2332" t="inlineStr">
        <is>
          <t>Sep</t>
        </is>
      </c>
      <c r="G2332" s="18">
        <f>IF(D2332&lt;C2332,D2332+1-C2332,D2332-C2332)*24</f>
        <v/>
      </c>
      <c r="H2332" s="18">
        <f>MAX(0,G2332-8)</f>
        <v/>
      </c>
    </row>
    <row r="2333">
      <c r="A2333" t="n">
        <v>1202</v>
      </c>
      <c r="B2333" s="14" t="n">
        <v>46266</v>
      </c>
      <c r="C2333" s="17" t="n">
        <v>0.2708333333333333</v>
      </c>
      <c r="D2333" s="17" t="n">
        <v>0.6875</v>
      </c>
      <c r="E2333" t="inlineStr">
        <is>
          <t>Day</t>
        </is>
      </c>
      <c r="F2333" t="inlineStr">
        <is>
          <t>Sep</t>
        </is>
      </c>
      <c r="G2333" s="18">
        <f>IF(D2333&lt;C2333,D2333+1-C2333,D2333-C2333)*24</f>
        <v/>
      </c>
      <c r="H2333" s="18">
        <f>MAX(0,G2333-8)</f>
        <v/>
      </c>
    </row>
    <row r="2334">
      <c r="A2334" t="n">
        <v>1203</v>
      </c>
      <c r="B2334" s="14" t="n">
        <v>46266</v>
      </c>
      <c r="C2334" s="17" t="n">
        <v>0.2708333333333333</v>
      </c>
      <c r="D2334" s="17" t="n">
        <v>0.6041666666666666</v>
      </c>
      <c r="E2334" t="inlineStr">
        <is>
          <t>Day</t>
        </is>
      </c>
      <c r="F2334" t="inlineStr">
        <is>
          <t>Sep</t>
        </is>
      </c>
      <c r="G2334" s="18">
        <f>IF(D2334&lt;C2334,D2334+1-C2334,D2334-C2334)*24</f>
        <v/>
      </c>
      <c r="H2334" s="18">
        <f>MAX(0,G2334-8)</f>
        <v/>
      </c>
    </row>
    <row r="2335">
      <c r="A2335" t="n">
        <v>1204</v>
      </c>
      <c r="B2335" s="14" t="n">
        <v>46266</v>
      </c>
      <c r="C2335" s="17" t="n">
        <v>0.25</v>
      </c>
      <c r="D2335" s="17" t="n">
        <v>0.5833333333333334</v>
      </c>
      <c r="E2335" t="inlineStr">
        <is>
          <t>Day</t>
        </is>
      </c>
      <c r="F2335" t="inlineStr">
        <is>
          <t>Sep</t>
        </is>
      </c>
      <c r="G2335" s="18">
        <f>IF(D2335&lt;C2335,D2335+1-C2335,D2335-C2335)*24</f>
        <v/>
      </c>
      <c r="H2335" s="18">
        <f>MAX(0,G2335-8)</f>
        <v/>
      </c>
    </row>
    <row r="2336">
      <c r="A2336" t="n">
        <v>1205</v>
      </c>
      <c r="B2336" s="14" t="n">
        <v>46266</v>
      </c>
      <c r="C2336" s="17" t="n">
        <v>0.25</v>
      </c>
      <c r="D2336" s="17" t="n">
        <v>0.5833333333333334</v>
      </c>
      <c r="E2336" t="inlineStr">
        <is>
          <t>Day</t>
        </is>
      </c>
      <c r="F2336" t="inlineStr">
        <is>
          <t>Sep</t>
        </is>
      </c>
      <c r="G2336" s="18">
        <f>IF(D2336&lt;C2336,D2336+1-C2336,D2336-C2336)*24</f>
        <v/>
      </c>
      <c r="H2336" s="18">
        <f>MAX(0,G2336-8)</f>
        <v/>
      </c>
    </row>
    <row r="2337">
      <c r="A2337" t="n">
        <v>1206</v>
      </c>
      <c r="B2337" s="14" t="n">
        <v>46266</v>
      </c>
      <c r="C2337" s="17" t="n">
        <v>0.25</v>
      </c>
      <c r="D2337" s="17" t="n">
        <v>0.5833333333333334</v>
      </c>
      <c r="E2337" t="inlineStr">
        <is>
          <t>Day</t>
        </is>
      </c>
      <c r="F2337" t="inlineStr">
        <is>
          <t>Sep</t>
        </is>
      </c>
      <c r="G2337" s="18">
        <f>IF(D2337&lt;C2337,D2337+1-C2337,D2337-C2337)*24</f>
        <v/>
      </c>
      <c r="H2337" s="18">
        <f>MAX(0,G2337-8)</f>
        <v/>
      </c>
    </row>
    <row r="2338">
      <c r="A2338" t="n">
        <v>1207</v>
      </c>
      <c r="B2338" s="14" t="n">
        <v>46266</v>
      </c>
      <c r="C2338" s="17" t="n">
        <v>0.2708333333333333</v>
      </c>
      <c r="D2338" s="17" t="n">
        <v>0.6041666666666666</v>
      </c>
      <c r="E2338" t="inlineStr">
        <is>
          <t>Day</t>
        </is>
      </c>
      <c r="F2338" t="inlineStr">
        <is>
          <t>Sep</t>
        </is>
      </c>
      <c r="G2338" s="18">
        <f>IF(D2338&lt;C2338,D2338+1-C2338,D2338-C2338)*24</f>
        <v/>
      </c>
      <c r="H2338" s="18">
        <f>MAX(0,G2338-8)</f>
        <v/>
      </c>
    </row>
    <row r="2339">
      <c r="A2339" t="n">
        <v>1208</v>
      </c>
      <c r="B2339" s="14" t="n">
        <v>46266</v>
      </c>
      <c r="C2339" s="17" t="n">
        <v>0.25</v>
      </c>
      <c r="D2339" s="17" t="n">
        <v>0.6666666666666666</v>
      </c>
      <c r="E2339" t="inlineStr">
        <is>
          <t>Day</t>
        </is>
      </c>
      <c r="F2339" t="inlineStr">
        <is>
          <t>Sep</t>
        </is>
      </c>
      <c r="G2339" s="18">
        <f>IF(D2339&lt;C2339,D2339+1-C2339,D2339-C2339)*24</f>
        <v/>
      </c>
      <c r="H2339" s="18">
        <f>MAX(0,G2339-8)</f>
        <v/>
      </c>
    </row>
    <row r="2340">
      <c r="A2340" t="n">
        <v>1209</v>
      </c>
      <c r="B2340" s="14" t="n">
        <v>46266</v>
      </c>
      <c r="C2340" s="17" t="n">
        <v>0.25</v>
      </c>
      <c r="D2340" s="17" t="n">
        <v>0.5833333333333334</v>
      </c>
      <c r="E2340" t="inlineStr">
        <is>
          <t>Day</t>
        </is>
      </c>
      <c r="F2340" t="inlineStr">
        <is>
          <t>Sep</t>
        </is>
      </c>
      <c r="G2340" s="18">
        <f>IF(D2340&lt;C2340,D2340+1-C2340,D2340-C2340)*24</f>
        <v/>
      </c>
      <c r="H2340" s="18">
        <f>MAX(0,G2340-8)</f>
        <v/>
      </c>
    </row>
    <row r="2341">
      <c r="A2341" t="n">
        <v>1210</v>
      </c>
      <c r="B2341" s="14" t="n">
        <v>46266</v>
      </c>
      <c r="C2341" s="17" t="n">
        <v>0.25</v>
      </c>
      <c r="D2341" s="17" t="n">
        <v>0.5833333333333334</v>
      </c>
      <c r="E2341" t="inlineStr">
        <is>
          <t>Day</t>
        </is>
      </c>
      <c r="F2341" t="inlineStr">
        <is>
          <t>Sep</t>
        </is>
      </c>
      <c r="G2341" s="18">
        <f>IF(D2341&lt;C2341,D2341+1-C2341,D2341-C2341)*24</f>
        <v/>
      </c>
      <c r="H2341" s="18">
        <f>MAX(0,G2341-8)</f>
        <v/>
      </c>
    </row>
    <row r="2342">
      <c r="A2342" t="n">
        <v>1211</v>
      </c>
      <c r="B2342" s="14" t="n">
        <v>46266</v>
      </c>
      <c r="C2342" s="17" t="n">
        <v>0.25</v>
      </c>
      <c r="D2342" s="17" t="n">
        <v>0.6666666666666666</v>
      </c>
      <c r="E2342" t="inlineStr">
        <is>
          <t>Day</t>
        </is>
      </c>
      <c r="F2342" t="inlineStr">
        <is>
          <t>Sep</t>
        </is>
      </c>
      <c r="G2342" s="18">
        <f>IF(D2342&lt;C2342,D2342+1-C2342,D2342-C2342)*24</f>
        <v/>
      </c>
      <c r="H2342" s="18">
        <f>MAX(0,G2342-8)</f>
        <v/>
      </c>
    </row>
    <row r="2343">
      <c r="A2343" t="n">
        <v>1212</v>
      </c>
      <c r="B2343" s="14" t="n">
        <v>46266</v>
      </c>
      <c r="C2343" s="17" t="n">
        <v>0.25</v>
      </c>
      <c r="D2343" s="17" t="n">
        <v>0.6666666666666666</v>
      </c>
      <c r="E2343" t="inlineStr">
        <is>
          <t>Day</t>
        </is>
      </c>
      <c r="F2343" t="inlineStr">
        <is>
          <t>Sep</t>
        </is>
      </c>
      <c r="G2343" s="18">
        <f>IF(D2343&lt;C2343,D2343+1-C2343,D2343-C2343)*24</f>
        <v/>
      </c>
      <c r="H2343" s="18">
        <f>MAX(0,G2343-8)</f>
        <v/>
      </c>
    </row>
    <row r="2344">
      <c r="A2344" t="n">
        <v>1213</v>
      </c>
      <c r="B2344" s="14" t="n">
        <v>46266</v>
      </c>
      <c r="C2344" s="17" t="n">
        <v>0.25</v>
      </c>
      <c r="D2344" s="17" t="n">
        <v>0.5833333333333334</v>
      </c>
      <c r="E2344" t="inlineStr">
        <is>
          <t>Day</t>
        </is>
      </c>
      <c r="F2344" t="inlineStr">
        <is>
          <t>Sep</t>
        </is>
      </c>
      <c r="G2344" s="18">
        <f>IF(D2344&lt;C2344,D2344+1-C2344,D2344-C2344)*24</f>
        <v/>
      </c>
      <c r="H2344" s="18">
        <f>MAX(0,G2344-8)</f>
        <v/>
      </c>
    </row>
    <row r="2345">
      <c r="A2345" t="n">
        <v>1214</v>
      </c>
      <c r="B2345" s="14" t="n">
        <v>46266</v>
      </c>
      <c r="C2345" s="17" t="n">
        <v>0.2708333333333333</v>
      </c>
      <c r="D2345" s="17" t="n">
        <v>0.6041666666666666</v>
      </c>
      <c r="E2345" t="inlineStr">
        <is>
          <t>Day</t>
        </is>
      </c>
      <c r="F2345" t="inlineStr">
        <is>
          <t>Sep</t>
        </is>
      </c>
      <c r="G2345" s="18">
        <f>IF(D2345&lt;C2345,D2345+1-C2345,D2345-C2345)*24</f>
        <v/>
      </c>
      <c r="H2345" s="18">
        <f>MAX(0,G2345-8)</f>
        <v/>
      </c>
    </row>
    <row r="2346">
      <c r="A2346" t="n">
        <v>1215</v>
      </c>
      <c r="B2346" s="14" t="n">
        <v>46266</v>
      </c>
      <c r="C2346" s="17" t="n">
        <v>0.25</v>
      </c>
      <c r="D2346" s="17" t="n">
        <v>0.5833333333333334</v>
      </c>
      <c r="E2346" t="inlineStr">
        <is>
          <t>Day</t>
        </is>
      </c>
      <c r="F2346" t="inlineStr">
        <is>
          <t>Sep</t>
        </is>
      </c>
      <c r="G2346" s="18">
        <f>IF(D2346&lt;C2346,D2346+1-C2346,D2346-C2346)*24</f>
        <v/>
      </c>
      <c r="H2346" s="18">
        <f>MAX(0,G2346-8)</f>
        <v/>
      </c>
    </row>
    <row r="2347">
      <c r="A2347" t="n">
        <v>1216</v>
      </c>
      <c r="B2347" s="14" t="n">
        <v>46266</v>
      </c>
      <c r="C2347" s="17" t="n">
        <v>0.2708333333333333</v>
      </c>
      <c r="D2347" s="17" t="n">
        <v>0.6458333333333334</v>
      </c>
      <c r="E2347" t="inlineStr">
        <is>
          <t>Day</t>
        </is>
      </c>
      <c r="F2347" t="inlineStr">
        <is>
          <t>Sep</t>
        </is>
      </c>
      <c r="G2347" s="18">
        <f>IF(D2347&lt;C2347,D2347+1-C2347,D2347-C2347)*24</f>
        <v/>
      </c>
      <c r="H2347" s="18">
        <f>MAX(0,G2347-8)</f>
        <v/>
      </c>
    </row>
    <row r="2348">
      <c r="A2348" t="n">
        <v>1217</v>
      </c>
      <c r="B2348" s="14" t="n">
        <v>46266</v>
      </c>
      <c r="C2348" s="17" t="n">
        <v>0.25</v>
      </c>
      <c r="D2348" s="17" t="n">
        <v>0.6666666666666666</v>
      </c>
      <c r="E2348" t="inlineStr">
        <is>
          <t>Day</t>
        </is>
      </c>
      <c r="F2348" t="inlineStr">
        <is>
          <t>Sep</t>
        </is>
      </c>
      <c r="G2348" s="18">
        <f>IF(D2348&lt;C2348,D2348+1-C2348,D2348-C2348)*24</f>
        <v/>
      </c>
      <c r="H2348" s="18">
        <f>MAX(0,G2348-8)</f>
        <v/>
      </c>
    </row>
    <row r="2349">
      <c r="A2349" t="n">
        <v>1218</v>
      </c>
      <c r="B2349" s="14" t="n">
        <v>46266</v>
      </c>
      <c r="C2349" s="17" t="n">
        <v>0.25</v>
      </c>
      <c r="D2349" s="17" t="n">
        <v>0.6666666666666666</v>
      </c>
      <c r="E2349" t="inlineStr">
        <is>
          <t>Day</t>
        </is>
      </c>
      <c r="F2349" t="inlineStr">
        <is>
          <t>Sep</t>
        </is>
      </c>
      <c r="G2349" s="18">
        <f>IF(D2349&lt;C2349,D2349+1-C2349,D2349-C2349)*24</f>
        <v/>
      </c>
      <c r="H2349" s="18">
        <f>MAX(0,G2349-8)</f>
        <v/>
      </c>
    </row>
    <row r="2350">
      <c r="A2350" t="n">
        <v>1219</v>
      </c>
      <c r="B2350" s="14" t="n">
        <v>46266</v>
      </c>
      <c r="C2350" s="17" t="n">
        <v>0.2708333333333333</v>
      </c>
      <c r="D2350" s="17" t="n">
        <v>0.6041666666666666</v>
      </c>
      <c r="E2350" t="inlineStr">
        <is>
          <t>Day</t>
        </is>
      </c>
      <c r="F2350" t="inlineStr">
        <is>
          <t>Sep</t>
        </is>
      </c>
      <c r="G2350" s="18">
        <f>IF(D2350&lt;C2350,D2350+1-C2350,D2350-C2350)*24</f>
        <v/>
      </c>
      <c r="H2350" s="18">
        <f>MAX(0,G2350-8)</f>
        <v/>
      </c>
    </row>
    <row r="2351">
      <c r="A2351" t="n">
        <v>1220</v>
      </c>
      <c r="B2351" s="14" t="n">
        <v>46266</v>
      </c>
      <c r="C2351" s="17" t="n">
        <v>0.25</v>
      </c>
      <c r="D2351" s="17" t="n">
        <v>0.6041666666666666</v>
      </c>
      <c r="E2351" t="inlineStr">
        <is>
          <t>Day</t>
        </is>
      </c>
      <c r="F2351" t="inlineStr">
        <is>
          <t>Sep</t>
        </is>
      </c>
      <c r="G2351" s="18">
        <f>IF(D2351&lt;C2351,D2351+1-C2351,D2351-C2351)*24</f>
        <v/>
      </c>
      <c r="H2351" s="18">
        <f>MAX(0,G2351-8)</f>
        <v/>
      </c>
    </row>
    <row r="2352">
      <c r="A2352" t="n">
        <v>1102</v>
      </c>
      <c r="B2352" s="14" t="n">
        <v>46267</v>
      </c>
      <c r="C2352" s="17" t="n">
        <v>0.9166666666666666</v>
      </c>
      <c r="D2352" s="17" t="n">
        <v>0.2916666666666667</v>
      </c>
      <c r="E2352" t="inlineStr">
        <is>
          <t>Night</t>
        </is>
      </c>
      <c r="F2352" t="inlineStr">
        <is>
          <t>Sep</t>
        </is>
      </c>
      <c r="G2352" s="18">
        <f>IF(D2352&lt;C2352,D2352+1-C2352,D2352-C2352)*24</f>
        <v/>
      </c>
      <c r="H2352" s="18">
        <f>MAX(0,G2352-8)</f>
        <v/>
      </c>
    </row>
    <row r="2353">
      <c r="A2353" t="n">
        <v>1103</v>
      </c>
      <c r="B2353" s="14" t="n">
        <v>46267</v>
      </c>
      <c r="C2353" s="17" t="n">
        <v>0.9166666666666666</v>
      </c>
      <c r="D2353" s="17" t="n">
        <v>0.3333333333333333</v>
      </c>
      <c r="E2353" t="inlineStr">
        <is>
          <t>Night</t>
        </is>
      </c>
      <c r="F2353" t="inlineStr">
        <is>
          <t>Sep</t>
        </is>
      </c>
      <c r="G2353" s="18">
        <f>IF(D2353&lt;C2353,D2353+1-C2353,D2353-C2353)*24</f>
        <v/>
      </c>
      <c r="H2353" s="18">
        <f>MAX(0,G2353-8)</f>
        <v/>
      </c>
    </row>
    <row r="2354">
      <c r="A2354" t="n">
        <v>1104</v>
      </c>
      <c r="B2354" s="14" t="n">
        <v>46267</v>
      </c>
      <c r="C2354" s="17" t="n">
        <v>0.9270833333333334</v>
      </c>
      <c r="D2354" s="17" t="n">
        <v>0.40625</v>
      </c>
      <c r="E2354" t="inlineStr">
        <is>
          <t>Night</t>
        </is>
      </c>
      <c r="F2354" t="inlineStr">
        <is>
          <t>Sep</t>
        </is>
      </c>
      <c r="G2354" s="18">
        <f>IF(D2354&lt;C2354,D2354+1-C2354,D2354-C2354)*24</f>
        <v/>
      </c>
      <c r="H2354" s="18">
        <f>MAX(0,G2354-8)</f>
        <v/>
      </c>
    </row>
    <row r="2355">
      <c r="A2355" t="n">
        <v>1106</v>
      </c>
      <c r="B2355" s="14" t="n">
        <v>46267</v>
      </c>
      <c r="C2355" s="17" t="n">
        <v>0.9375</v>
      </c>
      <c r="D2355" s="17" t="n">
        <v>0.375</v>
      </c>
      <c r="E2355" t="inlineStr">
        <is>
          <t>Night</t>
        </is>
      </c>
      <c r="F2355" t="inlineStr">
        <is>
          <t>Sep</t>
        </is>
      </c>
      <c r="G2355" s="18">
        <f>IF(D2355&lt;C2355,D2355+1-C2355,D2355-C2355)*24</f>
        <v/>
      </c>
      <c r="H2355" s="18">
        <f>MAX(0,G2355-8)</f>
        <v/>
      </c>
    </row>
    <row r="2356">
      <c r="A2356" t="n">
        <v>1107</v>
      </c>
      <c r="B2356" s="14" t="n">
        <v>46267</v>
      </c>
      <c r="C2356" s="17" t="n">
        <v>0.9270833333333334</v>
      </c>
      <c r="D2356" s="17" t="n">
        <v>0.34375</v>
      </c>
      <c r="E2356" t="inlineStr">
        <is>
          <t>Night</t>
        </is>
      </c>
      <c r="F2356" t="inlineStr">
        <is>
          <t>Sep</t>
        </is>
      </c>
      <c r="G2356" s="18">
        <f>IF(D2356&lt;C2356,D2356+1-C2356,D2356-C2356)*24</f>
        <v/>
      </c>
      <c r="H2356" s="18">
        <f>MAX(0,G2356-8)</f>
        <v/>
      </c>
    </row>
    <row r="2357">
      <c r="A2357" t="n">
        <v>1109</v>
      </c>
      <c r="B2357" s="14" t="n">
        <v>46267</v>
      </c>
      <c r="C2357" s="17" t="n">
        <v>0.9166666666666666</v>
      </c>
      <c r="D2357" s="17" t="n">
        <v>0.375</v>
      </c>
      <c r="E2357" t="inlineStr">
        <is>
          <t>Night</t>
        </is>
      </c>
      <c r="F2357" t="inlineStr">
        <is>
          <t>Sep</t>
        </is>
      </c>
      <c r="G2357" s="18">
        <f>IF(D2357&lt;C2357,D2357+1-C2357,D2357-C2357)*24</f>
        <v/>
      </c>
      <c r="H2357" s="18">
        <f>MAX(0,G2357-8)</f>
        <v/>
      </c>
    </row>
    <row r="2358">
      <c r="A2358" t="n">
        <v>1110</v>
      </c>
      <c r="B2358" s="14" t="n">
        <v>46267</v>
      </c>
      <c r="C2358" s="17" t="n">
        <v>0.9375</v>
      </c>
      <c r="D2358" s="17" t="n">
        <v>0.4166666666666667</v>
      </c>
      <c r="E2358" t="inlineStr">
        <is>
          <t>Night</t>
        </is>
      </c>
      <c r="F2358" t="inlineStr">
        <is>
          <t>Sep</t>
        </is>
      </c>
      <c r="G2358" s="18">
        <f>IF(D2358&lt;C2358,D2358+1-C2358,D2358-C2358)*24</f>
        <v/>
      </c>
      <c r="H2358" s="18">
        <f>MAX(0,G2358-8)</f>
        <v/>
      </c>
    </row>
    <row r="2359">
      <c r="A2359" t="n">
        <v>1111</v>
      </c>
      <c r="B2359" s="14" t="n">
        <v>46267</v>
      </c>
      <c r="C2359" s="17" t="n">
        <v>0.9166666666666666</v>
      </c>
      <c r="D2359" s="17" t="n">
        <v>0.3333333333333333</v>
      </c>
      <c r="E2359" t="inlineStr">
        <is>
          <t>Night</t>
        </is>
      </c>
      <c r="F2359" t="inlineStr">
        <is>
          <t>Sep</t>
        </is>
      </c>
      <c r="G2359" s="18">
        <f>IF(D2359&lt;C2359,D2359+1-C2359,D2359-C2359)*24</f>
        <v/>
      </c>
      <c r="H2359" s="18">
        <f>MAX(0,G2359-8)</f>
        <v/>
      </c>
    </row>
    <row r="2360">
      <c r="A2360" t="n">
        <v>1112</v>
      </c>
      <c r="B2360" s="14" t="n">
        <v>46267</v>
      </c>
      <c r="C2360" s="17" t="n">
        <v>0.9166666666666666</v>
      </c>
      <c r="D2360" s="17" t="n">
        <v>0.25</v>
      </c>
      <c r="E2360" t="inlineStr">
        <is>
          <t>Night</t>
        </is>
      </c>
      <c r="F2360" t="inlineStr">
        <is>
          <t>Sep</t>
        </is>
      </c>
      <c r="G2360" s="18">
        <f>IF(D2360&lt;C2360,D2360+1-C2360,D2360-C2360)*24</f>
        <v/>
      </c>
      <c r="H2360" s="18">
        <f>MAX(0,G2360-8)</f>
        <v/>
      </c>
    </row>
    <row r="2361">
      <c r="A2361" t="n">
        <v>1114</v>
      </c>
      <c r="B2361" s="14" t="n">
        <v>46267</v>
      </c>
      <c r="C2361" s="17" t="n">
        <v>0.9166666666666666</v>
      </c>
      <c r="D2361" s="17" t="n">
        <v>0.2708333333333333</v>
      </c>
      <c r="E2361" t="inlineStr">
        <is>
          <t>Night</t>
        </is>
      </c>
      <c r="F2361" t="inlineStr">
        <is>
          <t>Sep</t>
        </is>
      </c>
      <c r="G2361" s="18">
        <f>IF(D2361&lt;C2361,D2361+1-C2361,D2361-C2361)*24</f>
        <v/>
      </c>
      <c r="H2361" s="18">
        <f>MAX(0,G2361-8)</f>
        <v/>
      </c>
    </row>
    <row r="2362">
      <c r="A2362" t="n">
        <v>1115</v>
      </c>
      <c r="B2362" s="14" t="n">
        <v>46267</v>
      </c>
      <c r="C2362" s="17" t="n">
        <v>0.9166666666666666</v>
      </c>
      <c r="D2362" s="17" t="n">
        <v>0.2916666666666667</v>
      </c>
      <c r="E2362" t="inlineStr">
        <is>
          <t>Night</t>
        </is>
      </c>
      <c r="F2362" t="inlineStr">
        <is>
          <t>Sep</t>
        </is>
      </c>
      <c r="G2362" s="18">
        <f>IF(D2362&lt;C2362,D2362+1-C2362,D2362-C2362)*24</f>
        <v/>
      </c>
      <c r="H2362" s="18">
        <f>MAX(0,G2362-8)</f>
        <v/>
      </c>
    </row>
    <row r="2363">
      <c r="A2363" t="n">
        <v>1117</v>
      </c>
      <c r="B2363" s="14" t="n">
        <v>46267</v>
      </c>
      <c r="C2363" s="17" t="n">
        <v>0.9375</v>
      </c>
      <c r="D2363" s="17" t="n">
        <v>0.3125</v>
      </c>
      <c r="E2363" t="inlineStr">
        <is>
          <t>Night</t>
        </is>
      </c>
      <c r="F2363" t="inlineStr">
        <is>
          <t>Sep</t>
        </is>
      </c>
      <c r="G2363" s="18">
        <f>IF(D2363&lt;C2363,D2363+1-C2363,D2363-C2363)*24</f>
        <v/>
      </c>
      <c r="H2363" s="18">
        <f>MAX(0,G2363-8)</f>
        <v/>
      </c>
    </row>
    <row r="2364">
      <c r="A2364" t="n">
        <v>1118</v>
      </c>
      <c r="B2364" s="14" t="n">
        <v>46267</v>
      </c>
      <c r="C2364" s="17" t="n">
        <v>0.9166666666666666</v>
      </c>
      <c r="D2364" s="17" t="n">
        <v>0.25</v>
      </c>
      <c r="E2364" t="inlineStr">
        <is>
          <t>Night</t>
        </is>
      </c>
      <c r="F2364" t="inlineStr">
        <is>
          <t>Sep</t>
        </is>
      </c>
      <c r="G2364" s="18">
        <f>IF(D2364&lt;C2364,D2364+1-C2364,D2364-C2364)*24</f>
        <v/>
      </c>
      <c r="H2364" s="18">
        <f>MAX(0,G2364-8)</f>
        <v/>
      </c>
    </row>
    <row r="2365">
      <c r="A2365" t="n">
        <v>1119</v>
      </c>
      <c r="B2365" s="14" t="n">
        <v>46267</v>
      </c>
      <c r="C2365" s="17" t="n">
        <v>0.9270833333333334</v>
      </c>
      <c r="D2365" s="17" t="n">
        <v>0.3229166666666667</v>
      </c>
      <c r="E2365" t="inlineStr">
        <is>
          <t>Night</t>
        </is>
      </c>
      <c r="F2365" t="inlineStr">
        <is>
          <t>Sep</t>
        </is>
      </c>
      <c r="G2365" s="18">
        <f>IF(D2365&lt;C2365,D2365+1-C2365,D2365-C2365)*24</f>
        <v/>
      </c>
      <c r="H2365" s="18">
        <f>MAX(0,G2365-8)</f>
        <v/>
      </c>
    </row>
    <row r="2366">
      <c r="A2366" t="n">
        <v>1120</v>
      </c>
      <c r="B2366" s="14" t="n">
        <v>46267</v>
      </c>
      <c r="C2366" s="17" t="n">
        <v>0.9166666666666666</v>
      </c>
      <c r="D2366" s="17" t="n">
        <v>0.3333333333333333</v>
      </c>
      <c r="E2366" t="inlineStr">
        <is>
          <t>Night</t>
        </is>
      </c>
      <c r="F2366" t="inlineStr">
        <is>
          <t>Sep</t>
        </is>
      </c>
      <c r="G2366" s="18">
        <f>IF(D2366&lt;C2366,D2366+1-C2366,D2366-C2366)*24</f>
        <v/>
      </c>
      <c r="H2366" s="18">
        <f>MAX(0,G2366-8)</f>
        <v/>
      </c>
    </row>
    <row r="2367">
      <c r="A2367" t="n">
        <v>1121</v>
      </c>
      <c r="B2367" s="14" t="n">
        <v>46267</v>
      </c>
      <c r="C2367" s="17" t="n">
        <v>0.9270833333333334</v>
      </c>
      <c r="D2367" s="17" t="n">
        <v>0.3645833333333333</v>
      </c>
      <c r="E2367" t="inlineStr">
        <is>
          <t>Night</t>
        </is>
      </c>
      <c r="F2367" t="inlineStr">
        <is>
          <t>Sep</t>
        </is>
      </c>
      <c r="G2367" s="18">
        <f>IF(D2367&lt;C2367,D2367+1-C2367,D2367-C2367)*24</f>
        <v/>
      </c>
      <c r="H2367" s="18">
        <f>MAX(0,G2367-8)</f>
        <v/>
      </c>
    </row>
    <row r="2368">
      <c r="A2368" t="n">
        <v>1122</v>
      </c>
      <c r="B2368" s="14" t="n">
        <v>46267</v>
      </c>
      <c r="C2368" s="17" t="n">
        <v>0.9166666666666666</v>
      </c>
      <c r="D2368" s="17" t="n">
        <v>0.2916666666666667</v>
      </c>
      <c r="E2368" t="inlineStr">
        <is>
          <t>Night</t>
        </is>
      </c>
      <c r="F2368" t="inlineStr">
        <is>
          <t>Sep</t>
        </is>
      </c>
      <c r="G2368" s="18">
        <f>IF(D2368&lt;C2368,D2368+1-C2368,D2368-C2368)*24</f>
        <v/>
      </c>
      <c r="H2368" s="18">
        <f>MAX(0,G2368-8)</f>
        <v/>
      </c>
    </row>
    <row r="2369">
      <c r="A2369" t="n">
        <v>1123</v>
      </c>
      <c r="B2369" s="14" t="n">
        <v>46267</v>
      </c>
      <c r="C2369" s="17" t="n">
        <v>0.9375</v>
      </c>
      <c r="D2369" s="17" t="n">
        <v>0.2708333333333333</v>
      </c>
      <c r="E2369" t="inlineStr">
        <is>
          <t>Night</t>
        </is>
      </c>
      <c r="F2369" t="inlineStr">
        <is>
          <t>Sep</t>
        </is>
      </c>
      <c r="G2369" s="18">
        <f>IF(D2369&lt;C2369,D2369+1-C2369,D2369-C2369)*24</f>
        <v/>
      </c>
      <c r="H2369" s="18">
        <f>MAX(0,G2369-8)</f>
        <v/>
      </c>
    </row>
    <row r="2370">
      <c r="A2370" t="n">
        <v>1124</v>
      </c>
      <c r="B2370" s="14" t="n">
        <v>46267</v>
      </c>
      <c r="C2370" s="17" t="n">
        <v>0.9166666666666666</v>
      </c>
      <c r="D2370" s="17" t="n">
        <v>0.2916666666666667</v>
      </c>
      <c r="E2370" t="inlineStr">
        <is>
          <t>Night</t>
        </is>
      </c>
      <c r="F2370" t="inlineStr">
        <is>
          <t>Sep</t>
        </is>
      </c>
      <c r="G2370" s="18">
        <f>IF(D2370&lt;C2370,D2370+1-C2370,D2370-C2370)*24</f>
        <v/>
      </c>
      <c r="H2370" s="18">
        <f>MAX(0,G2370-8)</f>
        <v/>
      </c>
    </row>
    <row r="2371">
      <c r="A2371" t="n">
        <v>1125</v>
      </c>
      <c r="B2371" s="14" t="n">
        <v>46267</v>
      </c>
      <c r="C2371" s="17" t="n">
        <v>0.9375</v>
      </c>
      <c r="D2371" s="17" t="n">
        <v>0.2708333333333333</v>
      </c>
      <c r="E2371" t="inlineStr">
        <is>
          <t>Night</t>
        </is>
      </c>
      <c r="F2371" t="inlineStr">
        <is>
          <t>Sep</t>
        </is>
      </c>
      <c r="G2371" s="18">
        <f>IF(D2371&lt;C2371,D2371+1-C2371,D2371-C2371)*24</f>
        <v/>
      </c>
      <c r="H2371" s="18">
        <f>MAX(0,G2371-8)</f>
        <v/>
      </c>
    </row>
    <row r="2372">
      <c r="A2372" t="n">
        <v>1127</v>
      </c>
      <c r="B2372" s="14" t="n">
        <v>46267</v>
      </c>
      <c r="C2372" s="17" t="n">
        <v>0.9375</v>
      </c>
      <c r="D2372" s="17" t="n">
        <v>0.2916666666666667</v>
      </c>
      <c r="E2372" t="inlineStr">
        <is>
          <t>Night</t>
        </is>
      </c>
      <c r="F2372" t="inlineStr">
        <is>
          <t>Sep</t>
        </is>
      </c>
      <c r="G2372" s="18">
        <f>IF(D2372&lt;C2372,D2372+1-C2372,D2372-C2372)*24</f>
        <v/>
      </c>
      <c r="H2372" s="18">
        <f>MAX(0,G2372-8)</f>
        <v/>
      </c>
    </row>
    <row r="2373">
      <c r="A2373" t="n">
        <v>1130</v>
      </c>
      <c r="B2373" s="14" t="n">
        <v>46267</v>
      </c>
      <c r="C2373" s="17" t="n">
        <v>0.9375</v>
      </c>
      <c r="D2373" s="17" t="n">
        <v>0.3958333333333333</v>
      </c>
      <c r="E2373" t="inlineStr">
        <is>
          <t>Night</t>
        </is>
      </c>
      <c r="F2373" t="inlineStr">
        <is>
          <t>Sep</t>
        </is>
      </c>
      <c r="G2373" s="18">
        <f>IF(D2373&lt;C2373,D2373+1-C2373,D2373-C2373)*24</f>
        <v/>
      </c>
      <c r="H2373" s="18">
        <f>MAX(0,G2373-8)</f>
        <v/>
      </c>
    </row>
    <row r="2374">
      <c r="A2374" t="n">
        <v>1131</v>
      </c>
      <c r="B2374" s="14" t="n">
        <v>46267</v>
      </c>
      <c r="C2374" s="17" t="n">
        <v>0.9166666666666666</v>
      </c>
      <c r="D2374" s="17" t="n">
        <v>0.2708333333333333</v>
      </c>
      <c r="E2374" t="inlineStr">
        <is>
          <t>Night</t>
        </is>
      </c>
      <c r="F2374" t="inlineStr">
        <is>
          <t>Sep</t>
        </is>
      </c>
      <c r="G2374" s="18">
        <f>IF(D2374&lt;C2374,D2374+1-C2374,D2374-C2374)*24</f>
        <v/>
      </c>
      <c r="H2374" s="18">
        <f>MAX(0,G2374-8)</f>
        <v/>
      </c>
    </row>
    <row r="2375">
      <c r="A2375" t="n">
        <v>1132</v>
      </c>
      <c r="B2375" s="14" t="n">
        <v>46267</v>
      </c>
      <c r="C2375" s="17" t="n">
        <v>0.9270833333333334</v>
      </c>
      <c r="D2375" s="17" t="n">
        <v>0.40625</v>
      </c>
      <c r="E2375" t="inlineStr">
        <is>
          <t>Night</t>
        </is>
      </c>
      <c r="F2375" t="inlineStr">
        <is>
          <t>Sep</t>
        </is>
      </c>
      <c r="G2375" s="18">
        <f>IF(D2375&lt;C2375,D2375+1-C2375,D2375-C2375)*24</f>
        <v/>
      </c>
      <c r="H2375" s="18">
        <f>MAX(0,G2375-8)</f>
        <v/>
      </c>
    </row>
    <row r="2376">
      <c r="A2376" t="n">
        <v>1134</v>
      </c>
      <c r="B2376" s="14" t="n">
        <v>46267</v>
      </c>
      <c r="C2376" s="17" t="n">
        <v>0.9375</v>
      </c>
      <c r="D2376" s="17" t="n">
        <v>0.3541666666666667</v>
      </c>
      <c r="E2376" t="inlineStr">
        <is>
          <t>Night</t>
        </is>
      </c>
      <c r="F2376" t="inlineStr">
        <is>
          <t>Sep</t>
        </is>
      </c>
      <c r="G2376" s="18">
        <f>IF(D2376&lt;C2376,D2376+1-C2376,D2376-C2376)*24</f>
        <v/>
      </c>
      <c r="H2376" s="18">
        <f>MAX(0,G2376-8)</f>
        <v/>
      </c>
    </row>
    <row r="2377">
      <c r="A2377" t="n">
        <v>1135</v>
      </c>
      <c r="B2377" s="14" t="n">
        <v>46267</v>
      </c>
      <c r="C2377" s="17" t="n">
        <v>0.9166666666666666</v>
      </c>
      <c r="D2377" s="17" t="n">
        <v>0.2708333333333333</v>
      </c>
      <c r="E2377" t="inlineStr">
        <is>
          <t>Night</t>
        </is>
      </c>
      <c r="F2377" t="inlineStr">
        <is>
          <t>Sep</t>
        </is>
      </c>
      <c r="G2377" s="18">
        <f>IF(D2377&lt;C2377,D2377+1-C2377,D2377-C2377)*24</f>
        <v/>
      </c>
      <c r="H2377" s="18">
        <f>MAX(0,G2377-8)</f>
        <v/>
      </c>
    </row>
    <row r="2378">
      <c r="A2378" t="n">
        <v>1136</v>
      </c>
      <c r="B2378" s="14" t="n">
        <v>46267</v>
      </c>
      <c r="C2378" s="17" t="n">
        <v>0.9166666666666666</v>
      </c>
      <c r="D2378" s="17" t="n">
        <v>0.3958333333333333</v>
      </c>
      <c r="E2378" t="inlineStr">
        <is>
          <t>Night</t>
        </is>
      </c>
      <c r="F2378" t="inlineStr">
        <is>
          <t>Sep</t>
        </is>
      </c>
      <c r="G2378" s="18">
        <f>IF(D2378&lt;C2378,D2378+1-C2378,D2378-C2378)*24</f>
        <v/>
      </c>
      <c r="H2378" s="18">
        <f>MAX(0,G2378-8)</f>
        <v/>
      </c>
    </row>
    <row r="2379">
      <c r="A2379" t="n">
        <v>1137</v>
      </c>
      <c r="B2379" s="14" t="n">
        <v>46267</v>
      </c>
      <c r="C2379" s="17" t="n">
        <v>0.9166666666666666</v>
      </c>
      <c r="D2379" s="17" t="n">
        <v>0.3125</v>
      </c>
      <c r="E2379" t="inlineStr">
        <is>
          <t>Night</t>
        </is>
      </c>
      <c r="F2379" t="inlineStr">
        <is>
          <t>Sep</t>
        </is>
      </c>
      <c r="G2379" s="18">
        <f>IF(D2379&lt;C2379,D2379+1-C2379,D2379-C2379)*24</f>
        <v/>
      </c>
      <c r="H2379" s="18">
        <f>MAX(0,G2379-8)</f>
        <v/>
      </c>
    </row>
    <row r="2380">
      <c r="A2380" t="n">
        <v>1147</v>
      </c>
      <c r="B2380" s="14" t="n">
        <v>46267</v>
      </c>
      <c r="C2380" s="17" t="n">
        <v>0.9166666666666666</v>
      </c>
      <c r="D2380" s="17" t="n">
        <v>0.3125</v>
      </c>
      <c r="E2380" t="inlineStr">
        <is>
          <t>Night</t>
        </is>
      </c>
      <c r="F2380" t="inlineStr">
        <is>
          <t>Sep</t>
        </is>
      </c>
      <c r="G2380" s="18">
        <f>IF(D2380&lt;C2380,D2380+1-C2380,D2380-C2380)*24</f>
        <v/>
      </c>
      <c r="H2380" s="18">
        <f>MAX(0,G2380-8)</f>
        <v/>
      </c>
    </row>
    <row r="2381">
      <c r="A2381" t="n">
        <v>1101</v>
      </c>
      <c r="B2381" s="14" t="n">
        <v>46267</v>
      </c>
      <c r="C2381" s="17" t="n">
        <v>0.02083333333333333</v>
      </c>
      <c r="D2381" s="17" t="n">
        <v>0.4166666666666667</v>
      </c>
      <c r="E2381" t="inlineStr">
        <is>
          <t>Night</t>
        </is>
      </c>
      <c r="F2381" t="inlineStr">
        <is>
          <t>Sep</t>
        </is>
      </c>
      <c r="G2381" s="18">
        <f>IF(D2381&lt;C2381,D2381+1-C2381,D2381-C2381)*24</f>
        <v/>
      </c>
      <c r="H2381" s="18">
        <f>MAX(0,G2381-8)</f>
        <v/>
      </c>
    </row>
    <row r="2382">
      <c r="A2382" t="n">
        <v>1108</v>
      </c>
      <c r="B2382" s="14" t="n">
        <v>46267</v>
      </c>
      <c r="C2382" s="17" t="n">
        <v>0.01041666666666667</v>
      </c>
      <c r="D2382" s="17" t="n">
        <v>0.40625</v>
      </c>
      <c r="E2382" t="inlineStr">
        <is>
          <t>Night</t>
        </is>
      </c>
      <c r="F2382" t="inlineStr">
        <is>
          <t>Sep</t>
        </is>
      </c>
      <c r="G2382" s="18">
        <f>IF(D2382&lt;C2382,D2382+1-C2382,D2382-C2382)*24</f>
        <v/>
      </c>
      <c r="H2382" s="18">
        <f>MAX(0,G2382-8)</f>
        <v/>
      </c>
    </row>
    <row r="2383">
      <c r="A2383" t="n">
        <v>1113</v>
      </c>
      <c r="B2383" s="14" t="n">
        <v>46267</v>
      </c>
      <c r="C2383" s="17" t="n">
        <v>0.02083333333333333</v>
      </c>
      <c r="D2383" s="17" t="n">
        <v>0.5</v>
      </c>
      <c r="E2383" t="inlineStr">
        <is>
          <t>Night</t>
        </is>
      </c>
      <c r="F2383" t="inlineStr">
        <is>
          <t>Sep</t>
        </is>
      </c>
      <c r="G2383" s="18">
        <f>IF(D2383&lt;C2383,D2383+1-C2383,D2383-C2383)*24</f>
        <v/>
      </c>
      <c r="H2383" s="18">
        <f>MAX(0,G2383-8)</f>
        <v/>
      </c>
    </row>
    <row r="2384">
      <c r="A2384" t="n">
        <v>1116</v>
      </c>
      <c r="B2384" s="14" t="n">
        <v>46267</v>
      </c>
      <c r="C2384" s="17" t="n">
        <v>0.02083333333333333</v>
      </c>
      <c r="D2384" s="17" t="n">
        <v>0.4791666666666667</v>
      </c>
      <c r="E2384" t="inlineStr">
        <is>
          <t>Night</t>
        </is>
      </c>
      <c r="F2384" t="inlineStr">
        <is>
          <t>Sep</t>
        </is>
      </c>
      <c r="G2384" s="18">
        <f>IF(D2384&lt;C2384,D2384+1-C2384,D2384-C2384)*24</f>
        <v/>
      </c>
      <c r="H2384" s="18">
        <f>MAX(0,G2384-8)</f>
        <v/>
      </c>
    </row>
    <row r="2385">
      <c r="A2385" t="n">
        <v>1129</v>
      </c>
      <c r="B2385" s="14" t="n">
        <v>46267</v>
      </c>
      <c r="C2385" s="17" t="n">
        <v>0.02083333333333333</v>
      </c>
      <c r="D2385" s="17" t="n">
        <v>0.5</v>
      </c>
      <c r="E2385" t="inlineStr">
        <is>
          <t>Night</t>
        </is>
      </c>
      <c r="F2385" t="inlineStr">
        <is>
          <t>Sep</t>
        </is>
      </c>
      <c r="G2385" s="18">
        <f>IF(D2385&lt;C2385,D2385+1-C2385,D2385-C2385)*24</f>
        <v/>
      </c>
      <c r="H2385" s="18">
        <f>MAX(0,G2385-8)</f>
        <v/>
      </c>
    </row>
    <row r="2386">
      <c r="A2386" t="n">
        <v>1133</v>
      </c>
      <c r="B2386" s="14" t="n">
        <v>46267</v>
      </c>
      <c r="C2386" s="17" t="n">
        <v>0.01041666666666667</v>
      </c>
      <c r="D2386" s="17" t="n">
        <v>0.3645833333333333</v>
      </c>
      <c r="E2386" t="inlineStr">
        <is>
          <t>Night</t>
        </is>
      </c>
      <c r="F2386" t="inlineStr">
        <is>
          <t>Sep</t>
        </is>
      </c>
      <c r="G2386" s="18">
        <f>IF(D2386&lt;C2386,D2386+1-C2386,D2386-C2386)*24</f>
        <v/>
      </c>
      <c r="H2386" s="18">
        <f>MAX(0,G2386-8)</f>
        <v/>
      </c>
    </row>
    <row r="2387">
      <c r="A2387" t="n">
        <v>1201</v>
      </c>
      <c r="B2387" s="14" t="n">
        <v>46267</v>
      </c>
      <c r="C2387" s="17" t="n">
        <v>0.25</v>
      </c>
      <c r="D2387" s="17" t="n">
        <v>0.6666666666666666</v>
      </c>
      <c r="E2387" t="inlineStr">
        <is>
          <t>Day</t>
        </is>
      </c>
      <c r="F2387" t="inlineStr">
        <is>
          <t>Sep</t>
        </is>
      </c>
      <c r="G2387" s="18">
        <f>IF(D2387&lt;C2387,D2387+1-C2387,D2387-C2387)*24</f>
        <v/>
      </c>
      <c r="H2387" s="18">
        <f>MAX(0,G2387-8)</f>
        <v/>
      </c>
    </row>
    <row r="2388">
      <c r="A2388" t="n">
        <v>1202</v>
      </c>
      <c r="B2388" s="14" t="n">
        <v>46267</v>
      </c>
      <c r="C2388" s="17" t="n">
        <v>0.25</v>
      </c>
      <c r="D2388" s="17" t="n">
        <v>0.5833333333333334</v>
      </c>
      <c r="E2388" t="inlineStr">
        <is>
          <t>Day</t>
        </is>
      </c>
      <c r="F2388" t="inlineStr">
        <is>
          <t>Sep</t>
        </is>
      </c>
      <c r="G2388" s="18">
        <f>IF(D2388&lt;C2388,D2388+1-C2388,D2388-C2388)*24</f>
        <v/>
      </c>
      <c r="H2388" s="18">
        <f>MAX(0,G2388-8)</f>
        <v/>
      </c>
    </row>
    <row r="2389">
      <c r="A2389" t="n">
        <v>1203</v>
      </c>
      <c r="B2389" s="14" t="n">
        <v>46267</v>
      </c>
      <c r="C2389" s="17" t="n">
        <v>0.25</v>
      </c>
      <c r="D2389" s="17" t="n">
        <v>0.6041666666666666</v>
      </c>
      <c r="E2389" t="inlineStr">
        <is>
          <t>Day</t>
        </is>
      </c>
      <c r="F2389" t="inlineStr">
        <is>
          <t>Sep</t>
        </is>
      </c>
      <c r="G2389" s="18">
        <f>IF(D2389&lt;C2389,D2389+1-C2389,D2389-C2389)*24</f>
        <v/>
      </c>
      <c r="H2389" s="18">
        <f>MAX(0,G2389-8)</f>
        <v/>
      </c>
    </row>
    <row r="2390">
      <c r="A2390" t="n">
        <v>1204</v>
      </c>
      <c r="B2390" s="14" t="n">
        <v>46267</v>
      </c>
      <c r="C2390" s="17" t="n">
        <v>0.25</v>
      </c>
      <c r="D2390" s="17" t="n">
        <v>0.5833333333333334</v>
      </c>
      <c r="E2390" t="inlineStr">
        <is>
          <t>Day</t>
        </is>
      </c>
      <c r="F2390" t="inlineStr">
        <is>
          <t>Sep</t>
        </is>
      </c>
      <c r="G2390" s="18">
        <f>IF(D2390&lt;C2390,D2390+1-C2390,D2390-C2390)*24</f>
        <v/>
      </c>
      <c r="H2390" s="18">
        <f>MAX(0,G2390-8)</f>
        <v/>
      </c>
    </row>
    <row r="2391">
      <c r="A2391" t="n">
        <v>1205</v>
      </c>
      <c r="B2391" s="14" t="n">
        <v>46267</v>
      </c>
      <c r="C2391" s="17" t="n">
        <v>0.2708333333333333</v>
      </c>
      <c r="D2391" s="17" t="n">
        <v>0.625</v>
      </c>
      <c r="E2391" t="inlineStr">
        <is>
          <t>Day</t>
        </is>
      </c>
      <c r="F2391" t="inlineStr">
        <is>
          <t>Sep</t>
        </is>
      </c>
      <c r="G2391" s="18">
        <f>IF(D2391&lt;C2391,D2391+1-C2391,D2391-C2391)*24</f>
        <v/>
      </c>
      <c r="H2391" s="18">
        <f>MAX(0,G2391-8)</f>
        <v/>
      </c>
    </row>
    <row r="2392">
      <c r="A2392" t="n">
        <v>1206</v>
      </c>
      <c r="B2392" s="14" t="n">
        <v>46267</v>
      </c>
      <c r="C2392" s="17" t="n">
        <v>0.2708333333333333</v>
      </c>
      <c r="D2392" s="17" t="n">
        <v>0.625</v>
      </c>
      <c r="E2392" t="inlineStr">
        <is>
          <t>Day</t>
        </is>
      </c>
      <c r="F2392" t="inlineStr">
        <is>
          <t>Sep</t>
        </is>
      </c>
      <c r="G2392" s="18">
        <f>IF(D2392&lt;C2392,D2392+1-C2392,D2392-C2392)*24</f>
        <v/>
      </c>
      <c r="H2392" s="18">
        <f>MAX(0,G2392-8)</f>
        <v/>
      </c>
    </row>
    <row r="2393">
      <c r="A2393" t="n">
        <v>1207</v>
      </c>
      <c r="B2393" s="14" t="n">
        <v>46267</v>
      </c>
      <c r="C2393" s="17" t="n">
        <v>0.2708333333333333</v>
      </c>
      <c r="D2393" s="17" t="n">
        <v>0.6458333333333334</v>
      </c>
      <c r="E2393" t="inlineStr">
        <is>
          <t>Day</t>
        </is>
      </c>
      <c r="F2393" t="inlineStr">
        <is>
          <t>Sep</t>
        </is>
      </c>
      <c r="G2393" s="18">
        <f>IF(D2393&lt;C2393,D2393+1-C2393,D2393-C2393)*24</f>
        <v/>
      </c>
      <c r="H2393" s="18">
        <f>MAX(0,G2393-8)</f>
        <v/>
      </c>
    </row>
    <row r="2394">
      <c r="A2394" t="n">
        <v>1208</v>
      </c>
      <c r="B2394" s="14" t="n">
        <v>46267</v>
      </c>
      <c r="C2394" s="17" t="n">
        <v>0.25</v>
      </c>
      <c r="D2394" s="17" t="n">
        <v>0.6041666666666666</v>
      </c>
      <c r="E2394" t="inlineStr">
        <is>
          <t>Day</t>
        </is>
      </c>
      <c r="F2394" t="inlineStr">
        <is>
          <t>Sep</t>
        </is>
      </c>
      <c r="G2394" s="18">
        <f>IF(D2394&lt;C2394,D2394+1-C2394,D2394-C2394)*24</f>
        <v/>
      </c>
      <c r="H2394" s="18">
        <f>MAX(0,G2394-8)</f>
        <v/>
      </c>
    </row>
    <row r="2395">
      <c r="A2395" t="n">
        <v>1210</v>
      </c>
      <c r="B2395" s="14" t="n">
        <v>46267</v>
      </c>
      <c r="C2395" s="17" t="n">
        <v>0.25</v>
      </c>
      <c r="D2395" s="17" t="n">
        <v>0.5833333333333334</v>
      </c>
      <c r="E2395" t="inlineStr">
        <is>
          <t>Day</t>
        </is>
      </c>
      <c r="F2395" t="inlineStr">
        <is>
          <t>Sep</t>
        </is>
      </c>
      <c r="G2395" s="18">
        <f>IF(D2395&lt;C2395,D2395+1-C2395,D2395-C2395)*24</f>
        <v/>
      </c>
      <c r="H2395" s="18">
        <f>MAX(0,G2395-8)</f>
        <v/>
      </c>
    </row>
    <row r="2396">
      <c r="A2396" t="n">
        <v>1211</v>
      </c>
      <c r="B2396" s="14" t="n">
        <v>46267</v>
      </c>
      <c r="C2396" s="17" t="n">
        <v>0.25</v>
      </c>
      <c r="D2396" s="17" t="n">
        <v>0.6666666666666666</v>
      </c>
      <c r="E2396" t="inlineStr">
        <is>
          <t>Day</t>
        </is>
      </c>
      <c r="F2396" t="inlineStr">
        <is>
          <t>Sep</t>
        </is>
      </c>
      <c r="G2396" s="18">
        <f>IF(D2396&lt;C2396,D2396+1-C2396,D2396-C2396)*24</f>
        <v/>
      </c>
      <c r="H2396" s="18">
        <f>MAX(0,G2396-8)</f>
        <v/>
      </c>
    </row>
    <row r="2397">
      <c r="A2397" t="n">
        <v>1212</v>
      </c>
      <c r="B2397" s="14" t="n">
        <v>46267</v>
      </c>
      <c r="C2397" s="17" t="n">
        <v>0.25</v>
      </c>
      <c r="D2397" s="17" t="n">
        <v>0.625</v>
      </c>
      <c r="E2397" t="inlineStr">
        <is>
          <t>Day</t>
        </is>
      </c>
      <c r="F2397" t="inlineStr">
        <is>
          <t>Sep</t>
        </is>
      </c>
      <c r="G2397" s="18">
        <f>IF(D2397&lt;C2397,D2397+1-C2397,D2397-C2397)*24</f>
        <v/>
      </c>
      <c r="H2397" s="18">
        <f>MAX(0,G2397-8)</f>
        <v/>
      </c>
    </row>
    <row r="2398">
      <c r="A2398" t="n">
        <v>1213</v>
      </c>
      <c r="B2398" s="14" t="n">
        <v>46267</v>
      </c>
      <c r="C2398" s="17" t="n">
        <v>0.25</v>
      </c>
      <c r="D2398" s="17" t="n">
        <v>0.6041666666666666</v>
      </c>
      <c r="E2398" t="inlineStr">
        <is>
          <t>Day</t>
        </is>
      </c>
      <c r="F2398" t="inlineStr">
        <is>
          <t>Sep</t>
        </is>
      </c>
      <c r="G2398" s="18">
        <f>IF(D2398&lt;C2398,D2398+1-C2398,D2398-C2398)*24</f>
        <v/>
      </c>
      <c r="H2398" s="18">
        <f>MAX(0,G2398-8)</f>
        <v/>
      </c>
    </row>
    <row r="2399">
      <c r="A2399" t="n">
        <v>1214</v>
      </c>
      <c r="B2399" s="14" t="n">
        <v>46267</v>
      </c>
      <c r="C2399" s="17" t="n">
        <v>0.25</v>
      </c>
      <c r="D2399" s="17" t="n">
        <v>0.625</v>
      </c>
      <c r="E2399" t="inlineStr">
        <is>
          <t>Day</t>
        </is>
      </c>
      <c r="F2399" t="inlineStr">
        <is>
          <t>Sep</t>
        </is>
      </c>
      <c r="G2399" s="18">
        <f>IF(D2399&lt;C2399,D2399+1-C2399,D2399-C2399)*24</f>
        <v/>
      </c>
      <c r="H2399" s="18">
        <f>MAX(0,G2399-8)</f>
        <v/>
      </c>
    </row>
    <row r="2400">
      <c r="A2400" t="n">
        <v>1215</v>
      </c>
      <c r="B2400" s="14" t="n">
        <v>46267</v>
      </c>
      <c r="C2400" s="17" t="n">
        <v>0.25</v>
      </c>
      <c r="D2400" s="17" t="n">
        <v>0.6666666666666666</v>
      </c>
      <c r="E2400" t="inlineStr">
        <is>
          <t>Day</t>
        </is>
      </c>
      <c r="F2400" t="inlineStr">
        <is>
          <t>Sep</t>
        </is>
      </c>
      <c r="G2400" s="18">
        <f>IF(D2400&lt;C2400,D2400+1-C2400,D2400-C2400)*24</f>
        <v/>
      </c>
      <c r="H2400" s="18">
        <f>MAX(0,G2400-8)</f>
        <v/>
      </c>
    </row>
    <row r="2401">
      <c r="A2401" t="n">
        <v>1216</v>
      </c>
      <c r="B2401" s="14" t="n">
        <v>46267</v>
      </c>
      <c r="C2401" s="17" t="n">
        <v>0.25</v>
      </c>
      <c r="D2401" s="17" t="n">
        <v>0.5833333333333334</v>
      </c>
      <c r="E2401" t="inlineStr">
        <is>
          <t>Day</t>
        </is>
      </c>
      <c r="F2401" t="inlineStr">
        <is>
          <t>Sep</t>
        </is>
      </c>
      <c r="G2401" s="18">
        <f>IF(D2401&lt;C2401,D2401+1-C2401,D2401-C2401)*24</f>
        <v/>
      </c>
      <c r="H2401" s="18">
        <f>MAX(0,G2401-8)</f>
        <v/>
      </c>
    </row>
    <row r="2402">
      <c r="A2402" t="n">
        <v>1217</v>
      </c>
      <c r="B2402" s="14" t="n">
        <v>46267</v>
      </c>
      <c r="C2402" s="17" t="n">
        <v>0.25</v>
      </c>
      <c r="D2402" s="17" t="n">
        <v>0.5833333333333334</v>
      </c>
      <c r="E2402" t="inlineStr">
        <is>
          <t>Day</t>
        </is>
      </c>
      <c r="F2402" t="inlineStr">
        <is>
          <t>Sep</t>
        </is>
      </c>
      <c r="G2402" s="18">
        <f>IF(D2402&lt;C2402,D2402+1-C2402,D2402-C2402)*24</f>
        <v/>
      </c>
      <c r="H2402" s="18">
        <f>MAX(0,G2402-8)</f>
        <v/>
      </c>
    </row>
    <row r="2403">
      <c r="A2403" t="n">
        <v>1218</v>
      </c>
      <c r="B2403" s="14" t="n">
        <v>46267</v>
      </c>
      <c r="C2403" s="17" t="n">
        <v>0.25</v>
      </c>
      <c r="D2403" s="17" t="n">
        <v>0.5833333333333334</v>
      </c>
      <c r="E2403" t="inlineStr">
        <is>
          <t>Day</t>
        </is>
      </c>
      <c r="F2403" t="inlineStr">
        <is>
          <t>Sep</t>
        </is>
      </c>
      <c r="G2403" s="18">
        <f>IF(D2403&lt;C2403,D2403+1-C2403,D2403-C2403)*24</f>
        <v/>
      </c>
      <c r="H2403" s="18">
        <f>MAX(0,G2403-8)</f>
        <v/>
      </c>
    </row>
    <row r="2404">
      <c r="A2404" t="n">
        <v>1219</v>
      </c>
      <c r="B2404" s="14" t="n">
        <v>46267</v>
      </c>
      <c r="C2404" s="17" t="n">
        <v>0.2708333333333333</v>
      </c>
      <c r="D2404" s="17" t="n">
        <v>0.6458333333333334</v>
      </c>
      <c r="E2404" t="inlineStr">
        <is>
          <t>Day</t>
        </is>
      </c>
      <c r="F2404" t="inlineStr">
        <is>
          <t>Sep</t>
        </is>
      </c>
      <c r="G2404" s="18">
        <f>IF(D2404&lt;C2404,D2404+1-C2404,D2404-C2404)*24</f>
        <v/>
      </c>
      <c r="H2404" s="18">
        <f>MAX(0,G2404-8)</f>
        <v/>
      </c>
    </row>
    <row r="2405">
      <c r="A2405" t="n">
        <v>1220</v>
      </c>
      <c r="B2405" s="14" t="n">
        <v>46267</v>
      </c>
      <c r="C2405" s="17" t="n">
        <v>0.25</v>
      </c>
      <c r="D2405" s="17" t="n">
        <v>0.6041666666666666</v>
      </c>
      <c r="E2405" t="inlineStr">
        <is>
          <t>Day</t>
        </is>
      </c>
      <c r="F2405" t="inlineStr">
        <is>
          <t>Sep</t>
        </is>
      </c>
      <c r="G2405" s="18">
        <f>IF(D2405&lt;C2405,D2405+1-C2405,D2405-C2405)*24</f>
        <v/>
      </c>
      <c r="H2405" s="18">
        <f>MAX(0,G2405-8)</f>
        <v/>
      </c>
    </row>
    <row r="2406">
      <c r="A2406" t="n">
        <v>1101</v>
      </c>
      <c r="B2406" s="14" t="n">
        <v>46268</v>
      </c>
      <c r="C2406" s="17" t="n">
        <v>0.9270833333333334</v>
      </c>
      <c r="D2406" s="17" t="n">
        <v>0.3020833333333333</v>
      </c>
      <c r="E2406" t="inlineStr">
        <is>
          <t>Night</t>
        </is>
      </c>
      <c r="F2406" t="inlineStr">
        <is>
          <t>Sep</t>
        </is>
      </c>
      <c r="G2406" s="18">
        <f>IF(D2406&lt;C2406,D2406+1-C2406,D2406-C2406)*24</f>
        <v/>
      </c>
      <c r="H2406" s="18">
        <f>MAX(0,G2406-8)</f>
        <v/>
      </c>
    </row>
    <row r="2407">
      <c r="A2407" t="n">
        <v>1102</v>
      </c>
      <c r="B2407" s="14" t="n">
        <v>46268</v>
      </c>
      <c r="C2407" s="17" t="n">
        <v>0.9375</v>
      </c>
      <c r="D2407" s="17" t="n">
        <v>0.2916666666666667</v>
      </c>
      <c r="E2407" t="inlineStr">
        <is>
          <t>Night</t>
        </is>
      </c>
      <c r="F2407" t="inlineStr">
        <is>
          <t>Sep</t>
        </is>
      </c>
      <c r="G2407" s="18">
        <f>IF(D2407&lt;C2407,D2407+1-C2407,D2407-C2407)*24</f>
        <v/>
      </c>
      <c r="H2407" s="18">
        <f>MAX(0,G2407-8)</f>
        <v/>
      </c>
    </row>
    <row r="2408">
      <c r="A2408" t="n">
        <v>1103</v>
      </c>
      <c r="B2408" s="14" t="n">
        <v>46268</v>
      </c>
      <c r="C2408" s="17" t="n">
        <v>0.9270833333333334</v>
      </c>
      <c r="D2408" s="17" t="n">
        <v>0.2604166666666667</v>
      </c>
      <c r="E2408" t="inlineStr">
        <is>
          <t>Night</t>
        </is>
      </c>
      <c r="F2408" t="inlineStr">
        <is>
          <t>Sep</t>
        </is>
      </c>
      <c r="G2408" s="18">
        <f>IF(D2408&lt;C2408,D2408+1-C2408,D2408-C2408)*24</f>
        <v/>
      </c>
      <c r="H2408" s="18">
        <f>MAX(0,G2408-8)</f>
        <v/>
      </c>
    </row>
    <row r="2409">
      <c r="A2409" t="n">
        <v>1104</v>
      </c>
      <c r="B2409" s="14" t="n">
        <v>46268</v>
      </c>
      <c r="C2409" s="17" t="n">
        <v>0.9166666666666666</v>
      </c>
      <c r="D2409" s="17" t="n">
        <v>0.25</v>
      </c>
      <c r="E2409" t="inlineStr">
        <is>
          <t>Night</t>
        </is>
      </c>
      <c r="F2409" t="inlineStr">
        <is>
          <t>Sep</t>
        </is>
      </c>
      <c r="G2409" s="18">
        <f>IF(D2409&lt;C2409,D2409+1-C2409,D2409-C2409)*24</f>
        <v/>
      </c>
      <c r="H2409" s="18">
        <f>MAX(0,G2409-8)</f>
        <v/>
      </c>
    </row>
    <row r="2410">
      <c r="A2410" t="n">
        <v>1106</v>
      </c>
      <c r="B2410" s="14" t="n">
        <v>46268</v>
      </c>
      <c r="C2410" s="17" t="n">
        <v>0.9166666666666666</v>
      </c>
      <c r="D2410" s="17" t="n">
        <v>0.3958333333333333</v>
      </c>
      <c r="E2410" t="inlineStr">
        <is>
          <t>Night</t>
        </is>
      </c>
      <c r="F2410" t="inlineStr">
        <is>
          <t>Sep</t>
        </is>
      </c>
      <c r="G2410" s="18">
        <f>IF(D2410&lt;C2410,D2410+1-C2410,D2410-C2410)*24</f>
        <v/>
      </c>
      <c r="H2410" s="18">
        <f>MAX(0,G2410-8)</f>
        <v/>
      </c>
    </row>
    <row r="2411">
      <c r="A2411" t="n">
        <v>1108</v>
      </c>
      <c r="B2411" s="14" t="n">
        <v>46268</v>
      </c>
      <c r="C2411" s="17" t="n">
        <v>0.9375</v>
      </c>
      <c r="D2411" s="17" t="n">
        <v>0.2916666666666667</v>
      </c>
      <c r="E2411" t="inlineStr">
        <is>
          <t>Night</t>
        </is>
      </c>
      <c r="F2411" t="inlineStr">
        <is>
          <t>Sep</t>
        </is>
      </c>
      <c r="G2411" s="18">
        <f>IF(D2411&lt;C2411,D2411+1-C2411,D2411-C2411)*24</f>
        <v/>
      </c>
      <c r="H2411" s="18">
        <f>MAX(0,G2411-8)</f>
        <v/>
      </c>
    </row>
    <row r="2412">
      <c r="A2412" t="n">
        <v>1109</v>
      </c>
      <c r="B2412" s="14" t="n">
        <v>46268</v>
      </c>
      <c r="C2412" s="17" t="n">
        <v>0.9166666666666666</v>
      </c>
      <c r="D2412" s="17" t="n">
        <v>0.3125</v>
      </c>
      <c r="E2412" t="inlineStr">
        <is>
          <t>Night</t>
        </is>
      </c>
      <c r="F2412" t="inlineStr">
        <is>
          <t>Sep</t>
        </is>
      </c>
      <c r="G2412" s="18">
        <f>IF(D2412&lt;C2412,D2412+1-C2412,D2412-C2412)*24</f>
        <v/>
      </c>
      <c r="H2412" s="18">
        <f>MAX(0,G2412-8)</f>
        <v/>
      </c>
    </row>
    <row r="2413">
      <c r="A2413" t="n">
        <v>1110</v>
      </c>
      <c r="B2413" s="14" t="n">
        <v>46268</v>
      </c>
      <c r="C2413" s="17" t="n">
        <v>0.9270833333333334</v>
      </c>
      <c r="D2413" s="17" t="n">
        <v>0.34375</v>
      </c>
      <c r="E2413" t="inlineStr">
        <is>
          <t>Night</t>
        </is>
      </c>
      <c r="F2413" t="inlineStr">
        <is>
          <t>Sep</t>
        </is>
      </c>
      <c r="G2413" s="18">
        <f>IF(D2413&lt;C2413,D2413+1-C2413,D2413-C2413)*24</f>
        <v/>
      </c>
      <c r="H2413" s="18">
        <f>MAX(0,G2413-8)</f>
        <v/>
      </c>
    </row>
    <row r="2414">
      <c r="A2414" t="n">
        <v>1111</v>
      </c>
      <c r="B2414" s="14" t="n">
        <v>46268</v>
      </c>
      <c r="C2414" s="17" t="n">
        <v>0.9166666666666666</v>
      </c>
      <c r="D2414" s="17" t="n">
        <v>0.2916666666666667</v>
      </c>
      <c r="E2414" t="inlineStr">
        <is>
          <t>Night</t>
        </is>
      </c>
      <c r="F2414" t="inlineStr">
        <is>
          <t>Sep</t>
        </is>
      </c>
      <c r="G2414" s="18">
        <f>IF(D2414&lt;C2414,D2414+1-C2414,D2414-C2414)*24</f>
        <v/>
      </c>
      <c r="H2414" s="18">
        <f>MAX(0,G2414-8)</f>
        <v/>
      </c>
    </row>
    <row r="2415">
      <c r="A2415" t="n">
        <v>1112</v>
      </c>
      <c r="B2415" s="14" t="n">
        <v>46268</v>
      </c>
      <c r="C2415" s="17" t="n">
        <v>0.9166666666666666</v>
      </c>
      <c r="D2415" s="17" t="n">
        <v>0.25</v>
      </c>
      <c r="E2415" t="inlineStr">
        <is>
          <t>Night</t>
        </is>
      </c>
      <c r="F2415" t="inlineStr">
        <is>
          <t>Sep</t>
        </is>
      </c>
      <c r="G2415" s="18">
        <f>IF(D2415&lt;C2415,D2415+1-C2415,D2415-C2415)*24</f>
        <v/>
      </c>
      <c r="H2415" s="18">
        <f>MAX(0,G2415-8)</f>
        <v/>
      </c>
    </row>
    <row r="2416">
      <c r="A2416" t="n">
        <v>1113</v>
      </c>
      <c r="B2416" s="14" t="n">
        <v>46268</v>
      </c>
      <c r="C2416" s="17" t="n">
        <v>0.9166666666666666</v>
      </c>
      <c r="D2416" s="17" t="n">
        <v>0.25</v>
      </c>
      <c r="E2416" t="inlineStr">
        <is>
          <t>Night</t>
        </is>
      </c>
      <c r="F2416" t="inlineStr">
        <is>
          <t>Sep</t>
        </is>
      </c>
      <c r="G2416" s="18">
        <f>IF(D2416&lt;C2416,D2416+1-C2416,D2416-C2416)*24</f>
        <v/>
      </c>
      <c r="H2416" s="18">
        <f>MAX(0,G2416-8)</f>
        <v/>
      </c>
    </row>
    <row r="2417">
      <c r="A2417" t="n">
        <v>1114</v>
      </c>
      <c r="B2417" s="14" t="n">
        <v>46268</v>
      </c>
      <c r="C2417" s="17" t="n">
        <v>0.9166666666666666</v>
      </c>
      <c r="D2417" s="17" t="n">
        <v>0.3125</v>
      </c>
      <c r="E2417" t="inlineStr">
        <is>
          <t>Night</t>
        </is>
      </c>
      <c r="F2417" t="inlineStr">
        <is>
          <t>Sep</t>
        </is>
      </c>
      <c r="G2417" s="18">
        <f>IF(D2417&lt;C2417,D2417+1-C2417,D2417-C2417)*24</f>
        <v/>
      </c>
      <c r="H2417" s="18">
        <f>MAX(0,G2417-8)</f>
        <v/>
      </c>
    </row>
    <row r="2418">
      <c r="A2418" t="n">
        <v>1115</v>
      </c>
      <c r="B2418" s="14" t="n">
        <v>46268</v>
      </c>
      <c r="C2418" s="17" t="n">
        <v>0.9166666666666666</v>
      </c>
      <c r="D2418" s="17" t="n">
        <v>0.2708333333333333</v>
      </c>
      <c r="E2418" t="inlineStr">
        <is>
          <t>Night</t>
        </is>
      </c>
      <c r="F2418" t="inlineStr">
        <is>
          <t>Sep</t>
        </is>
      </c>
      <c r="G2418" s="18">
        <f>IF(D2418&lt;C2418,D2418+1-C2418,D2418-C2418)*24</f>
        <v/>
      </c>
      <c r="H2418" s="18">
        <f>MAX(0,G2418-8)</f>
        <v/>
      </c>
    </row>
    <row r="2419">
      <c r="A2419" t="n">
        <v>1116</v>
      </c>
      <c r="B2419" s="14" t="n">
        <v>46268</v>
      </c>
      <c r="C2419" s="17" t="n">
        <v>0.9270833333333334</v>
      </c>
      <c r="D2419" s="17" t="n">
        <v>0.3645833333333333</v>
      </c>
      <c r="E2419" t="inlineStr">
        <is>
          <t>Night</t>
        </is>
      </c>
      <c r="F2419" t="inlineStr">
        <is>
          <t>Sep</t>
        </is>
      </c>
      <c r="G2419" s="18">
        <f>IF(D2419&lt;C2419,D2419+1-C2419,D2419-C2419)*24</f>
        <v/>
      </c>
      <c r="H2419" s="18">
        <f>MAX(0,G2419-8)</f>
        <v/>
      </c>
    </row>
    <row r="2420">
      <c r="A2420" t="n">
        <v>1117</v>
      </c>
      <c r="B2420" s="14" t="n">
        <v>46268</v>
      </c>
      <c r="C2420" s="17" t="n">
        <v>0.9166666666666666</v>
      </c>
      <c r="D2420" s="17" t="n">
        <v>0.2708333333333333</v>
      </c>
      <c r="E2420" t="inlineStr">
        <is>
          <t>Night</t>
        </is>
      </c>
      <c r="F2420" t="inlineStr">
        <is>
          <t>Sep</t>
        </is>
      </c>
      <c r="G2420" s="18">
        <f>IF(D2420&lt;C2420,D2420+1-C2420,D2420-C2420)*24</f>
        <v/>
      </c>
      <c r="H2420" s="18">
        <f>MAX(0,G2420-8)</f>
        <v/>
      </c>
    </row>
    <row r="2421">
      <c r="A2421" t="n">
        <v>1119</v>
      </c>
      <c r="B2421" s="14" t="n">
        <v>46268</v>
      </c>
      <c r="C2421" s="17" t="n">
        <v>0.9270833333333334</v>
      </c>
      <c r="D2421" s="17" t="n">
        <v>0.3229166666666667</v>
      </c>
      <c r="E2421" t="inlineStr">
        <is>
          <t>Night</t>
        </is>
      </c>
      <c r="F2421" t="inlineStr">
        <is>
          <t>Sep</t>
        </is>
      </c>
      <c r="G2421" s="18">
        <f>IF(D2421&lt;C2421,D2421+1-C2421,D2421-C2421)*24</f>
        <v/>
      </c>
      <c r="H2421" s="18">
        <f>MAX(0,G2421-8)</f>
        <v/>
      </c>
    </row>
    <row r="2422">
      <c r="A2422" t="n">
        <v>1122</v>
      </c>
      <c r="B2422" s="14" t="n">
        <v>46268</v>
      </c>
      <c r="C2422" s="17" t="n">
        <v>0.9166666666666666</v>
      </c>
      <c r="D2422" s="17" t="n">
        <v>0.25</v>
      </c>
      <c r="E2422" t="inlineStr">
        <is>
          <t>Night</t>
        </is>
      </c>
      <c r="F2422" t="inlineStr">
        <is>
          <t>Sep</t>
        </is>
      </c>
      <c r="G2422" s="18">
        <f>IF(D2422&lt;C2422,D2422+1-C2422,D2422-C2422)*24</f>
        <v/>
      </c>
      <c r="H2422" s="18">
        <f>MAX(0,G2422-8)</f>
        <v/>
      </c>
    </row>
    <row r="2423">
      <c r="A2423" t="n">
        <v>1123</v>
      </c>
      <c r="B2423" s="14" t="n">
        <v>46268</v>
      </c>
      <c r="C2423" s="17" t="n">
        <v>0.9166666666666666</v>
      </c>
      <c r="D2423" s="17" t="n">
        <v>0.375</v>
      </c>
      <c r="E2423" t="inlineStr">
        <is>
          <t>Night</t>
        </is>
      </c>
      <c r="F2423" t="inlineStr">
        <is>
          <t>Sep</t>
        </is>
      </c>
      <c r="G2423" s="18">
        <f>IF(D2423&lt;C2423,D2423+1-C2423,D2423-C2423)*24</f>
        <v/>
      </c>
      <c r="H2423" s="18">
        <f>MAX(0,G2423-8)</f>
        <v/>
      </c>
    </row>
    <row r="2424">
      <c r="A2424" t="n">
        <v>1124</v>
      </c>
      <c r="B2424" s="14" t="n">
        <v>46268</v>
      </c>
      <c r="C2424" s="17" t="n">
        <v>0.9375</v>
      </c>
      <c r="D2424" s="17" t="n">
        <v>0.3333333333333333</v>
      </c>
      <c r="E2424" t="inlineStr">
        <is>
          <t>Night</t>
        </is>
      </c>
      <c r="F2424" t="inlineStr">
        <is>
          <t>Sep</t>
        </is>
      </c>
      <c r="G2424" s="18">
        <f>IF(D2424&lt;C2424,D2424+1-C2424,D2424-C2424)*24</f>
        <v/>
      </c>
      <c r="H2424" s="18">
        <f>MAX(0,G2424-8)</f>
        <v/>
      </c>
    </row>
    <row r="2425">
      <c r="A2425" t="n">
        <v>1125</v>
      </c>
      <c r="B2425" s="14" t="n">
        <v>46268</v>
      </c>
      <c r="C2425" s="17" t="n">
        <v>0.9166666666666666</v>
      </c>
      <c r="D2425" s="17" t="n">
        <v>0.375</v>
      </c>
      <c r="E2425" t="inlineStr">
        <is>
          <t>Night</t>
        </is>
      </c>
      <c r="F2425" t="inlineStr">
        <is>
          <t>Sep</t>
        </is>
      </c>
      <c r="G2425" s="18">
        <f>IF(D2425&lt;C2425,D2425+1-C2425,D2425-C2425)*24</f>
        <v/>
      </c>
      <c r="H2425" s="18">
        <f>MAX(0,G2425-8)</f>
        <v/>
      </c>
    </row>
    <row r="2426">
      <c r="A2426" t="n">
        <v>1126</v>
      </c>
      <c r="B2426" s="14" t="n">
        <v>46268</v>
      </c>
      <c r="C2426" s="17" t="n">
        <v>0.9166666666666666</v>
      </c>
      <c r="D2426" s="17" t="n">
        <v>0.3333333333333333</v>
      </c>
      <c r="E2426" t="inlineStr">
        <is>
          <t>Night</t>
        </is>
      </c>
      <c r="F2426" t="inlineStr">
        <is>
          <t>Sep</t>
        </is>
      </c>
      <c r="G2426" s="18">
        <f>IF(D2426&lt;C2426,D2426+1-C2426,D2426-C2426)*24</f>
        <v/>
      </c>
      <c r="H2426" s="18">
        <f>MAX(0,G2426-8)</f>
        <v/>
      </c>
    </row>
    <row r="2427">
      <c r="A2427" t="n">
        <v>1127</v>
      </c>
      <c r="B2427" s="14" t="n">
        <v>46268</v>
      </c>
      <c r="C2427" s="17" t="n">
        <v>0.9375</v>
      </c>
      <c r="D2427" s="17" t="n">
        <v>0.2916666666666667</v>
      </c>
      <c r="E2427" t="inlineStr">
        <is>
          <t>Night</t>
        </is>
      </c>
      <c r="F2427" t="inlineStr">
        <is>
          <t>Sep</t>
        </is>
      </c>
      <c r="G2427" s="18">
        <f>IF(D2427&lt;C2427,D2427+1-C2427,D2427-C2427)*24</f>
        <v/>
      </c>
      <c r="H2427" s="18">
        <f>MAX(0,G2427-8)</f>
        <v/>
      </c>
    </row>
    <row r="2428">
      <c r="A2428" t="n">
        <v>1128</v>
      </c>
      <c r="B2428" s="14" t="n">
        <v>46268</v>
      </c>
      <c r="C2428" s="17" t="n">
        <v>0.9166666666666666</v>
      </c>
      <c r="D2428" s="17" t="n">
        <v>0.3333333333333333</v>
      </c>
      <c r="E2428" t="inlineStr">
        <is>
          <t>Night</t>
        </is>
      </c>
      <c r="F2428" t="inlineStr">
        <is>
          <t>Sep</t>
        </is>
      </c>
      <c r="G2428" s="18">
        <f>IF(D2428&lt;C2428,D2428+1-C2428,D2428-C2428)*24</f>
        <v/>
      </c>
      <c r="H2428" s="18">
        <f>MAX(0,G2428-8)</f>
        <v/>
      </c>
    </row>
    <row r="2429">
      <c r="A2429" t="n">
        <v>1129</v>
      </c>
      <c r="B2429" s="14" t="n">
        <v>46268</v>
      </c>
      <c r="C2429" s="17" t="n">
        <v>0.9166666666666666</v>
      </c>
      <c r="D2429" s="17" t="n">
        <v>0.375</v>
      </c>
      <c r="E2429" t="inlineStr">
        <is>
          <t>Night</t>
        </is>
      </c>
      <c r="F2429" t="inlineStr">
        <is>
          <t>Sep</t>
        </is>
      </c>
      <c r="G2429" s="18">
        <f>IF(D2429&lt;C2429,D2429+1-C2429,D2429-C2429)*24</f>
        <v/>
      </c>
      <c r="H2429" s="18">
        <f>MAX(0,G2429-8)</f>
        <v/>
      </c>
    </row>
    <row r="2430">
      <c r="A2430" t="n">
        <v>1130</v>
      </c>
      <c r="B2430" s="14" t="n">
        <v>46268</v>
      </c>
      <c r="C2430" s="17" t="n">
        <v>0.9166666666666666</v>
      </c>
      <c r="D2430" s="17" t="n">
        <v>0.3125</v>
      </c>
      <c r="E2430" t="inlineStr">
        <is>
          <t>Night</t>
        </is>
      </c>
      <c r="F2430" t="inlineStr">
        <is>
          <t>Sep</t>
        </is>
      </c>
      <c r="G2430" s="18">
        <f>IF(D2430&lt;C2430,D2430+1-C2430,D2430-C2430)*24</f>
        <v/>
      </c>
      <c r="H2430" s="18">
        <f>MAX(0,G2430-8)</f>
        <v/>
      </c>
    </row>
    <row r="2431">
      <c r="A2431" t="n">
        <v>1132</v>
      </c>
      <c r="B2431" s="14" t="n">
        <v>46268</v>
      </c>
      <c r="C2431" s="17" t="n">
        <v>0.9375</v>
      </c>
      <c r="D2431" s="17" t="n">
        <v>0.2708333333333333</v>
      </c>
      <c r="E2431" t="inlineStr">
        <is>
          <t>Night</t>
        </is>
      </c>
      <c r="F2431" t="inlineStr">
        <is>
          <t>Sep</t>
        </is>
      </c>
      <c r="G2431" s="18">
        <f>IF(D2431&lt;C2431,D2431+1-C2431,D2431-C2431)*24</f>
        <v/>
      </c>
      <c r="H2431" s="18">
        <f>MAX(0,G2431-8)</f>
        <v/>
      </c>
    </row>
    <row r="2432">
      <c r="A2432" t="n">
        <v>1134</v>
      </c>
      <c r="B2432" s="14" t="n">
        <v>46268</v>
      </c>
      <c r="C2432" s="17" t="n">
        <v>0.9166666666666666</v>
      </c>
      <c r="D2432" s="17" t="n">
        <v>0.3125</v>
      </c>
      <c r="E2432" t="inlineStr">
        <is>
          <t>Night</t>
        </is>
      </c>
      <c r="F2432" t="inlineStr">
        <is>
          <t>Sep</t>
        </is>
      </c>
      <c r="G2432" s="18">
        <f>IF(D2432&lt;C2432,D2432+1-C2432,D2432-C2432)*24</f>
        <v/>
      </c>
      <c r="H2432" s="18">
        <f>MAX(0,G2432-8)</f>
        <v/>
      </c>
    </row>
    <row r="2433">
      <c r="A2433" t="n">
        <v>1135</v>
      </c>
      <c r="B2433" s="14" t="n">
        <v>46268</v>
      </c>
      <c r="C2433" s="17" t="n">
        <v>0.9375</v>
      </c>
      <c r="D2433" s="17" t="n">
        <v>0.375</v>
      </c>
      <c r="E2433" t="inlineStr">
        <is>
          <t>Night</t>
        </is>
      </c>
      <c r="F2433" t="inlineStr">
        <is>
          <t>Sep</t>
        </is>
      </c>
      <c r="G2433" s="18">
        <f>IF(D2433&lt;C2433,D2433+1-C2433,D2433-C2433)*24</f>
        <v/>
      </c>
      <c r="H2433" s="18">
        <f>MAX(0,G2433-8)</f>
        <v/>
      </c>
    </row>
    <row r="2434">
      <c r="A2434" t="n">
        <v>1136</v>
      </c>
      <c r="B2434" s="14" t="n">
        <v>46268</v>
      </c>
      <c r="C2434" s="17" t="n">
        <v>0.9270833333333334</v>
      </c>
      <c r="D2434" s="17" t="n">
        <v>0.3854166666666667</v>
      </c>
      <c r="E2434" t="inlineStr">
        <is>
          <t>Night</t>
        </is>
      </c>
      <c r="F2434" t="inlineStr">
        <is>
          <t>Sep</t>
        </is>
      </c>
      <c r="G2434" s="18">
        <f>IF(D2434&lt;C2434,D2434+1-C2434,D2434-C2434)*24</f>
        <v/>
      </c>
      <c r="H2434" s="18">
        <f>MAX(0,G2434-8)</f>
        <v/>
      </c>
    </row>
    <row r="2435">
      <c r="A2435" t="n">
        <v>1137</v>
      </c>
      <c r="B2435" s="14" t="n">
        <v>46268</v>
      </c>
      <c r="C2435" s="17" t="n">
        <v>0.9166666666666666</v>
      </c>
      <c r="D2435" s="17" t="n">
        <v>0.2916666666666667</v>
      </c>
      <c r="E2435" t="inlineStr">
        <is>
          <t>Night</t>
        </is>
      </c>
      <c r="F2435" t="inlineStr">
        <is>
          <t>Sep</t>
        </is>
      </c>
      <c r="G2435" s="18">
        <f>IF(D2435&lt;C2435,D2435+1-C2435,D2435-C2435)*24</f>
        <v/>
      </c>
      <c r="H2435" s="18">
        <f>MAX(0,G2435-8)</f>
        <v/>
      </c>
    </row>
    <row r="2436">
      <c r="A2436" t="n">
        <v>1147</v>
      </c>
      <c r="B2436" s="14" t="n">
        <v>46268</v>
      </c>
      <c r="C2436" s="17" t="n">
        <v>0.9166666666666666</v>
      </c>
      <c r="D2436" s="17" t="n">
        <v>0.2916666666666667</v>
      </c>
      <c r="E2436" t="inlineStr">
        <is>
          <t>Night</t>
        </is>
      </c>
      <c r="F2436" t="inlineStr">
        <is>
          <t>Sep</t>
        </is>
      </c>
      <c r="G2436" s="18">
        <f>IF(D2436&lt;C2436,D2436+1-C2436,D2436-C2436)*24</f>
        <v/>
      </c>
      <c r="H2436" s="18">
        <f>MAX(0,G2436-8)</f>
        <v/>
      </c>
    </row>
    <row r="2437">
      <c r="A2437" t="n">
        <v>1107</v>
      </c>
      <c r="B2437" s="14" t="n">
        <v>46268</v>
      </c>
      <c r="C2437" s="17" t="n">
        <v>0.01041666666666667</v>
      </c>
      <c r="D2437" s="17" t="n">
        <v>0.34375</v>
      </c>
      <c r="E2437" t="inlineStr">
        <is>
          <t>Night</t>
        </is>
      </c>
      <c r="F2437" t="inlineStr">
        <is>
          <t>Sep</t>
        </is>
      </c>
      <c r="G2437" s="18">
        <f>IF(D2437&lt;C2437,D2437+1-C2437,D2437-C2437)*24</f>
        <v/>
      </c>
      <c r="H2437" s="18">
        <f>MAX(0,G2437-8)</f>
        <v/>
      </c>
    </row>
    <row r="2438">
      <c r="A2438" t="n">
        <v>1118</v>
      </c>
      <c r="B2438" s="14" t="n">
        <v>46268</v>
      </c>
      <c r="C2438" s="17" t="n">
        <v>0.02083333333333333</v>
      </c>
      <c r="D2438" s="17" t="n">
        <v>0.4583333333333333</v>
      </c>
      <c r="E2438" t="inlineStr">
        <is>
          <t>Night</t>
        </is>
      </c>
      <c r="F2438" t="inlineStr">
        <is>
          <t>Sep</t>
        </is>
      </c>
      <c r="G2438" s="18">
        <f>IF(D2438&lt;C2438,D2438+1-C2438,D2438-C2438)*24</f>
        <v/>
      </c>
      <c r="H2438" s="18">
        <f>MAX(0,G2438-8)</f>
        <v/>
      </c>
    </row>
    <row r="2439">
      <c r="A2439" t="n">
        <v>1120</v>
      </c>
      <c r="B2439" s="14" t="n">
        <v>46268</v>
      </c>
      <c r="C2439" s="17" t="n">
        <v>0.01041666666666667</v>
      </c>
      <c r="D2439" s="17" t="n">
        <v>0.3645833333333333</v>
      </c>
      <c r="E2439" t="inlineStr">
        <is>
          <t>Night</t>
        </is>
      </c>
      <c r="F2439" t="inlineStr">
        <is>
          <t>Sep</t>
        </is>
      </c>
      <c r="G2439" s="18">
        <f>IF(D2439&lt;C2439,D2439+1-C2439,D2439-C2439)*24</f>
        <v/>
      </c>
      <c r="H2439" s="18">
        <f>MAX(0,G2439-8)</f>
        <v/>
      </c>
    </row>
    <row r="2440">
      <c r="A2440" t="n">
        <v>1121</v>
      </c>
      <c r="B2440" s="14" t="n">
        <v>46268</v>
      </c>
      <c r="C2440" s="17" t="n">
        <v>0.02083333333333333</v>
      </c>
      <c r="D2440" s="17" t="n">
        <v>0.375</v>
      </c>
      <c r="E2440" t="inlineStr">
        <is>
          <t>Night</t>
        </is>
      </c>
      <c r="F2440" t="inlineStr">
        <is>
          <t>Sep</t>
        </is>
      </c>
      <c r="G2440" s="18">
        <f>IF(D2440&lt;C2440,D2440+1-C2440,D2440-C2440)*24</f>
        <v/>
      </c>
      <c r="H2440" s="18">
        <f>MAX(0,G2440-8)</f>
        <v/>
      </c>
    </row>
    <row r="2441">
      <c r="A2441" t="n">
        <v>1131</v>
      </c>
      <c r="B2441" s="14" t="n">
        <v>46268</v>
      </c>
      <c r="C2441" s="17" t="n">
        <v>0.02083333333333333</v>
      </c>
      <c r="D2441" s="17" t="n">
        <v>0.4791666666666667</v>
      </c>
      <c r="E2441" t="inlineStr">
        <is>
          <t>Night</t>
        </is>
      </c>
      <c r="F2441" t="inlineStr">
        <is>
          <t>Sep</t>
        </is>
      </c>
      <c r="G2441" s="18">
        <f>IF(D2441&lt;C2441,D2441+1-C2441,D2441-C2441)*24</f>
        <v/>
      </c>
      <c r="H2441" s="18">
        <f>MAX(0,G2441-8)</f>
        <v/>
      </c>
    </row>
    <row r="2442">
      <c r="A2442" t="n">
        <v>1133</v>
      </c>
      <c r="B2442" s="14" t="n">
        <v>46268</v>
      </c>
      <c r="C2442" s="17" t="n">
        <v>0.01041666666666667</v>
      </c>
      <c r="D2442" s="17" t="n">
        <v>0.4270833333333333</v>
      </c>
      <c r="E2442" t="inlineStr">
        <is>
          <t>Night</t>
        </is>
      </c>
      <c r="F2442" t="inlineStr">
        <is>
          <t>Sep</t>
        </is>
      </c>
      <c r="G2442" s="18">
        <f>IF(D2442&lt;C2442,D2442+1-C2442,D2442-C2442)*24</f>
        <v/>
      </c>
      <c r="H2442" s="18">
        <f>MAX(0,G2442-8)</f>
        <v/>
      </c>
    </row>
    <row r="2443">
      <c r="A2443" t="n">
        <v>1201</v>
      </c>
      <c r="B2443" s="14" t="n">
        <v>46268</v>
      </c>
      <c r="C2443" s="17" t="n">
        <v>0.25</v>
      </c>
      <c r="D2443" s="17" t="n">
        <v>0.6041666666666666</v>
      </c>
      <c r="E2443" t="inlineStr">
        <is>
          <t>Day</t>
        </is>
      </c>
      <c r="F2443" t="inlineStr">
        <is>
          <t>Sep</t>
        </is>
      </c>
      <c r="G2443" s="18">
        <f>IF(D2443&lt;C2443,D2443+1-C2443,D2443-C2443)*24</f>
        <v/>
      </c>
      <c r="H2443" s="18">
        <f>MAX(0,G2443-8)</f>
        <v/>
      </c>
    </row>
    <row r="2444">
      <c r="A2444" t="n">
        <v>1202</v>
      </c>
      <c r="B2444" s="14" t="n">
        <v>46268</v>
      </c>
      <c r="C2444" s="17" t="n">
        <v>0.25</v>
      </c>
      <c r="D2444" s="17" t="n">
        <v>0.6666666666666666</v>
      </c>
      <c r="E2444" t="inlineStr">
        <is>
          <t>Day</t>
        </is>
      </c>
      <c r="F2444" t="inlineStr">
        <is>
          <t>Sep</t>
        </is>
      </c>
      <c r="G2444" s="18">
        <f>IF(D2444&lt;C2444,D2444+1-C2444,D2444-C2444)*24</f>
        <v/>
      </c>
      <c r="H2444" s="18">
        <f>MAX(0,G2444-8)</f>
        <v/>
      </c>
    </row>
    <row r="2445">
      <c r="A2445" t="n">
        <v>1203</v>
      </c>
      <c r="B2445" s="14" t="n">
        <v>46268</v>
      </c>
      <c r="C2445" s="17" t="n">
        <v>0.2708333333333333</v>
      </c>
      <c r="D2445" s="17" t="n">
        <v>0.6041666666666666</v>
      </c>
      <c r="E2445" t="inlineStr">
        <is>
          <t>Day</t>
        </is>
      </c>
      <c r="F2445" t="inlineStr">
        <is>
          <t>Sep</t>
        </is>
      </c>
      <c r="G2445" s="18">
        <f>IF(D2445&lt;C2445,D2445+1-C2445,D2445-C2445)*24</f>
        <v/>
      </c>
      <c r="H2445" s="18">
        <f>MAX(0,G2445-8)</f>
        <v/>
      </c>
    </row>
    <row r="2446">
      <c r="A2446" t="n">
        <v>1204</v>
      </c>
      <c r="B2446" s="14" t="n">
        <v>46268</v>
      </c>
      <c r="C2446" s="17" t="n">
        <v>0.25</v>
      </c>
      <c r="D2446" s="17" t="n">
        <v>0.6666666666666666</v>
      </c>
      <c r="E2446" t="inlineStr">
        <is>
          <t>Day</t>
        </is>
      </c>
      <c r="F2446" t="inlineStr">
        <is>
          <t>Sep</t>
        </is>
      </c>
      <c r="G2446" s="18">
        <f>IF(D2446&lt;C2446,D2446+1-C2446,D2446-C2446)*24</f>
        <v/>
      </c>
      <c r="H2446" s="18">
        <f>MAX(0,G2446-8)</f>
        <v/>
      </c>
    </row>
    <row r="2447">
      <c r="A2447" t="n">
        <v>1205</v>
      </c>
      <c r="B2447" s="14" t="n">
        <v>46268</v>
      </c>
      <c r="C2447" s="17" t="n">
        <v>0.25</v>
      </c>
      <c r="D2447" s="17" t="n">
        <v>0.6666666666666666</v>
      </c>
      <c r="E2447" t="inlineStr">
        <is>
          <t>Day</t>
        </is>
      </c>
      <c r="F2447" t="inlineStr">
        <is>
          <t>Sep</t>
        </is>
      </c>
      <c r="G2447" s="18">
        <f>IF(D2447&lt;C2447,D2447+1-C2447,D2447-C2447)*24</f>
        <v/>
      </c>
      <c r="H2447" s="18">
        <f>MAX(0,G2447-8)</f>
        <v/>
      </c>
    </row>
    <row r="2448">
      <c r="A2448" t="n">
        <v>1206</v>
      </c>
      <c r="B2448" s="14" t="n">
        <v>46268</v>
      </c>
      <c r="C2448" s="17" t="n">
        <v>0.25</v>
      </c>
      <c r="D2448" s="17" t="n">
        <v>0.6041666666666666</v>
      </c>
      <c r="E2448" t="inlineStr">
        <is>
          <t>Day</t>
        </is>
      </c>
      <c r="F2448" t="inlineStr">
        <is>
          <t>Sep</t>
        </is>
      </c>
      <c r="G2448" s="18">
        <f>IF(D2448&lt;C2448,D2448+1-C2448,D2448-C2448)*24</f>
        <v/>
      </c>
      <c r="H2448" s="18">
        <f>MAX(0,G2448-8)</f>
        <v/>
      </c>
    </row>
    <row r="2449">
      <c r="A2449" t="n">
        <v>1207</v>
      </c>
      <c r="B2449" s="14" t="n">
        <v>46268</v>
      </c>
      <c r="C2449" s="17" t="n">
        <v>0.2708333333333333</v>
      </c>
      <c r="D2449" s="17" t="n">
        <v>0.625</v>
      </c>
      <c r="E2449" t="inlineStr">
        <is>
          <t>Day</t>
        </is>
      </c>
      <c r="F2449" t="inlineStr">
        <is>
          <t>Sep</t>
        </is>
      </c>
      <c r="G2449" s="18">
        <f>IF(D2449&lt;C2449,D2449+1-C2449,D2449-C2449)*24</f>
        <v/>
      </c>
      <c r="H2449" s="18">
        <f>MAX(0,G2449-8)</f>
        <v/>
      </c>
    </row>
    <row r="2450">
      <c r="A2450" t="n">
        <v>1208</v>
      </c>
      <c r="B2450" s="14" t="n">
        <v>46268</v>
      </c>
      <c r="C2450" s="17" t="n">
        <v>0.2708333333333333</v>
      </c>
      <c r="D2450" s="17" t="n">
        <v>0.6458333333333334</v>
      </c>
      <c r="E2450" t="inlineStr">
        <is>
          <t>Day</t>
        </is>
      </c>
      <c r="F2450" t="inlineStr">
        <is>
          <t>Sep</t>
        </is>
      </c>
      <c r="G2450" s="18">
        <f>IF(D2450&lt;C2450,D2450+1-C2450,D2450-C2450)*24</f>
        <v/>
      </c>
      <c r="H2450" s="18">
        <f>MAX(0,G2450-8)</f>
        <v/>
      </c>
    </row>
    <row r="2451">
      <c r="A2451" t="n">
        <v>1209</v>
      </c>
      <c r="B2451" s="14" t="n">
        <v>46268</v>
      </c>
      <c r="C2451" s="17" t="n">
        <v>0.25</v>
      </c>
      <c r="D2451" s="17" t="n">
        <v>0.6666666666666666</v>
      </c>
      <c r="E2451" t="inlineStr">
        <is>
          <t>Day</t>
        </is>
      </c>
      <c r="F2451" t="inlineStr">
        <is>
          <t>Sep</t>
        </is>
      </c>
      <c r="G2451" s="18">
        <f>IF(D2451&lt;C2451,D2451+1-C2451,D2451-C2451)*24</f>
        <v/>
      </c>
      <c r="H2451" s="18">
        <f>MAX(0,G2451-8)</f>
        <v/>
      </c>
    </row>
    <row r="2452">
      <c r="A2452" t="n">
        <v>1210</v>
      </c>
      <c r="B2452" s="14" t="n">
        <v>46268</v>
      </c>
      <c r="C2452" s="17" t="n">
        <v>0.25</v>
      </c>
      <c r="D2452" s="17" t="n">
        <v>0.625</v>
      </c>
      <c r="E2452" t="inlineStr">
        <is>
          <t>Day</t>
        </is>
      </c>
      <c r="F2452" t="inlineStr">
        <is>
          <t>Sep</t>
        </is>
      </c>
      <c r="G2452" s="18">
        <f>IF(D2452&lt;C2452,D2452+1-C2452,D2452-C2452)*24</f>
        <v/>
      </c>
      <c r="H2452" s="18">
        <f>MAX(0,G2452-8)</f>
        <v/>
      </c>
    </row>
    <row r="2453">
      <c r="A2453" t="n">
        <v>1211</v>
      </c>
      <c r="B2453" s="14" t="n">
        <v>46268</v>
      </c>
      <c r="C2453" s="17" t="n">
        <v>0.2708333333333333</v>
      </c>
      <c r="D2453" s="17" t="n">
        <v>0.6458333333333334</v>
      </c>
      <c r="E2453" t="inlineStr">
        <is>
          <t>Day</t>
        </is>
      </c>
      <c r="F2453" t="inlineStr">
        <is>
          <t>Sep</t>
        </is>
      </c>
      <c r="G2453" s="18">
        <f>IF(D2453&lt;C2453,D2453+1-C2453,D2453-C2453)*24</f>
        <v/>
      </c>
      <c r="H2453" s="18">
        <f>MAX(0,G2453-8)</f>
        <v/>
      </c>
    </row>
    <row r="2454">
      <c r="A2454" t="n">
        <v>1212</v>
      </c>
      <c r="B2454" s="14" t="n">
        <v>46268</v>
      </c>
      <c r="C2454" s="17" t="n">
        <v>0.25</v>
      </c>
      <c r="D2454" s="17" t="n">
        <v>0.5833333333333334</v>
      </c>
      <c r="E2454" t="inlineStr">
        <is>
          <t>Day</t>
        </is>
      </c>
      <c r="F2454" t="inlineStr">
        <is>
          <t>Sep</t>
        </is>
      </c>
      <c r="G2454" s="18">
        <f>IF(D2454&lt;C2454,D2454+1-C2454,D2454-C2454)*24</f>
        <v/>
      </c>
      <c r="H2454" s="18">
        <f>MAX(0,G2454-8)</f>
        <v/>
      </c>
    </row>
    <row r="2455">
      <c r="A2455" t="n">
        <v>1213</v>
      </c>
      <c r="B2455" s="14" t="n">
        <v>46268</v>
      </c>
      <c r="C2455" s="17" t="n">
        <v>0.25</v>
      </c>
      <c r="D2455" s="17" t="n">
        <v>0.6041666666666666</v>
      </c>
      <c r="E2455" t="inlineStr">
        <is>
          <t>Day</t>
        </is>
      </c>
      <c r="F2455" t="inlineStr">
        <is>
          <t>Sep</t>
        </is>
      </c>
      <c r="G2455" s="18">
        <f>IF(D2455&lt;C2455,D2455+1-C2455,D2455-C2455)*24</f>
        <v/>
      </c>
      <c r="H2455" s="18">
        <f>MAX(0,G2455-8)</f>
        <v/>
      </c>
    </row>
    <row r="2456">
      <c r="A2456" t="n">
        <v>1214</v>
      </c>
      <c r="B2456" s="14" t="n">
        <v>46268</v>
      </c>
      <c r="C2456" s="17" t="n">
        <v>0.25</v>
      </c>
      <c r="D2456" s="17" t="n">
        <v>0.6666666666666666</v>
      </c>
      <c r="E2456" t="inlineStr">
        <is>
          <t>Day</t>
        </is>
      </c>
      <c r="F2456" t="inlineStr">
        <is>
          <t>Sep</t>
        </is>
      </c>
      <c r="G2456" s="18">
        <f>IF(D2456&lt;C2456,D2456+1-C2456,D2456-C2456)*24</f>
        <v/>
      </c>
      <c r="H2456" s="18">
        <f>MAX(0,G2456-8)</f>
        <v/>
      </c>
    </row>
    <row r="2457">
      <c r="A2457" t="n">
        <v>1215</v>
      </c>
      <c r="B2457" s="14" t="n">
        <v>46268</v>
      </c>
      <c r="C2457" s="17" t="n">
        <v>0.25</v>
      </c>
      <c r="D2457" s="17" t="n">
        <v>0.5833333333333334</v>
      </c>
      <c r="E2457" t="inlineStr">
        <is>
          <t>Day</t>
        </is>
      </c>
      <c r="F2457" t="inlineStr">
        <is>
          <t>Sep</t>
        </is>
      </c>
      <c r="G2457" s="18">
        <f>IF(D2457&lt;C2457,D2457+1-C2457,D2457-C2457)*24</f>
        <v/>
      </c>
      <c r="H2457" s="18">
        <f>MAX(0,G2457-8)</f>
        <v/>
      </c>
    </row>
    <row r="2458">
      <c r="A2458" t="n">
        <v>1216</v>
      </c>
      <c r="B2458" s="14" t="n">
        <v>46268</v>
      </c>
      <c r="C2458" s="17" t="n">
        <v>0.25</v>
      </c>
      <c r="D2458" s="17" t="n">
        <v>0.5833333333333334</v>
      </c>
      <c r="E2458" t="inlineStr">
        <is>
          <t>Day</t>
        </is>
      </c>
      <c r="F2458" t="inlineStr">
        <is>
          <t>Sep</t>
        </is>
      </c>
      <c r="G2458" s="18">
        <f>IF(D2458&lt;C2458,D2458+1-C2458,D2458-C2458)*24</f>
        <v/>
      </c>
      <c r="H2458" s="18">
        <f>MAX(0,G2458-8)</f>
        <v/>
      </c>
    </row>
    <row r="2459">
      <c r="A2459" t="n">
        <v>1217</v>
      </c>
      <c r="B2459" s="14" t="n">
        <v>46268</v>
      </c>
      <c r="C2459" s="17" t="n">
        <v>0.25</v>
      </c>
      <c r="D2459" s="17" t="n">
        <v>0.5833333333333334</v>
      </c>
      <c r="E2459" t="inlineStr">
        <is>
          <t>Day</t>
        </is>
      </c>
      <c r="F2459" t="inlineStr">
        <is>
          <t>Sep</t>
        </is>
      </c>
      <c r="G2459" s="18">
        <f>IF(D2459&lt;C2459,D2459+1-C2459,D2459-C2459)*24</f>
        <v/>
      </c>
      <c r="H2459" s="18">
        <f>MAX(0,G2459-8)</f>
        <v/>
      </c>
    </row>
    <row r="2460">
      <c r="A2460" t="n">
        <v>1218</v>
      </c>
      <c r="B2460" s="14" t="n">
        <v>46268</v>
      </c>
      <c r="C2460" s="17" t="n">
        <v>0.25</v>
      </c>
      <c r="D2460" s="17" t="n">
        <v>0.5833333333333334</v>
      </c>
      <c r="E2460" t="inlineStr">
        <is>
          <t>Day</t>
        </is>
      </c>
      <c r="F2460" t="inlineStr">
        <is>
          <t>Sep</t>
        </is>
      </c>
      <c r="G2460" s="18">
        <f>IF(D2460&lt;C2460,D2460+1-C2460,D2460-C2460)*24</f>
        <v/>
      </c>
      <c r="H2460" s="18">
        <f>MAX(0,G2460-8)</f>
        <v/>
      </c>
    </row>
    <row r="2461">
      <c r="A2461" t="n">
        <v>1219</v>
      </c>
      <c r="B2461" s="14" t="n">
        <v>46268</v>
      </c>
      <c r="C2461" s="17" t="n">
        <v>0.2708333333333333</v>
      </c>
      <c r="D2461" s="17" t="n">
        <v>0.625</v>
      </c>
      <c r="E2461" t="inlineStr">
        <is>
          <t>Day</t>
        </is>
      </c>
      <c r="F2461" t="inlineStr">
        <is>
          <t>Sep</t>
        </is>
      </c>
      <c r="G2461" s="18">
        <f>IF(D2461&lt;C2461,D2461+1-C2461,D2461-C2461)*24</f>
        <v/>
      </c>
      <c r="H2461" s="18">
        <f>MAX(0,G2461-8)</f>
        <v/>
      </c>
    </row>
    <row r="2462">
      <c r="A2462" t="n">
        <v>1220</v>
      </c>
      <c r="B2462" s="14" t="n">
        <v>46268</v>
      </c>
      <c r="C2462" s="17" t="n">
        <v>0.25</v>
      </c>
      <c r="D2462" s="17" t="n">
        <v>0.625</v>
      </c>
      <c r="E2462" t="inlineStr">
        <is>
          <t>Day</t>
        </is>
      </c>
      <c r="F2462" t="inlineStr">
        <is>
          <t>Sep</t>
        </is>
      </c>
      <c r="G2462" s="18">
        <f>IF(D2462&lt;C2462,D2462+1-C2462,D2462-C2462)*24</f>
        <v/>
      </c>
      <c r="H2462" s="18">
        <f>MAX(0,G2462-8)</f>
        <v/>
      </c>
    </row>
    <row r="2463">
      <c r="A2463" t="n">
        <v>1101</v>
      </c>
      <c r="B2463" s="14" t="n">
        <v>46269</v>
      </c>
      <c r="C2463" s="17" t="n">
        <v>0.9270833333333334</v>
      </c>
      <c r="D2463" s="17" t="n">
        <v>0.34375</v>
      </c>
      <c r="E2463" t="inlineStr">
        <is>
          <t>Night</t>
        </is>
      </c>
      <c r="F2463" t="inlineStr">
        <is>
          <t>Sep</t>
        </is>
      </c>
      <c r="G2463" s="18">
        <f>IF(D2463&lt;C2463,D2463+1-C2463,D2463-C2463)*24</f>
        <v/>
      </c>
      <c r="H2463" s="18">
        <f>MAX(0,G2463-8)</f>
        <v/>
      </c>
    </row>
    <row r="2464">
      <c r="A2464" t="n">
        <v>1102</v>
      </c>
      <c r="B2464" s="14" t="n">
        <v>46269</v>
      </c>
      <c r="C2464" s="17" t="n">
        <v>0.9166666666666666</v>
      </c>
      <c r="D2464" s="17" t="n">
        <v>0.2916666666666667</v>
      </c>
      <c r="E2464" t="inlineStr">
        <is>
          <t>Night</t>
        </is>
      </c>
      <c r="F2464" t="inlineStr">
        <is>
          <t>Sep</t>
        </is>
      </c>
      <c r="G2464" s="18">
        <f>IF(D2464&lt;C2464,D2464+1-C2464,D2464-C2464)*24</f>
        <v/>
      </c>
      <c r="H2464" s="18">
        <f>MAX(0,G2464-8)</f>
        <v/>
      </c>
    </row>
    <row r="2465">
      <c r="A2465" t="n">
        <v>1103</v>
      </c>
      <c r="B2465" s="14" t="n">
        <v>46269</v>
      </c>
      <c r="C2465" s="17" t="n">
        <v>0.9166666666666666</v>
      </c>
      <c r="D2465" s="17" t="n">
        <v>0.2916666666666667</v>
      </c>
      <c r="E2465" t="inlineStr">
        <is>
          <t>Night</t>
        </is>
      </c>
      <c r="F2465" t="inlineStr">
        <is>
          <t>Sep</t>
        </is>
      </c>
      <c r="G2465" s="18">
        <f>IF(D2465&lt;C2465,D2465+1-C2465,D2465-C2465)*24</f>
        <v/>
      </c>
      <c r="H2465" s="18">
        <f>MAX(0,G2465-8)</f>
        <v/>
      </c>
    </row>
    <row r="2466">
      <c r="A2466" t="n">
        <v>1106</v>
      </c>
      <c r="B2466" s="14" t="n">
        <v>46269</v>
      </c>
      <c r="C2466" s="17" t="n">
        <v>0.9166666666666666</v>
      </c>
      <c r="D2466" s="17" t="n">
        <v>0.25</v>
      </c>
      <c r="E2466" t="inlineStr">
        <is>
          <t>Night</t>
        </is>
      </c>
      <c r="F2466" t="inlineStr">
        <is>
          <t>Sep</t>
        </is>
      </c>
      <c r="G2466" s="18">
        <f>IF(D2466&lt;C2466,D2466+1-C2466,D2466-C2466)*24</f>
        <v/>
      </c>
      <c r="H2466" s="18">
        <f>MAX(0,G2466-8)</f>
        <v/>
      </c>
    </row>
    <row r="2467">
      <c r="A2467" t="n">
        <v>1108</v>
      </c>
      <c r="B2467" s="14" t="n">
        <v>46269</v>
      </c>
      <c r="C2467" s="17" t="n">
        <v>0.9375</v>
      </c>
      <c r="D2467" s="17" t="n">
        <v>0.3541666666666667</v>
      </c>
      <c r="E2467" t="inlineStr">
        <is>
          <t>Night</t>
        </is>
      </c>
      <c r="F2467" t="inlineStr">
        <is>
          <t>Sep</t>
        </is>
      </c>
      <c r="G2467" s="18">
        <f>IF(D2467&lt;C2467,D2467+1-C2467,D2467-C2467)*24</f>
        <v/>
      </c>
      <c r="H2467" s="18">
        <f>MAX(0,G2467-8)</f>
        <v/>
      </c>
    </row>
    <row r="2468">
      <c r="A2468" t="n">
        <v>1109</v>
      </c>
      <c r="B2468" s="14" t="n">
        <v>46269</v>
      </c>
      <c r="C2468" s="17" t="n">
        <v>0.9166666666666666</v>
      </c>
      <c r="D2468" s="17" t="n">
        <v>0.25</v>
      </c>
      <c r="E2468" t="inlineStr">
        <is>
          <t>Night</t>
        </is>
      </c>
      <c r="F2468" t="inlineStr">
        <is>
          <t>Sep</t>
        </is>
      </c>
      <c r="G2468" s="18">
        <f>IF(D2468&lt;C2468,D2468+1-C2468,D2468-C2468)*24</f>
        <v/>
      </c>
      <c r="H2468" s="18">
        <f>MAX(0,G2468-8)</f>
        <v/>
      </c>
    </row>
    <row r="2469">
      <c r="A2469" t="n">
        <v>1111</v>
      </c>
      <c r="B2469" s="14" t="n">
        <v>46269</v>
      </c>
      <c r="C2469" s="17" t="n">
        <v>0.9166666666666666</v>
      </c>
      <c r="D2469" s="17" t="n">
        <v>0.3541666666666667</v>
      </c>
      <c r="E2469" t="inlineStr">
        <is>
          <t>Night</t>
        </is>
      </c>
      <c r="F2469" t="inlineStr">
        <is>
          <t>Sep</t>
        </is>
      </c>
      <c r="G2469" s="18">
        <f>IF(D2469&lt;C2469,D2469+1-C2469,D2469-C2469)*24</f>
        <v/>
      </c>
      <c r="H2469" s="18">
        <f>MAX(0,G2469-8)</f>
        <v/>
      </c>
    </row>
    <row r="2470">
      <c r="A2470" t="n">
        <v>1112</v>
      </c>
      <c r="B2470" s="14" t="n">
        <v>46269</v>
      </c>
      <c r="C2470" s="17" t="n">
        <v>0.9166666666666666</v>
      </c>
      <c r="D2470" s="17" t="n">
        <v>0.375</v>
      </c>
      <c r="E2470" t="inlineStr">
        <is>
          <t>Night</t>
        </is>
      </c>
      <c r="F2470" t="inlineStr">
        <is>
          <t>Sep</t>
        </is>
      </c>
      <c r="G2470" s="18">
        <f>IF(D2470&lt;C2470,D2470+1-C2470,D2470-C2470)*24</f>
        <v/>
      </c>
      <c r="H2470" s="18">
        <f>MAX(0,G2470-8)</f>
        <v/>
      </c>
    </row>
    <row r="2471">
      <c r="A2471" t="n">
        <v>1113</v>
      </c>
      <c r="B2471" s="14" t="n">
        <v>46269</v>
      </c>
      <c r="C2471" s="17" t="n">
        <v>0.9375</v>
      </c>
      <c r="D2471" s="17" t="n">
        <v>0.2916666666666667</v>
      </c>
      <c r="E2471" t="inlineStr">
        <is>
          <t>Night</t>
        </is>
      </c>
      <c r="F2471" t="inlineStr">
        <is>
          <t>Sep</t>
        </is>
      </c>
      <c r="G2471" s="18">
        <f>IF(D2471&lt;C2471,D2471+1-C2471,D2471-C2471)*24</f>
        <v/>
      </c>
      <c r="H2471" s="18">
        <f>MAX(0,G2471-8)</f>
        <v/>
      </c>
    </row>
    <row r="2472">
      <c r="A2472" t="n">
        <v>1114</v>
      </c>
      <c r="B2472" s="14" t="n">
        <v>46269</v>
      </c>
      <c r="C2472" s="17" t="n">
        <v>0.9270833333333334</v>
      </c>
      <c r="D2472" s="17" t="n">
        <v>0.3020833333333333</v>
      </c>
      <c r="E2472" t="inlineStr">
        <is>
          <t>Night</t>
        </is>
      </c>
      <c r="F2472" t="inlineStr">
        <is>
          <t>Sep</t>
        </is>
      </c>
      <c r="G2472" s="18">
        <f>IF(D2472&lt;C2472,D2472+1-C2472,D2472-C2472)*24</f>
        <v/>
      </c>
      <c r="H2472" s="18">
        <f>MAX(0,G2472-8)</f>
        <v/>
      </c>
    </row>
    <row r="2473">
      <c r="A2473" t="n">
        <v>1115</v>
      </c>
      <c r="B2473" s="14" t="n">
        <v>46269</v>
      </c>
      <c r="C2473" s="17" t="n">
        <v>0.9166666666666666</v>
      </c>
      <c r="D2473" s="17" t="n">
        <v>0.375</v>
      </c>
      <c r="E2473" t="inlineStr">
        <is>
          <t>Night</t>
        </is>
      </c>
      <c r="F2473" t="inlineStr">
        <is>
          <t>Sep</t>
        </is>
      </c>
      <c r="G2473" s="18">
        <f>IF(D2473&lt;C2473,D2473+1-C2473,D2473-C2473)*24</f>
        <v/>
      </c>
      <c r="H2473" s="18">
        <f>MAX(0,G2473-8)</f>
        <v/>
      </c>
    </row>
    <row r="2474">
      <c r="A2474" t="n">
        <v>1117</v>
      </c>
      <c r="B2474" s="14" t="n">
        <v>46269</v>
      </c>
      <c r="C2474" s="17" t="n">
        <v>0.9166666666666666</v>
      </c>
      <c r="D2474" s="17" t="n">
        <v>0.2708333333333333</v>
      </c>
      <c r="E2474" t="inlineStr">
        <is>
          <t>Night</t>
        </is>
      </c>
      <c r="F2474" t="inlineStr">
        <is>
          <t>Sep</t>
        </is>
      </c>
      <c r="G2474" s="18">
        <f>IF(D2474&lt;C2474,D2474+1-C2474,D2474-C2474)*24</f>
        <v/>
      </c>
      <c r="H2474" s="18">
        <f>MAX(0,G2474-8)</f>
        <v/>
      </c>
    </row>
    <row r="2475">
      <c r="A2475" t="n">
        <v>1118</v>
      </c>
      <c r="B2475" s="14" t="n">
        <v>46269</v>
      </c>
      <c r="C2475" s="17" t="n">
        <v>0.9166666666666666</v>
      </c>
      <c r="D2475" s="17" t="n">
        <v>0.2708333333333333</v>
      </c>
      <c r="E2475" t="inlineStr">
        <is>
          <t>Night</t>
        </is>
      </c>
      <c r="F2475" t="inlineStr">
        <is>
          <t>Sep</t>
        </is>
      </c>
      <c r="G2475" s="18">
        <f>IF(D2475&lt;C2475,D2475+1-C2475,D2475-C2475)*24</f>
        <v/>
      </c>
      <c r="H2475" s="18">
        <f>MAX(0,G2475-8)</f>
        <v/>
      </c>
    </row>
    <row r="2476">
      <c r="A2476" t="n">
        <v>1119</v>
      </c>
      <c r="B2476" s="14" t="n">
        <v>46269</v>
      </c>
      <c r="C2476" s="17" t="n">
        <v>0.9166666666666666</v>
      </c>
      <c r="D2476" s="17" t="n">
        <v>0.3333333333333333</v>
      </c>
      <c r="E2476" t="inlineStr">
        <is>
          <t>Night</t>
        </is>
      </c>
      <c r="F2476" t="inlineStr">
        <is>
          <t>Sep</t>
        </is>
      </c>
      <c r="G2476" s="18">
        <f>IF(D2476&lt;C2476,D2476+1-C2476,D2476-C2476)*24</f>
        <v/>
      </c>
      <c r="H2476" s="18">
        <f>MAX(0,G2476-8)</f>
        <v/>
      </c>
    </row>
    <row r="2477">
      <c r="A2477" t="n">
        <v>1120</v>
      </c>
      <c r="B2477" s="14" t="n">
        <v>46269</v>
      </c>
      <c r="C2477" s="17" t="n">
        <v>0.9166666666666666</v>
      </c>
      <c r="D2477" s="17" t="n">
        <v>0.25</v>
      </c>
      <c r="E2477" t="inlineStr">
        <is>
          <t>Night</t>
        </is>
      </c>
      <c r="F2477" t="inlineStr">
        <is>
          <t>Sep</t>
        </is>
      </c>
      <c r="G2477" s="18">
        <f>IF(D2477&lt;C2477,D2477+1-C2477,D2477-C2477)*24</f>
        <v/>
      </c>
      <c r="H2477" s="18">
        <f>MAX(0,G2477-8)</f>
        <v/>
      </c>
    </row>
    <row r="2478">
      <c r="A2478" t="n">
        <v>1121</v>
      </c>
      <c r="B2478" s="14" t="n">
        <v>46269</v>
      </c>
      <c r="C2478" s="17" t="n">
        <v>0.9166666666666666</v>
      </c>
      <c r="D2478" s="17" t="n">
        <v>0.375</v>
      </c>
      <c r="E2478" t="inlineStr">
        <is>
          <t>Night</t>
        </is>
      </c>
      <c r="F2478" t="inlineStr">
        <is>
          <t>Sep</t>
        </is>
      </c>
      <c r="G2478" s="18">
        <f>IF(D2478&lt;C2478,D2478+1-C2478,D2478-C2478)*24</f>
        <v/>
      </c>
      <c r="H2478" s="18">
        <f>MAX(0,G2478-8)</f>
        <v/>
      </c>
    </row>
    <row r="2479">
      <c r="A2479" t="n">
        <v>1122</v>
      </c>
      <c r="B2479" s="14" t="n">
        <v>46269</v>
      </c>
      <c r="C2479" s="17" t="n">
        <v>0.9270833333333334</v>
      </c>
      <c r="D2479" s="17" t="n">
        <v>0.2604166666666667</v>
      </c>
      <c r="E2479" t="inlineStr">
        <is>
          <t>Night</t>
        </is>
      </c>
      <c r="F2479" t="inlineStr">
        <is>
          <t>Sep</t>
        </is>
      </c>
      <c r="G2479" s="18">
        <f>IF(D2479&lt;C2479,D2479+1-C2479,D2479-C2479)*24</f>
        <v/>
      </c>
      <c r="H2479" s="18">
        <f>MAX(0,G2479-8)</f>
        <v/>
      </c>
    </row>
    <row r="2480">
      <c r="A2480" t="n">
        <v>1124</v>
      </c>
      <c r="B2480" s="14" t="n">
        <v>46269</v>
      </c>
      <c r="C2480" s="17" t="n">
        <v>0.9270833333333334</v>
      </c>
      <c r="D2480" s="17" t="n">
        <v>0.3020833333333333</v>
      </c>
      <c r="E2480" t="inlineStr">
        <is>
          <t>Night</t>
        </is>
      </c>
      <c r="F2480" t="inlineStr">
        <is>
          <t>Sep</t>
        </is>
      </c>
      <c r="G2480" s="18">
        <f>IF(D2480&lt;C2480,D2480+1-C2480,D2480-C2480)*24</f>
        <v/>
      </c>
      <c r="H2480" s="18">
        <f>MAX(0,G2480-8)</f>
        <v/>
      </c>
    </row>
    <row r="2481">
      <c r="A2481" t="n">
        <v>1125</v>
      </c>
      <c r="B2481" s="14" t="n">
        <v>46269</v>
      </c>
      <c r="C2481" s="17" t="n">
        <v>0.9375</v>
      </c>
      <c r="D2481" s="17" t="n">
        <v>0.2916666666666667</v>
      </c>
      <c r="E2481" t="inlineStr">
        <is>
          <t>Night</t>
        </is>
      </c>
      <c r="F2481" t="inlineStr">
        <is>
          <t>Sep</t>
        </is>
      </c>
      <c r="G2481" s="18">
        <f>IF(D2481&lt;C2481,D2481+1-C2481,D2481-C2481)*24</f>
        <v/>
      </c>
      <c r="H2481" s="18">
        <f>MAX(0,G2481-8)</f>
        <v/>
      </c>
    </row>
    <row r="2482">
      <c r="A2482" t="n">
        <v>1127</v>
      </c>
      <c r="B2482" s="14" t="n">
        <v>46269</v>
      </c>
      <c r="C2482" s="17" t="n">
        <v>0.9166666666666666</v>
      </c>
      <c r="D2482" s="17" t="n">
        <v>0.2916666666666667</v>
      </c>
      <c r="E2482" t="inlineStr">
        <is>
          <t>Night</t>
        </is>
      </c>
      <c r="F2482" t="inlineStr">
        <is>
          <t>Sep</t>
        </is>
      </c>
      <c r="G2482" s="18">
        <f>IF(D2482&lt;C2482,D2482+1-C2482,D2482-C2482)*24</f>
        <v/>
      </c>
      <c r="H2482" s="18">
        <f>MAX(0,G2482-8)</f>
        <v/>
      </c>
    </row>
    <row r="2483">
      <c r="A2483" t="n">
        <v>1128</v>
      </c>
      <c r="B2483" s="14" t="n">
        <v>46269</v>
      </c>
      <c r="C2483" s="17" t="n">
        <v>0.9375</v>
      </c>
      <c r="D2483" s="17" t="n">
        <v>0.2916666666666667</v>
      </c>
      <c r="E2483" t="inlineStr">
        <is>
          <t>Night</t>
        </is>
      </c>
      <c r="F2483" t="inlineStr">
        <is>
          <t>Sep</t>
        </is>
      </c>
      <c r="G2483" s="18">
        <f>IF(D2483&lt;C2483,D2483+1-C2483,D2483-C2483)*24</f>
        <v/>
      </c>
      <c r="H2483" s="18">
        <f>MAX(0,G2483-8)</f>
        <v/>
      </c>
    </row>
    <row r="2484">
      <c r="A2484" t="n">
        <v>1129</v>
      </c>
      <c r="B2484" s="14" t="n">
        <v>46269</v>
      </c>
      <c r="C2484" s="17" t="n">
        <v>0.9166666666666666</v>
      </c>
      <c r="D2484" s="17" t="n">
        <v>0.2708333333333333</v>
      </c>
      <c r="E2484" t="inlineStr">
        <is>
          <t>Night</t>
        </is>
      </c>
      <c r="F2484" t="inlineStr">
        <is>
          <t>Sep</t>
        </is>
      </c>
      <c r="G2484" s="18">
        <f>IF(D2484&lt;C2484,D2484+1-C2484,D2484-C2484)*24</f>
        <v/>
      </c>
      <c r="H2484" s="18">
        <f>MAX(0,G2484-8)</f>
        <v/>
      </c>
    </row>
    <row r="2485">
      <c r="A2485" t="n">
        <v>1130</v>
      </c>
      <c r="B2485" s="14" t="n">
        <v>46269</v>
      </c>
      <c r="C2485" s="17" t="n">
        <v>0.9375</v>
      </c>
      <c r="D2485" s="17" t="n">
        <v>0.2916666666666667</v>
      </c>
      <c r="E2485" t="inlineStr">
        <is>
          <t>Night</t>
        </is>
      </c>
      <c r="F2485" t="inlineStr">
        <is>
          <t>Sep</t>
        </is>
      </c>
      <c r="G2485" s="18">
        <f>IF(D2485&lt;C2485,D2485+1-C2485,D2485-C2485)*24</f>
        <v/>
      </c>
      <c r="H2485" s="18">
        <f>MAX(0,G2485-8)</f>
        <v/>
      </c>
    </row>
    <row r="2486">
      <c r="A2486" t="n">
        <v>1132</v>
      </c>
      <c r="B2486" s="14" t="n">
        <v>46269</v>
      </c>
      <c r="C2486" s="17" t="n">
        <v>0.9375</v>
      </c>
      <c r="D2486" s="17" t="n">
        <v>0.2708333333333333</v>
      </c>
      <c r="E2486" t="inlineStr">
        <is>
          <t>Night</t>
        </is>
      </c>
      <c r="F2486" t="inlineStr">
        <is>
          <t>Sep</t>
        </is>
      </c>
      <c r="G2486" s="18">
        <f>IF(D2486&lt;C2486,D2486+1-C2486,D2486-C2486)*24</f>
        <v/>
      </c>
      <c r="H2486" s="18">
        <f>MAX(0,G2486-8)</f>
        <v/>
      </c>
    </row>
    <row r="2487">
      <c r="A2487" t="n">
        <v>1133</v>
      </c>
      <c r="B2487" s="14" t="n">
        <v>46269</v>
      </c>
      <c r="C2487" s="17" t="n">
        <v>0.9166666666666666</v>
      </c>
      <c r="D2487" s="17" t="n">
        <v>0.25</v>
      </c>
      <c r="E2487" t="inlineStr">
        <is>
          <t>Night</t>
        </is>
      </c>
      <c r="F2487" t="inlineStr">
        <is>
          <t>Sep</t>
        </is>
      </c>
      <c r="G2487" s="18">
        <f>IF(D2487&lt;C2487,D2487+1-C2487,D2487-C2487)*24</f>
        <v/>
      </c>
      <c r="H2487" s="18">
        <f>MAX(0,G2487-8)</f>
        <v/>
      </c>
    </row>
    <row r="2488">
      <c r="A2488" t="n">
        <v>1134</v>
      </c>
      <c r="B2488" s="14" t="n">
        <v>46269</v>
      </c>
      <c r="C2488" s="17" t="n">
        <v>0.9375</v>
      </c>
      <c r="D2488" s="17" t="n">
        <v>0.375</v>
      </c>
      <c r="E2488" t="inlineStr">
        <is>
          <t>Night</t>
        </is>
      </c>
      <c r="F2488" t="inlineStr">
        <is>
          <t>Sep</t>
        </is>
      </c>
      <c r="G2488" s="18">
        <f>IF(D2488&lt;C2488,D2488+1-C2488,D2488-C2488)*24</f>
        <v/>
      </c>
      <c r="H2488" s="18">
        <f>MAX(0,G2488-8)</f>
        <v/>
      </c>
    </row>
    <row r="2489">
      <c r="A2489" t="n">
        <v>1135</v>
      </c>
      <c r="B2489" s="14" t="n">
        <v>46269</v>
      </c>
      <c r="C2489" s="17" t="n">
        <v>0.9166666666666666</v>
      </c>
      <c r="D2489" s="17" t="n">
        <v>0.3333333333333333</v>
      </c>
      <c r="E2489" t="inlineStr">
        <is>
          <t>Night</t>
        </is>
      </c>
      <c r="F2489" t="inlineStr">
        <is>
          <t>Sep</t>
        </is>
      </c>
      <c r="G2489" s="18">
        <f>IF(D2489&lt;C2489,D2489+1-C2489,D2489-C2489)*24</f>
        <v/>
      </c>
      <c r="H2489" s="18">
        <f>MAX(0,G2489-8)</f>
        <v/>
      </c>
    </row>
    <row r="2490">
      <c r="A2490" t="n">
        <v>1136</v>
      </c>
      <c r="B2490" s="14" t="n">
        <v>46269</v>
      </c>
      <c r="C2490" s="17" t="n">
        <v>0.9270833333333334</v>
      </c>
      <c r="D2490" s="17" t="n">
        <v>0.34375</v>
      </c>
      <c r="E2490" t="inlineStr">
        <is>
          <t>Night</t>
        </is>
      </c>
      <c r="F2490" t="inlineStr">
        <is>
          <t>Sep</t>
        </is>
      </c>
      <c r="G2490" s="18">
        <f>IF(D2490&lt;C2490,D2490+1-C2490,D2490-C2490)*24</f>
        <v/>
      </c>
      <c r="H2490" s="18">
        <f>MAX(0,G2490-8)</f>
        <v/>
      </c>
    </row>
    <row r="2491">
      <c r="A2491" t="n">
        <v>1137</v>
      </c>
      <c r="B2491" s="14" t="n">
        <v>46269</v>
      </c>
      <c r="C2491" s="17" t="n">
        <v>0.9166666666666666</v>
      </c>
      <c r="D2491" s="17" t="n">
        <v>0.3333333333333333</v>
      </c>
      <c r="E2491" t="inlineStr">
        <is>
          <t>Night</t>
        </is>
      </c>
      <c r="F2491" t="inlineStr">
        <is>
          <t>Sep</t>
        </is>
      </c>
      <c r="G2491" s="18">
        <f>IF(D2491&lt;C2491,D2491+1-C2491,D2491-C2491)*24</f>
        <v/>
      </c>
      <c r="H2491" s="18">
        <f>MAX(0,G2491-8)</f>
        <v/>
      </c>
    </row>
    <row r="2492">
      <c r="A2492" t="n">
        <v>1147</v>
      </c>
      <c r="B2492" s="14" t="n">
        <v>46269</v>
      </c>
      <c r="C2492" s="17" t="n">
        <v>0.9166666666666666</v>
      </c>
      <c r="D2492" s="17" t="n">
        <v>0.2916666666666667</v>
      </c>
      <c r="E2492" t="inlineStr">
        <is>
          <t>Night</t>
        </is>
      </c>
      <c r="F2492" t="inlineStr">
        <is>
          <t>Sep</t>
        </is>
      </c>
      <c r="G2492" s="18">
        <f>IF(D2492&lt;C2492,D2492+1-C2492,D2492-C2492)*24</f>
        <v/>
      </c>
      <c r="H2492" s="18">
        <f>MAX(0,G2492-8)</f>
        <v/>
      </c>
    </row>
    <row r="2493">
      <c r="A2493" t="n">
        <v>1104</v>
      </c>
      <c r="B2493" s="14" t="n">
        <v>46269</v>
      </c>
      <c r="C2493" s="17" t="n">
        <v>0.01041666666666667</v>
      </c>
      <c r="D2493" s="17" t="n">
        <v>0.3645833333333333</v>
      </c>
      <c r="E2493" t="inlineStr">
        <is>
          <t>Night</t>
        </is>
      </c>
      <c r="F2493" t="inlineStr">
        <is>
          <t>Sep</t>
        </is>
      </c>
      <c r="G2493" s="18">
        <f>IF(D2493&lt;C2493,D2493+1-C2493,D2493-C2493)*24</f>
        <v/>
      </c>
      <c r="H2493" s="18">
        <f>MAX(0,G2493-8)</f>
        <v/>
      </c>
    </row>
    <row r="2494">
      <c r="A2494" t="n">
        <v>1116</v>
      </c>
      <c r="B2494" s="14" t="n">
        <v>46269</v>
      </c>
      <c r="C2494" s="17" t="n">
        <v>0.01041666666666667</v>
      </c>
      <c r="D2494" s="17" t="n">
        <v>0.3645833333333333</v>
      </c>
      <c r="E2494" t="inlineStr">
        <is>
          <t>Night</t>
        </is>
      </c>
      <c r="F2494" t="inlineStr">
        <is>
          <t>Sep</t>
        </is>
      </c>
      <c r="G2494" s="18">
        <f>IF(D2494&lt;C2494,D2494+1-C2494,D2494-C2494)*24</f>
        <v/>
      </c>
      <c r="H2494" s="18">
        <f>MAX(0,G2494-8)</f>
        <v/>
      </c>
    </row>
    <row r="2495">
      <c r="A2495" t="n">
        <v>1123</v>
      </c>
      <c r="B2495" s="14" t="n">
        <v>46269</v>
      </c>
      <c r="C2495" s="17" t="n">
        <v>0.01041666666666667</v>
      </c>
      <c r="D2495" s="17" t="n">
        <v>0.3854166666666667</v>
      </c>
      <c r="E2495" t="inlineStr">
        <is>
          <t>Night</t>
        </is>
      </c>
      <c r="F2495" t="inlineStr">
        <is>
          <t>Sep</t>
        </is>
      </c>
      <c r="G2495" s="18">
        <f>IF(D2495&lt;C2495,D2495+1-C2495,D2495-C2495)*24</f>
        <v/>
      </c>
      <c r="H2495" s="18">
        <f>MAX(0,G2495-8)</f>
        <v/>
      </c>
    </row>
    <row r="2496">
      <c r="A2496" t="n">
        <v>1131</v>
      </c>
      <c r="B2496" s="14" t="n">
        <v>46269</v>
      </c>
      <c r="C2496" s="17" t="n">
        <v>0.01041666666666667</v>
      </c>
      <c r="D2496" s="17" t="n">
        <v>0.4270833333333333</v>
      </c>
      <c r="E2496" t="inlineStr">
        <is>
          <t>Night</t>
        </is>
      </c>
      <c r="F2496" t="inlineStr">
        <is>
          <t>Sep</t>
        </is>
      </c>
      <c r="G2496" s="18">
        <f>IF(D2496&lt;C2496,D2496+1-C2496,D2496-C2496)*24</f>
        <v/>
      </c>
      <c r="H2496" s="18">
        <f>MAX(0,G2496-8)</f>
        <v/>
      </c>
    </row>
    <row r="2497">
      <c r="A2497" t="n">
        <v>1201</v>
      </c>
      <c r="B2497" s="14" t="n">
        <v>46269</v>
      </c>
      <c r="C2497" s="17" t="n">
        <v>0.25</v>
      </c>
      <c r="D2497" s="17" t="n">
        <v>0.6666666666666666</v>
      </c>
      <c r="E2497" t="inlineStr">
        <is>
          <t>Day</t>
        </is>
      </c>
      <c r="F2497" t="inlineStr">
        <is>
          <t>Sep</t>
        </is>
      </c>
      <c r="G2497" s="18">
        <f>IF(D2497&lt;C2497,D2497+1-C2497,D2497-C2497)*24</f>
        <v/>
      </c>
      <c r="H2497" s="18">
        <f>MAX(0,G2497-8)</f>
        <v/>
      </c>
    </row>
    <row r="2498">
      <c r="A2498" t="n">
        <v>1202</v>
      </c>
      <c r="B2498" s="14" t="n">
        <v>46269</v>
      </c>
      <c r="C2498" s="17" t="n">
        <v>0.25</v>
      </c>
      <c r="D2498" s="17" t="n">
        <v>0.6666666666666666</v>
      </c>
      <c r="E2498" t="inlineStr">
        <is>
          <t>Day</t>
        </is>
      </c>
      <c r="F2498" t="inlineStr">
        <is>
          <t>Sep</t>
        </is>
      </c>
      <c r="G2498" s="18">
        <f>IF(D2498&lt;C2498,D2498+1-C2498,D2498-C2498)*24</f>
        <v/>
      </c>
      <c r="H2498" s="18">
        <f>MAX(0,G2498-8)</f>
        <v/>
      </c>
    </row>
    <row r="2499">
      <c r="A2499" t="n">
        <v>1203</v>
      </c>
      <c r="B2499" s="14" t="n">
        <v>46269</v>
      </c>
      <c r="C2499" s="17" t="n">
        <v>0.25</v>
      </c>
      <c r="D2499" s="17" t="n">
        <v>0.6041666666666666</v>
      </c>
      <c r="E2499" t="inlineStr">
        <is>
          <t>Day</t>
        </is>
      </c>
      <c r="F2499" t="inlineStr">
        <is>
          <t>Sep</t>
        </is>
      </c>
      <c r="G2499" s="18">
        <f>IF(D2499&lt;C2499,D2499+1-C2499,D2499-C2499)*24</f>
        <v/>
      </c>
      <c r="H2499" s="18">
        <f>MAX(0,G2499-8)</f>
        <v/>
      </c>
    </row>
    <row r="2500">
      <c r="A2500" t="n">
        <v>1204</v>
      </c>
      <c r="B2500" s="14" t="n">
        <v>46269</v>
      </c>
      <c r="C2500" s="17" t="n">
        <v>0.25</v>
      </c>
      <c r="D2500" s="17" t="n">
        <v>0.5833333333333334</v>
      </c>
      <c r="E2500" t="inlineStr">
        <is>
          <t>Day</t>
        </is>
      </c>
      <c r="F2500" t="inlineStr">
        <is>
          <t>Sep</t>
        </is>
      </c>
      <c r="G2500" s="18">
        <f>IF(D2500&lt;C2500,D2500+1-C2500,D2500-C2500)*24</f>
        <v/>
      </c>
      <c r="H2500" s="18">
        <f>MAX(0,G2500-8)</f>
        <v/>
      </c>
    </row>
    <row r="2501">
      <c r="A2501" t="n">
        <v>1205</v>
      </c>
      <c r="B2501" s="14" t="n">
        <v>46269</v>
      </c>
      <c r="C2501" s="17" t="n">
        <v>0.25</v>
      </c>
      <c r="D2501" s="17" t="n">
        <v>0.6041666666666666</v>
      </c>
      <c r="E2501" t="inlineStr">
        <is>
          <t>Day</t>
        </is>
      </c>
      <c r="F2501" t="inlineStr">
        <is>
          <t>Sep</t>
        </is>
      </c>
      <c r="G2501" s="18">
        <f>IF(D2501&lt;C2501,D2501+1-C2501,D2501-C2501)*24</f>
        <v/>
      </c>
      <c r="H2501" s="18">
        <f>MAX(0,G2501-8)</f>
        <v/>
      </c>
    </row>
    <row r="2502">
      <c r="A2502" t="n">
        <v>1206</v>
      </c>
      <c r="B2502" s="14" t="n">
        <v>46269</v>
      </c>
      <c r="C2502" s="17" t="n">
        <v>0.25</v>
      </c>
      <c r="D2502" s="17" t="n">
        <v>0.5833333333333334</v>
      </c>
      <c r="E2502" t="inlineStr">
        <is>
          <t>Day</t>
        </is>
      </c>
      <c r="F2502" t="inlineStr">
        <is>
          <t>Sep</t>
        </is>
      </c>
      <c r="G2502" s="18">
        <f>IF(D2502&lt;C2502,D2502+1-C2502,D2502-C2502)*24</f>
        <v/>
      </c>
      <c r="H2502" s="18">
        <f>MAX(0,G2502-8)</f>
        <v/>
      </c>
    </row>
    <row r="2503">
      <c r="A2503" t="n">
        <v>1207</v>
      </c>
      <c r="B2503" s="14" t="n">
        <v>46269</v>
      </c>
      <c r="C2503" s="17" t="n">
        <v>0.2708333333333333</v>
      </c>
      <c r="D2503" s="17" t="n">
        <v>0.6041666666666666</v>
      </c>
      <c r="E2503" t="inlineStr">
        <is>
          <t>Day</t>
        </is>
      </c>
      <c r="F2503" t="inlineStr">
        <is>
          <t>Sep</t>
        </is>
      </c>
      <c r="G2503" s="18">
        <f>IF(D2503&lt;C2503,D2503+1-C2503,D2503-C2503)*24</f>
        <v/>
      </c>
      <c r="H2503" s="18">
        <f>MAX(0,G2503-8)</f>
        <v/>
      </c>
    </row>
    <row r="2504">
      <c r="A2504" t="n">
        <v>1208</v>
      </c>
      <c r="B2504" s="14" t="n">
        <v>46269</v>
      </c>
      <c r="C2504" s="17" t="n">
        <v>0.25</v>
      </c>
      <c r="D2504" s="17" t="n">
        <v>0.625</v>
      </c>
      <c r="E2504" t="inlineStr">
        <is>
          <t>Day</t>
        </is>
      </c>
      <c r="F2504" t="inlineStr">
        <is>
          <t>Sep</t>
        </is>
      </c>
      <c r="G2504" s="18">
        <f>IF(D2504&lt;C2504,D2504+1-C2504,D2504-C2504)*24</f>
        <v/>
      </c>
      <c r="H2504" s="18">
        <f>MAX(0,G2504-8)</f>
        <v/>
      </c>
    </row>
    <row r="2505">
      <c r="A2505" t="n">
        <v>1209</v>
      </c>
      <c r="B2505" s="14" t="n">
        <v>46269</v>
      </c>
      <c r="C2505" s="17" t="n">
        <v>0.25</v>
      </c>
      <c r="D2505" s="17" t="n">
        <v>0.6041666666666666</v>
      </c>
      <c r="E2505" t="inlineStr">
        <is>
          <t>Day</t>
        </is>
      </c>
      <c r="F2505" t="inlineStr">
        <is>
          <t>Sep</t>
        </is>
      </c>
      <c r="G2505" s="18">
        <f>IF(D2505&lt;C2505,D2505+1-C2505,D2505-C2505)*24</f>
        <v/>
      </c>
      <c r="H2505" s="18">
        <f>MAX(0,G2505-8)</f>
        <v/>
      </c>
    </row>
    <row r="2506">
      <c r="A2506" t="n">
        <v>1210</v>
      </c>
      <c r="B2506" s="14" t="n">
        <v>46269</v>
      </c>
      <c r="C2506" s="17" t="n">
        <v>0.25</v>
      </c>
      <c r="D2506" s="17" t="n">
        <v>0.6666666666666666</v>
      </c>
      <c r="E2506" t="inlineStr">
        <is>
          <t>Day</t>
        </is>
      </c>
      <c r="F2506" t="inlineStr">
        <is>
          <t>Sep</t>
        </is>
      </c>
      <c r="G2506" s="18">
        <f>IF(D2506&lt;C2506,D2506+1-C2506,D2506-C2506)*24</f>
        <v/>
      </c>
      <c r="H2506" s="18">
        <f>MAX(0,G2506-8)</f>
        <v/>
      </c>
    </row>
    <row r="2507">
      <c r="A2507" t="n">
        <v>1211</v>
      </c>
      <c r="B2507" s="14" t="n">
        <v>46269</v>
      </c>
      <c r="C2507" s="17" t="n">
        <v>0.25</v>
      </c>
      <c r="D2507" s="17" t="n">
        <v>0.6666666666666666</v>
      </c>
      <c r="E2507" t="inlineStr">
        <is>
          <t>Day</t>
        </is>
      </c>
      <c r="F2507" t="inlineStr">
        <is>
          <t>Sep</t>
        </is>
      </c>
      <c r="G2507" s="18">
        <f>IF(D2507&lt;C2507,D2507+1-C2507,D2507-C2507)*24</f>
        <v/>
      </c>
      <c r="H2507" s="18">
        <f>MAX(0,G2507-8)</f>
        <v/>
      </c>
    </row>
    <row r="2508">
      <c r="A2508" t="n">
        <v>1213</v>
      </c>
      <c r="B2508" s="14" t="n">
        <v>46269</v>
      </c>
      <c r="C2508" s="17" t="n">
        <v>0.25</v>
      </c>
      <c r="D2508" s="17" t="n">
        <v>0.6041666666666666</v>
      </c>
      <c r="E2508" t="inlineStr">
        <is>
          <t>Day</t>
        </is>
      </c>
      <c r="F2508" t="inlineStr">
        <is>
          <t>Sep</t>
        </is>
      </c>
      <c r="G2508" s="18">
        <f>IF(D2508&lt;C2508,D2508+1-C2508,D2508-C2508)*24</f>
        <v/>
      </c>
      <c r="H2508" s="18">
        <f>MAX(0,G2508-8)</f>
        <v/>
      </c>
    </row>
    <row r="2509">
      <c r="A2509" t="n">
        <v>1214</v>
      </c>
      <c r="B2509" s="14" t="n">
        <v>46269</v>
      </c>
      <c r="C2509" s="17" t="n">
        <v>0.25</v>
      </c>
      <c r="D2509" s="17" t="n">
        <v>0.5833333333333334</v>
      </c>
      <c r="E2509" t="inlineStr">
        <is>
          <t>Day</t>
        </is>
      </c>
      <c r="F2509" t="inlineStr">
        <is>
          <t>Sep</t>
        </is>
      </c>
      <c r="G2509" s="18">
        <f>IF(D2509&lt;C2509,D2509+1-C2509,D2509-C2509)*24</f>
        <v/>
      </c>
      <c r="H2509" s="18">
        <f>MAX(0,G2509-8)</f>
        <v/>
      </c>
    </row>
    <row r="2510">
      <c r="A2510" t="n">
        <v>1215</v>
      </c>
      <c r="B2510" s="14" t="n">
        <v>46269</v>
      </c>
      <c r="C2510" s="17" t="n">
        <v>0.2708333333333333</v>
      </c>
      <c r="D2510" s="17" t="n">
        <v>0.6875</v>
      </c>
      <c r="E2510" t="inlineStr">
        <is>
          <t>Day</t>
        </is>
      </c>
      <c r="F2510" t="inlineStr">
        <is>
          <t>Sep</t>
        </is>
      </c>
      <c r="G2510" s="18">
        <f>IF(D2510&lt;C2510,D2510+1-C2510,D2510-C2510)*24</f>
        <v/>
      </c>
      <c r="H2510" s="18">
        <f>MAX(0,G2510-8)</f>
        <v/>
      </c>
    </row>
    <row r="2511">
      <c r="A2511" t="n">
        <v>1216</v>
      </c>
      <c r="B2511" s="14" t="n">
        <v>46269</v>
      </c>
      <c r="C2511" s="17" t="n">
        <v>0.25</v>
      </c>
      <c r="D2511" s="17" t="n">
        <v>0.6666666666666666</v>
      </c>
      <c r="E2511" t="inlineStr">
        <is>
          <t>Day</t>
        </is>
      </c>
      <c r="F2511" t="inlineStr">
        <is>
          <t>Sep</t>
        </is>
      </c>
      <c r="G2511" s="18">
        <f>IF(D2511&lt;C2511,D2511+1-C2511,D2511-C2511)*24</f>
        <v/>
      </c>
      <c r="H2511" s="18">
        <f>MAX(0,G2511-8)</f>
        <v/>
      </c>
    </row>
    <row r="2512">
      <c r="A2512" t="n">
        <v>1217</v>
      </c>
      <c r="B2512" s="14" t="n">
        <v>46269</v>
      </c>
      <c r="C2512" s="17" t="n">
        <v>0.25</v>
      </c>
      <c r="D2512" s="17" t="n">
        <v>0.6666666666666666</v>
      </c>
      <c r="E2512" t="inlineStr">
        <is>
          <t>Day</t>
        </is>
      </c>
      <c r="F2512" t="inlineStr">
        <is>
          <t>Sep</t>
        </is>
      </c>
      <c r="G2512" s="18">
        <f>IF(D2512&lt;C2512,D2512+1-C2512,D2512-C2512)*24</f>
        <v/>
      </c>
      <c r="H2512" s="18">
        <f>MAX(0,G2512-8)</f>
        <v/>
      </c>
    </row>
    <row r="2513">
      <c r="A2513" t="n">
        <v>1218</v>
      </c>
      <c r="B2513" s="14" t="n">
        <v>46269</v>
      </c>
      <c r="C2513" s="17" t="n">
        <v>0.2708333333333333</v>
      </c>
      <c r="D2513" s="17" t="n">
        <v>0.6041666666666666</v>
      </c>
      <c r="E2513" t="inlineStr">
        <is>
          <t>Day</t>
        </is>
      </c>
      <c r="F2513" t="inlineStr">
        <is>
          <t>Sep</t>
        </is>
      </c>
      <c r="G2513" s="18">
        <f>IF(D2513&lt;C2513,D2513+1-C2513,D2513-C2513)*24</f>
        <v/>
      </c>
      <c r="H2513" s="18">
        <f>MAX(0,G2513-8)</f>
        <v/>
      </c>
    </row>
    <row r="2514">
      <c r="A2514" t="n">
        <v>1219</v>
      </c>
      <c r="B2514" s="14" t="n">
        <v>46269</v>
      </c>
      <c r="C2514" s="17" t="n">
        <v>0.25</v>
      </c>
      <c r="D2514" s="17" t="n">
        <v>0.625</v>
      </c>
      <c r="E2514" t="inlineStr">
        <is>
          <t>Day</t>
        </is>
      </c>
      <c r="F2514" t="inlineStr">
        <is>
          <t>Sep</t>
        </is>
      </c>
      <c r="G2514" s="18">
        <f>IF(D2514&lt;C2514,D2514+1-C2514,D2514-C2514)*24</f>
        <v/>
      </c>
      <c r="H2514" s="18">
        <f>MAX(0,G2514-8)</f>
        <v/>
      </c>
    </row>
    <row r="2515">
      <c r="A2515" t="n">
        <v>1220</v>
      </c>
      <c r="B2515" s="14" t="n">
        <v>46269</v>
      </c>
      <c r="C2515" s="17" t="n">
        <v>0.25</v>
      </c>
      <c r="D2515" s="17" t="n">
        <v>0.6041666666666666</v>
      </c>
      <c r="E2515" t="inlineStr">
        <is>
          <t>Day</t>
        </is>
      </c>
      <c r="F2515" t="inlineStr">
        <is>
          <t>Sep</t>
        </is>
      </c>
      <c r="G2515" s="18">
        <f>IF(D2515&lt;C2515,D2515+1-C2515,D2515-C2515)*24</f>
        <v/>
      </c>
      <c r="H2515" s="18">
        <f>MAX(0,G2515-8)</f>
        <v/>
      </c>
    </row>
    <row r="2516">
      <c r="A2516" t="n">
        <v>1101</v>
      </c>
      <c r="B2516" s="14" t="n">
        <v>46272</v>
      </c>
      <c r="C2516" s="17" t="n">
        <v>0.9375</v>
      </c>
      <c r="D2516" s="17" t="n">
        <v>0.3541666666666667</v>
      </c>
      <c r="E2516" t="inlineStr">
        <is>
          <t>Night</t>
        </is>
      </c>
      <c r="F2516" t="inlineStr">
        <is>
          <t>Sep</t>
        </is>
      </c>
      <c r="G2516" s="18">
        <f>IF(D2516&lt;C2516,D2516+1-C2516,D2516-C2516)*24</f>
        <v/>
      </c>
      <c r="H2516" s="18">
        <f>MAX(0,G2516-8)</f>
        <v/>
      </c>
    </row>
    <row r="2517">
      <c r="A2517" t="n">
        <v>1102</v>
      </c>
      <c r="B2517" s="14" t="n">
        <v>46272</v>
      </c>
      <c r="C2517" s="17" t="n">
        <v>0.9270833333333334</v>
      </c>
      <c r="D2517" s="17" t="n">
        <v>0.28125</v>
      </c>
      <c r="E2517" t="inlineStr">
        <is>
          <t>Night</t>
        </is>
      </c>
      <c r="F2517" t="inlineStr">
        <is>
          <t>Sep</t>
        </is>
      </c>
      <c r="G2517" s="18">
        <f>IF(D2517&lt;C2517,D2517+1-C2517,D2517-C2517)*24</f>
        <v/>
      </c>
      <c r="H2517" s="18">
        <f>MAX(0,G2517-8)</f>
        <v/>
      </c>
    </row>
    <row r="2518">
      <c r="A2518" t="n">
        <v>1103</v>
      </c>
      <c r="B2518" s="14" t="n">
        <v>46272</v>
      </c>
      <c r="C2518" s="17" t="n">
        <v>0.9166666666666666</v>
      </c>
      <c r="D2518" s="17" t="n">
        <v>0.2708333333333333</v>
      </c>
      <c r="E2518" t="inlineStr">
        <is>
          <t>Night</t>
        </is>
      </c>
      <c r="F2518" t="inlineStr">
        <is>
          <t>Sep</t>
        </is>
      </c>
      <c r="G2518" s="18">
        <f>IF(D2518&lt;C2518,D2518+1-C2518,D2518-C2518)*24</f>
        <v/>
      </c>
      <c r="H2518" s="18">
        <f>MAX(0,G2518-8)</f>
        <v/>
      </c>
    </row>
    <row r="2519">
      <c r="A2519" t="n">
        <v>1104</v>
      </c>
      <c r="B2519" s="14" t="n">
        <v>46272</v>
      </c>
      <c r="C2519" s="17" t="n">
        <v>0.9375</v>
      </c>
      <c r="D2519" s="17" t="n">
        <v>0.3333333333333333</v>
      </c>
      <c r="E2519" t="inlineStr">
        <is>
          <t>Night</t>
        </is>
      </c>
      <c r="F2519" t="inlineStr">
        <is>
          <t>Sep</t>
        </is>
      </c>
      <c r="G2519" s="18">
        <f>IF(D2519&lt;C2519,D2519+1-C2519,D2519-C2519)*24</f>
        <v/>
      </c>
      <c r="H2519" s="18">
        <f>MAX(0,G2519-8)</f>
        <v/>
      </c>
    </row>
    <row r="2520">
      <c r="A2520" t="n">
        <v>1106</v>
      </c>
      <c r="B2520" s="14" t="n">
        <v>46272</v>
      </c>
      <c r="C2520" s="17" t="n">
        <v>0.9166666666666666</v>
      </c>
      <c r="D2520" s="17" t="n">
        <v>0.2708333333333333</v>
      </c>
      <c r="E2520" t="inlineStr">
        <is>
          <t>Night</t>
        </is>
      </c>
      <c r="F2520" t="inlineStr">
        <is>
          <t>Sep</t>
        </is>
      </c>
      <c r="G2520" s="18">
        <f>IF(D2520&lt;C2520,D2520+1-C2520,D2520-C2520)*24</f>
        <v/>
      </c>
      <c r="H2520" s="18">
        <f>MAX(0,G2520-8)</f>
        <v/>
      </c>
    </row>
    <row r="2521">
      <c r="A2521" t="n">
        <v>1107</v>
      </c>
      <c r="B2521" s="14" t="n">
        <v>46272</v>
      </c>
      <c r="C2521" s="17" t="n">
        <v>0.9166666666666666</v>
      </c>
      <c r="D2521" s="17" t="n">
        <v>0.3333333333333333</v>
      </c>
      <c r="E2521" t="inlineStr">
        <is>
          <t>Night</t>
        </is>
      </c>
      <c r="F2521" t="inlineStr">
        <is>
          <t>Sep</t>
        </is>
      </c>
      <c r="G2521" s="18">
        <f>IF(D2521&lt;C2521,D2521+1-C2521,D2521-C2521)*24</f>
        <v/>
      </c>
      <c r="H2521" s="18">
        <f>MAX(0,G2521-8)</f>
        <v/>
      </c>
    </row>
    <row r="2522">
      <c r="A2522" t="n">
        <v>1108</v>
      </c>
      <c r="B2522" s="14" t="n">
        <v>46272</v>
      </c>
      <c r="C2522" s="17" t="n">
        <v>0.9270833333333334</v>
      </c>
      <c r="D2522" s="17" t="n">
        <v>0.3645833333333333</v>
      </c>
      <c r="E2522" t="inlineStr">
        <is>
          <t>Night</t>
        </is>
      </c>
      <c r="F2522" t="inlineStr">
        <is>
          <t>Sep</t>
        </is>
      </c>
      <c r="G2522" s="18">
        <f>IF(D2522&lt;C2522,D2522+1-C2522,D2522-C2522)*24</f>
        <v/>
      </c>
      <c r="H2522" s="18">
        <f>MAX(0,G2522-8)</f>
        <v/>
      </c>
    </row>
    <row r="2523">
      <c r="A2523" t="n">
        <v>1109</v>
      </c>
      <c r="B2523" s="14" t="n">
        <v>46272</v>
      </c>
      <c r="C2523" s="17" t="n">
        <v>0.9166666666666666</v>
      </c>
      <c r="D2523" s="17" t="n">
        <v>0.25</v>
      </c>
      <c r="E2523" t="inlineStr">
        <is>
          <t>Night</t>
        </is>
      </c>
      <c r="F2523" t="inlineStr">
        <is>
          <t>Sep</t>
        </is>
      </c>
      <c r="G2523" s="18">
        <f>IF(D2523&lt;C2523,D2523+1-C2523,D2523-C2523)*24</f>
        <v/>
      </c>
      <c r="H2523" s="18">
        <f>MAX(0,G2523-8)</f>
        <v/>
      </c>
    </row>
    <row r="2524">
      <c r="A2524" t="n">
        <v>1110</v>
      </c>
      <c r="B2524" s="14" t="n">
        <v>46272</v>
      </c>
      <c r="C2524" s="17" t="n">
        <v>0.9166666666666666</v>
      </c>
      <c r="D2524" s="17" t="n">
        <v>0.375</v>
      </c>
      <c r="E2524" t="inlineStr">
        <is>
          <t>Night</t>
        </is>
      </c>
      <c r="F2524" t="inlineStr">
        <is>
          <t>Sep</t>
        </is>
      </c>
      <c r="G2524" s="18">
        <f>IF(D2524&lt;C2524,D2524+1-C2524,D2524-C2524)*24</f>
        <v/>
      </c>
      <c r="H2524" s="18">
        <f>MAX(0,G2524-8)</f>
        <v/>
      </c>
    </row>
    <row r="2525">
      <c r="A2525" t="n">
        <v>1111</v>
      </c>
      <c r="B2525" s="14" t="n">
        <v>46272</v>
      </c>
      <c r="C2525" s="17" t="n">
        <v>0.9166666666666666</v>
      </c>
      <c r="D2525" s="17" t="n">
        <v>0.3541666666666667</v>
      </c>
      <c r="E2525" t="inlineStr">
        <is>
          <t>Night</t>
        </is>
      </c>
      <c r="F2525" t="inlineStr">
        <is>
          <t>Sep</t>
        </is>
      </c>
      <c r="G2525" s="18">
        <f>IF(D2525&lt;C2525,D2525+1-C2525,D2525-C2525)*24</f>
        <v/>
      </c>
      <c r="H2525" s="18">
        <f>MAX(0,G2525-8)</f>
        <v/>
      </c>
    </row>
    <row r="2526">
      <c r="A2526" t="n">
        <v>1112</v>
      </c>
      <c r="B2526" s="14" t="n">
        <v>46272</v>
      </c>
      <c r="C2526" s="17" t="n">
        <v>0.9166666666666666</v>
      </c>
      <c r="D2526" s="17" t="n">
        <v>0.25</v>
      </c>
      <c r="E2526" t="inlineStr">
        <is>
          <t>Night</t>
        </is>
      </c>
      <c r="F2526" t="inlineStr">
        <is>
          <t>Sep</t>
        </is>
      </c>
      <c r="G2526" s="18">
        <f>IF(D2526&lt;C2526,D2526+1-C2526,D2526-C2526)*24</f>
        <v/>
      </c>
      <c r="H2526" s="18">
        <f>MAX(0,G2526-8)</f>
        <v/>
      </c>
    </row>
    <row r="2527">
      <c r="A2527" t="n">
        <v>1114</v>
      </c>
      <c r="B2527" s="14" t="n">
        <v>46272</v>
      </c>
      <c r="C2527" s="17" t="n">
        <v>0.9166666666666666</v>
      </c>
      <c r="D2527" s="17" t="n">
        <v>0.3541666666666667</v>
      </c>
      <c r="E2527" t="inlineStr">
        <is>
          <t>Night</t>
        </is>
      </c>
      <c r="F2527" t="inlineStr">
        <is>
          <t>Sep</t>
        </is>
      </c>
      <c r="G2527" s="18">
        <f>IF(D2527&lt;C2527,D2527+1-C2527,D2527-C2527)*24</f>
        <v/>
      </c>
      <c r="H2527" s="18">
        <f>MAX(0,G2527-8)</f>
        <v/>
      </c>
    </row>
    <row r="2528">
      <c r="A2528" t="n">
        <v>1116</v>
      </c>
      <c r="B2528" s="14" t="n">
        <v>46272</v>
      </c>
      <c r="C2528" s="17" t="n">
        <v>0.9270833333333334</v>
      </c>
      <c r="D2528" s="17" t="n">
        <v>0.3854166666666667</v>
      </c>
      <c r="E2528" t="inlineStr">
        <is>
          <t>Night</t>
        </is>
      </c>
      <c r="F2528" t="inlineStr">
        <is>
          <t>Sep</t>
        </is>
      </c>
      <c r="G2528" s="18">
        <f>IF(D2528&lt;C2528,D2528+1-C2528,D2528-C2528)*24</f>
        <v/>
      </c>
      <c r="H2528" s="18">
        <f>MAX(0,G2528-8)</f>
        <v/>
      </c>
    </row>
    <row r="2529">
      <c r="A2529" t="n">
        <v>1117</v>
      </c>
      <c r="B2529" s="14" t="n">
        <v>46272</v>
      </c>
      <c r="C2529" s="17" t="n">
        <v>0.9166666666666666</v>
      </c>
      <c r="D2529" s="17" t="n">
        <v>0.375</v>
      </c>
      <c r="E2529" t="inlineStr">
        <is>
          <t>Night</t>
        </is>
      </c>
      <c r="F2529" t="inlineStr">
        <is>
          <t>Sep</t>
        </is>
      </c>
      <c r="G2529" s="18">
        <f>IF(D2529&lt;C2529,D2529+1-C2529,D2529-C2529)*24</f>
        <v/>
      </c>
      <c r="H2529" s="18">
        <f>MAX(0,G2529-8)</f>
        <v/>
      </c>
    </row>
    <row r="2530">
      <c r="A2530" t="n">
        <v>1118</v>
      </c>
      <c r="B2530" s="14" t="n">
        <v>46272</v>
      </c>
      <c r="C2530" s="17" t="n">
        <v>0.9270833333333334</v>
      </c>
      <c r="D2530" s="17" t="n">
        <v>0.2604166666666667</v>
      </c>
      <c r="E2530" t="inlineStr">
        <is>
          <t>Night</t>
        </is>
      </c>
      <c r="F2530" t="inlineStr">
        <is>
          <t>Sep</t>
        </is>
      </c>
      <c r="G2530" s="18">
        <f>IF(D2530&lt;C2530,D2530+1-C2530,D2530-C2530)*24</f>
        <v/>
      </c>
      <c r="H2530" s="18">
        <f>MAX(0,G2530-8)</f>
        <v/>
      </c>
    </row>
    <row r="2531">
      <c r="A2531" t="n">
        <v>1119</v>
      </c>
      <c r="B2531" s="14" t="n">
        <v>46272</v>
      </c>
      <c r="C2531" s="17" t="n">
        <v>0.9166666666666666</v>
      </c>
      <c r="D2531" s="17" t="n">
        <v>0.3541666666666667</v>
      </c>
      <c r="E2531" t="inlineStr">
        <is>
          <t>Night</t>
        </is>
      </c>
      <c r="F2531" t="inlineStr">
        <is>
          <t>Sep</t>
        </is>
      </c>
      <c r="G2531" s="18">
        <f>IF(D2531&lt;C2531,D2531+1-C2531,D2531-C2531)*24</f>
        <v/>
      </c>
      <c r="H2531" s="18">
        <f>MAX(0,G2531-8)</f>
        <v/>
      </c>
    </row>
    <row r="2532">
      <c r="A2532" t="n">
        <v>1120</v>
      </c>
      <c r="B2532" s="14" t="n">
        <v>46272</v>
      </c>
      <c r="C2532" s="17" t="n">
        <v>0.9166666666666666</v>
      </c>
      <c r="D2532" s="17" t="n">
        <v>0.375</v>
      </c>
      <c r="E2532" t="inlineStr">
        <is>
          <t>Night</t>
        </is>
      </c>
      <c r="F2532" t="inlineStr">
        <is>
          <t>Sep</t>
        </is>
      </c>
      <c r="G2532" s="18">
        <f>IF(D2532&lt;C2532,D2532+1-C2532,D2532-C2532)*24</f>
        <v/>
      </c>
      <c r="H2532" s="18">
        <f>MAX(0,G2532-8)</f>
        <v/>
      </c>
    </row>
    <row r="2533">
      <c r="A2533" t="n">
        <v>1121</v>
      </c>
      <c r="B2533" s="14" t="n">
        <v>46272</v>
      </c>
      <c r="C2533" s="17" t="n">
        <v>0.9270833333333334</v>
      </c>
      <c r="D2533" s="17" t="n">
        <v>0.2604166666666667</v>
      </c>
      <c r="E2533" t="inlineStr">
        <is>
          <t>Night</t>
        </is>
      </c>
      <c r="F2533" t="inlineStr">
        <is>
          <t>Sep</t>
        </is>
      </c>
      <c r="G2533" s="18">
        <f>IF(D2533&lt;C2533,D2533+1-C2533,D2533-C2533)*24</f>
        <v/>
      </c>
      <c r="H2533" s="18">
        <f>MAX(0,G2533-8)</f>
        <v/>
      </c>
    </row>
    <row r="2534">
      <c r="A2534" t="n">
        <v>1122</v>
      </c>
      <c r="B2534" s="14" t="n">
        <v>46272</v>
      </c>
      <c r="C2534" s="17" t="n">
        <v>0.9166666666666666</v>
      </c>
      <c r="D2534" s="17" t="n">
        <v>0.375</v>
      </c>
      <c r="E2534" t="inlineStr">
        <is>
          <t>Night</t>
        </is>
      </c>
      <c r="F2534" t="inlineStr">
        <is>
          <t>Sep</t>
        </is>
      </c>
      <c r="G2534" s="18">
        <f>IF(D2534&lt;C2534,D2534+1-C2534,D2534-C2534)*24</f>
        <v/>
      </c>
      <c r="H2534" s="18">
        <f>MAX(0,G2534-8)</f>
        <v/>
      </c>
    </row>
    <row r="2535">
      <c r="A2535" t="n">
        <v>1123</v>
      </c>
      <c r="B2535" s="14" t="n">
        <v>46272</v>
      </c>
      <c r="C2535" s="17" t="n">
        <v>0.9166666666666666</v>
      </c>
      <c r="D2535" s="17" t="n">
        <v>0.3125</v>
      </c>
      <c r="E2535" t="inlineStr">
        <is>
          <t>Night</t>
        </is>
      </c>
      <c r="F2535" t="inlineStr">
        <is>
          <t>Sep</t>
        </is>
      </c>
      <c r="G2535" s="18">
        <f>IF(D2535&lt;C2535,D2535+1-C2535,D2535-C2535)*24</f>
        <v/>
      </c>
      <c r="H2535" s="18">
        <f>MAX(0,G2535-8)</f>
        <v/>
      </c>
    </row>
    <row r="2536">
      <c r="A2536" t="n">
        <v>1126</v>
      </c>
      <c r="B2536" s="14" t="n">
        <v>46272</v>
      </c>
      <c r="C2536" s="17" t="n">
        <v>0.9166666666666666</v>
      </c>
      <c r="D2536" s="17" t="n">
        <v>0.3541666666666667</v>
      </c>
      <c r="E2536" t="inlineStr">
        <is>
          <t>Night</t>
        </is>
      </c>
      <c r="F2536" t="inlineStr">
        <is>
          <t>Sep</t>
        </is>
      </c>
      <c r="G2536" s="18">
        <f>IF(D2536&lt;C2536,D2536+1-C2536,D2536-C2536)*24</f>
        <v/>
      </c>
      <c r="H2536" s="18">
        <f>MAX(0,G2536-8)</f>
        <v/>
      </c>
    </row>
    <row r="2537">
      <c r="A2537" t="n">
        <v>1128</v>
      </c>
      <c r="B2537" s="14" t="n">
        <v>46272</v>
      </c>
      <c r="C2537" s="17" t="n">
        <v>0.9166666666666666</v>
      </c>
      <c r="D2537" s="17" t="n">
        <v>0.375</v>
      </c>
      <c r="E2537" t="inlineStr">
        <is>
          <t>Night</t>
        </is>
      </c>
      <c r="F2537" t="inlineStr">
        <is>
          <t>Sep</t>
        </is>
      </c>
      <c r="G2537" s="18">
        <f>IF(D2537&lt;C2537,D2537+1-C2537,D2537-C2537)*24</f>
        <v/>
      </c>
      <c r="H2537" s="18">
        <f>MAX(0,G2537-8)</f>
        <v/>
      </c>
    </row>
    <row r="2538">
      <c r="A2538" t="n">
        <v>1130</v>
      </c>
      <c r="B2538" s="14" t="n">
        <v>46272</v>
      </c>
      <c r="C2538" s="17" t="n">
        <v>0.9166666666666666</v>
      </c>
      <c r="D2538" s="17" t="n">
        <v>0.2916666666666667</v>
      </c>
      <c r="E2538" t="inlineStr">
        <is>
          <t>Night</t>
        </is>
      </c>
      <c r="F2538" t="inlineStr">
        <is>
          <t>Sep</t>
        </is>
      </c>
      <c r="G2538" s="18">
        <f>IF(D2538&lt;C2538,D2538+1-C2538,D2538-C2538)*24</f>
        <v/>
      </c>
      <c r="H2538" s="18">
        <f>MAX(0,G2538-8)</f>
        <v/>
      </c>
    </row>
    <row r="2539">
      <c r="A2539" t="n">
        <v>1131</v>
      </c>
      <c r="B2539" s="14" t="n">
        <v>46272</v>
      </c>
      <c r="C2539" s="17" t="n">
        <v>0.9166666666666666</v>
      </c>
      <c r="D2539" s="17" t="n">
        <v>0.3125</v>
      </c>
      <c r="E2539" t="inlineStr">
        <is>
          <t>Night</t>
        </is>
      </c>
      <c r="F2539" t="inlineStr">
        <is>
          <t>Sep</t>
        </is>
      </c>
      <c r="G2539" s="18">
        <f>IF(D2539&lt;C2539,D2539+1-C2539,D2539-C2539)*24</f>
        <v/>
      </c>
      <c r="H2539" s="18">
        <f>MAX(0,G2539-8)</f>
        <v/>
      </c>
    </row>
    <row r="2540">
      <c r="A2540" t="n">
        <v>1132</v>
      </c>
      <c r="B2540" s="14" t="n">
        <v>46272</v>
      </c>
      <c r="C2540" s="17" t="n">
        <v>0.9166666666666666</v>
      </c>
      <c r="D2540" s="17" t="n">
        <v>0.25</v>
      </c>
      <c r="E2540" t="inlineStr">
        <is>
          <t>Night</t>
        </is>
      </c>
      <c r="F2540" t="inlineStr">
        <is>
          <t>Sep</t>
        </is>
      </c>
      <c r="G2540" s="18">
        <f>IF(D2540&lt;C2540,D2540+1-C2540,D2540-C2540)*24</f>
        <v/>
      </c>
      <c r="H2540" s="18">
        <f>MAX(0,G2540-8)</f>
        <v/>
      </c>
    </row>
    <row r="2541">
      <c r="A2541" t="n">
        <v>1133</v>
      </c>
      <c r="B2541" s="14" t="n">
        <v>46272</v>
      </c>
      <c r="C2541" s="17" t="n">
        <v>0.9166666666666666</v>
      </c>
      <c r="D2541" s="17" t="n">
        <v>0.3125</v>
      </c>
      <c r="E2541" t="inlineStr">
        <is>
          <t>Night</t>
        </is>
      </c>
      <c r="F2541" t="inlineStr">
        <is>
          <t>Sep</t>
        </is>
      </c>
      <c r="G2541" s="18">
        <f>IF(D2541&lt;C2541,D2541+1-C2541,D2541-C2541)*24</f>
        <v/>
      </c>
      <c r="H2541" s="18">
        <f>MAX(0,G2541-8)</f>
        <v/>
      </c>
    </row>
    <row r="2542">
      <c r="A2542" t="n">
        <v>1134</v>
      </c>
      <c r="B2542" s="14" t="n">
        <v>46272</v>
      </c>
      <c r="C2542" s="17" t="n">
        <v>0.9270833333333334</v>
      </c>
      <c r="D2542" s="17" t="n">
        <v>0.34375</v>
      </c>
      <c r="E2542" t="inlineStr">
        <is>
          <t>Night</t>
        </is>
      </c>
      <c r="F2542" t="inlineStr">
        <is>
          <t>Sep</t>
        </is>
      </c>
      <c r="G2542" s="18">
        <f>IF(D2542&lt;C2542,D2542+1-C2542,D2542-C2542)*24</f>
        <v/>
      </c>
      <c r="H2542" s="18">
        <f>MAX(0,G2542-8)</f>
        <v/>
      </c>
    </row>
    <row r="2543">
      <c r="A2543" t="n">
        <v>1135</v>
      </c>
      <c r="B2543" s="14" t="n">
        <v>46272</v>
      </c>
      <c r="C2543" s="17" t="n">
        <v>0.9375</v>
      </c>
      <c r="D2543" s="17" t="n">
        <v>0.2708333333333333</v>
      </c>
      <c r="E2543" t="inlineStr">
        <is>
          <t>Night</t>
        </is>
      </c>
      <c r="F2543" t="inlineStr">
        <is>
          <t>Sep</t>
        </is>
      </c>
      <c r="G2543" s="18">
        <f>IF(D2543&lt;C2543,D2543+1-C2543,D2543-C2543)*24</f>
        <v/>
      </c>
      <c r="H2543" s="18">
        <f>MAX(0,G2543-8)</f>
        <v/>
      </c>
    </row>
    <row r="2544">
      <c r="A2544" t="n">
        <v>1136</v>
      </c>
      <c r="B2544" s="14" t="n">
        <v>46272</v>
      </c>
      <c r="C2544" s="17" t="n">
        <v>0.9270833333333334</v>
      </c>
      <c r="D2544" s="17" t="n">
        <v>0.3020833333333333</v>
      </c>
      <c r="E2544" t="inlineStr">
        <is>
          <t>Night</t>
        </is>
      </c>
      <c r="F2544" t="inlineStr">
        <is>
          <t>Sep</t>
        </is>
      </c>
      <c r="G2544" s="18">
        <f>IF(D2544&lt;C2544,D2544+1-C2544,D2544-C2544)*24</f>
        <v/>
      </c>
      <c r="H2544" s="18">
        <f>MAX(0,G2544-8)</f>
        <v/>
      </c>
    </row>
    <row r="2545">
      <c r="A2545" t="n">
        <v>1137</v>
      </c>
      <c r="B2545" s="14" t="n">
        <v>46272</v>
      </c>
      <c r="C2545" s="17" t="n">
        <v>0.9270833333333334</v>
      </c>
      <c r="D2545" s="17" t="n">
        <v>0.28125</v>
      </c>
      <c r="E2545" t="inlineStr">
        <is>
          <t>Night</t>
        </is>
      </c>
      <c r="F2545" t="inlineStr">
        <is>
          <t>Sep</t>
        </is>
      </c>
      <c r="G2545" s="18">
        <f>IF(D2545&lt;C2545,D2545+1-C2545,D2545-C2545)*24</f>
        <v/>
      </c>
      <c r="H2545" s="18">
        <f>MAX(0,G2545-8)</f>
        <v/>
      </c>
    </row>
    <row r="2546">
      <c r="A2546" t="n">
        <v>1147</v>
      </c>
      <c r="B2546" s="14" t="n">
        <v>46272</v>
      </c>
      <c r="C2546" s="17" t="n">
        <v>0.9270833333333334</v>
      </c>
      <c r="D2546" s="17" t="n">
        <v>0.28125</v>
      </c>
      <c r="E2546" t="inlineStr">
        <is>
          <t>Night</t>
        </is>
      </c>
      <c r="F2546" t="inlineStr">
        <is>
          <t>Sep</t>
        </is>
      </c>
      <c r="G2546" s="18">
        <f>IF(D2546&lt;C2546,D2546+1-C2546,D2546-C2546)*24</f>
        <v/>
      </c>
      <c r="H2546" s="18">
        <f>MAX(0,G2546-8)</f>
        <v/>
      </c>
    </row>
    <row r="2547">
      <c r="A2547" t="n">
        <v>1125</v>
      </c>
      <c r="B2547" s="14" t="n">
        <v>46272</v>
      </c>
      <c r="C2547" s="17" t="n">
        <v>0.01041666666666667</v>
      </c>
      <c r="D2547" s="17" t="n">
        <v>0.3645833333333333</v>
      </c>
      <c r="E2547" t="inlineStr">
        <is>
          <t>Night</t>
        </is>
      </c>
      <c r="F2547" t="inlineStr">
        <is>
          <t>Sep</t>
        </is>
      </c>
      <c r="G2547" s="18">
        <f>IF(D2547&lt;C2547,D2547+1-C2547,D2547-C2547)*24</f>
        <v/>
      </c>
      <c r="H2547" s="18">
        <f>MAX(0,G2547-8)</f>
        <v/>
      </c>
    </row>
    <row r="2548">
      <c r="A2548" t="n">
        <v>1127</v>
      </c>
      <c r="B2548" s="14" t="n">
        <v>46272</v>
      </c>
      <c r="C2548" s="17" t="n">
        <v>0.02083333333333333</v>
      </c>
      <c r="D2548" s="17" t="n">
        <v>0.5</v>
      </c>
      <c r="E2548" t="inlineStr">
        <is>
          <t>Night</t>
        </is>
      </c>
      <c r="F2548" t="inlineStr">
        <is>
          <t>Sep</t>
        </is>
      </c>
      <c r="G2548" s="18">
        <f>IF(D2548&lt;C2548,D2548+1-C2548,D2548-C2548)*24</f>
        <v/>
      </c>
      <c r="H2548" s="18">
        <f>MAX(0,G2548-8)</f>
        <v/>
      </c>
    </row>
    <row r="2549">
      <c r="A2549" t="n">
        <v>1201</v>
      </c>
      <c r="B2549" s="14" t="n">
        <v>46272</v>
      </c>
      <c r="C2549" s="17" t="n">
        <v>0.2708333333333333</v>
      </c>
      <c r="D2549" s="17" t="n">
        <v>0.6041666666666666</v>
      </c>
      <c r="E2549" t="inlineStr">
        <is>
          <t>Day</t>
        </is>
      </c>
      <c r="F2549" t="inlineStr">
        <is>
          <t>Sep</t>
        </is>
      </c>
      <c r="G2549" s="18">
        <f>IF(D2549&lt;C2549,D2549+1-C2549,D2549-C2549)*24</f>
        <v/>
      </c>
      <c r="H2549" s="18">
        <f>MAX(0,G2549-8)</f>
        <v/>
      </c>
    </row>
    <row r="2550">
      <c r="A2550" t="n">
        <v>1202</v>
      </c>
      <c r="B2550" s="14" t="n">
        <v>46272</v>
      </c>
      <c r="C2550" s="17" t="n">
        <v>0.25</v>
      </c>
      <c r="D2550" s="17" t="n">
        <v>0.6041666666666666</v>
      </c>
      <c r="E2550" t="inlineStr">
        <is>
          <t>Day</t>
        </is>
      </c>
      <c r="F2550" t="inlineStr">
        <is>
          <t>Sep</t>
        </is>
      </c>
      <c r="G2550" s="18">
        <f>IF(D2550&lt;C2550,D2550+1-C2550,D2550-C2550)*24</f>
        <v/>
      </c>
      <c r="H2550" s="18">
        <f>MAX(0,G2550-8)</f>
        <v/>
      </c>
    </row>
    <row r="2551">
      <c r="A2551" t="n">
        <v>1203</v>
      </c>
      <c r="B2551" s="14" t="n">
        <v>46272</v>
      </c>
      <c r="C2551" s="17" t="n">
        <v>0.2708333333333333</v>
      </c>
      <c r="D2551" s="17" t="n">
        <v>0.6041666666666666</v>
      </c>
      <c r="E2551" t="inlineStr">
        <is>
          <t>Day</t>
        </is>
      </c>
      <c r="F2551" t="inlineStr">
        <is>
          <t>Sep</t>
        </is>
      </c>
      <c r="G2551" s="18">
        <f>IF(D2551&lt;C2551,D2551+1-C2551,D2551-C2551)*24</f>
        <v/>
      </c>
      <c r="H2551" s="18">
        <f>MAX(0,G2551-8)</f>
        <v/>
      </c>
    </row>
    <row r="2552">
      <c r="A2552" t="n">
        <v>1204</v>
      </c>
      <c r="B2552" s="14" t="n">
        <v>46272</v>
      </c>
      <c r="C2552" s="17" t="n">
        <v>0.25</v>
      </c>
      <c r="D2552" s="17" t="n">
        <v>0.5833333333333334</v>
      </c>
      <c r="E2552" t="inlineStr">
        <is>
          <t>Day</t>
        </is>
      </c>
      <c r="F2552" t="inlineStr">
        <is>
          <t>Sep</t>
        </is>
      </c>
      <c r="G2552" s="18">
        <f>IF(D2552&lt;C2552,D2552+1-C2552,D2552-C2552)*24</f>
        <v/>
      </c>
      <c r="H2552" s="18">
        <f>MAX(0,G2552-8)</f>
        <v/>
      </c>
    </row>
    <row r="2553">
      <c r="A2553" t="n">
        <v>1205</v>
      </c>
      <c r="B2553" s="14" t="n">
        <v>46272</v>
      </c>
      <c r="C2553" s="17" t="n">
        <v>0.25</v>
      </c>
      <c r="D2553" s="17" t="n">
        <v>0.5833333333333334</v>
      </c>
      <c r="E2553" t="inlineStr">
        <is>
          <t>Day</t>
        </is>
      </c>
      <c r="F2553" t="inlineStr">
        <is>
          <t>Sep</t>
        </is>
      </c>
      <c r="G2553" s="18">
        <f>IF(D2553&lt;C2553,D2553+1-C2553,D2553-C2553)*24</f>
        <v/>
      </c>
      <c r="H2553" s="18">
        <f>MAX(0,G2553-8)</f>
        <v/>
      </c>
    </row>
    <row r="2554">
      <c r="A2554" t="n">
        <v>1206</v>
      </c>
      <c r="B2554" s="14" t="n">
        <v>46272</v>
      </c>
      <c r="C2554" s="17" t="n">
        <v>0.2708333333333333</v>
      </c>
      <c r="D2554" s="17" t="n">
        <v>0.6458333333333334</v>
      </c>
      <c r="E2554" t="inlineStr">
        <is>
          <t>Day</t>
        </is>
      </c>
      <c r="F2554" t="inlineStr">
        <is>
          <t>Sep</t>
        </is>
      </c>
      <c r="G2554" s="18">
        <f>IF(D2554&lt;C2554,D2554+1-C2554,D2554-C2554)*24</f>
        <v/>
      </c>
      <c r="H2554" s="18">
        <f>MAX(0,G2554-8)</f>
        <v/>
      </c>
    </row>
    <row r="2555">
      <c r="A2555" t="n">
        <v>1207</v>
      </c>
      <c r="B2555" s="14" t="n">
        <v>46272</v>
      </c>
      <c r="C2555" s="17" t="n">
        <v>0.25</v>
      </c>
      <c r="D2555" s="17" t="n">
        <v>0.625</v>
      </c>
      <c r="E2555" t="inlineStr">
        <is>
          <t>Day</t>
        </is>
      </c>
      <c r="F2555" t="inlineStr">
        <is>
          <t>Sep</t>
        </is>
      </c>
      <c r="G2555" s="18">
        <f>IF(D2555&lt;C2555,D2555+1-C2555,D2555-C2555)*24</f>
        <v/>
      </c>
      <c r="H2555" s="18">
        <f>MAX(0,G2555-8)</f>
        <v/>
      </c>
    </row>
    <row r="2556">
      <c r="A2556" t="n">
        <v>1208</v>
      </c>
      <c r="B2556" s="14" t="n">
        <v>46272</v>
      </c>
      <c r="C2556" s="17" t="n">
        <v>0.25</v>
      </c>
      <c r="D2556" s="17" t="n">
        <v>0.5833333333333334</v>
      </c>
      <c r="E2556" t="inlineStr">
        <is>
          <t>Day</t>
        </is>
      </c>
      <c r="F2556" t="inlineStr">
        <is>
          <t>Sep</t>
        </is>
      </c>
      <c r="G2556" s="18">
        <f>IF(D2556&lt;C2556,D2556+1-C2556,D2556-C2556)*24</f>
        <v/>
      </c>
      <c r="H2556" s="18">
        <f>MAX(0,G2556-8)</f>
        <v/>
      </c>
    </row>
    <row r="2557">
      <c r="A2557" t="n">
        <v>1209</v>
      </c>
      <c r="B2557" s="14" t="n">
        <v>46272</v>
      </c>
      <c r="C2557" s="17" t="n">
        <v>0.25</v>
      </c>
      <c r="D2557" s="17" t="n">
        <v>0.5833333333333334</v>
      </c>
      <c r="E2557" t="inlineStr">
        <is>
          <t>Day</t>
        </is>
      </c>
      <c r="F2557" t="inlineStr">
        <is>
          <t>Sep</t>
        </is>
      </c>
      <c r="G2557" s="18">
        <f>IF(D2557&lt;C2557,D2557+1-C2557,D2557-C2557)*24</f>
        <v/>
      </c>
      <c r="H2557" s="18">
        <f>MAX(0,G2557-8)</f>
        <v/>
      </c>
    </row>
    <row r="2558">
      <c r="A2558" t="n">
        <v>1210</v>
      </c>
      <c r="B2558" s="14" t="n">
        <v>46272</v>
      </c>
      <c r="C2558" s="17" t="n">
        <v>0.25</v>
      </c>
      <c r="D2558" s="17" t="n">
        <v>0.6666666666666666</v>
      </c>
      <c r="E2558" t="inlineStr">
        <is>
          <t>Day</t>
        </is>
      </c>
      <c r="F2558" t="inlineStr">
        <is>
          <t>Sep</t>
        </is>
      </c>
      <c r="G2558" s="18">
        <f>IF(D2558&lt;C2558,D2558+1-C2558,D2558-C2558)*24</f>
        <v/>
      </c>
      <c r="H2558" s="18">
        <f>MAX(0,G2558-8)</f>
        <v/>
      </c>
    </row>
    <row r="2559">
      <c r="A2559" t="n">
        <v>1212</v>
      </c>
      <c r="B2559" s="14" t="n">
        <v>46272</v>
      </c>
      <c r="C2559" s="17" t="n">
        <v>0.2708333333333333</v>
      </c>
      <c r="D2559" s="17" t="n">
        <v>0.625</v>
      </c>
      <c r="E2559" t="inlineStr">
        <is>
          <t>Day</t>
        </is>
      </c>
      <c r="F2559" t="inlineStr">
        <is>
          <t>Sep</t>
        </is>
      </c>
      <c r="G2559" s="18">
        <f>IF(D2559&lt;C2559,D2559+1-C2559,D2559-C2559)*24</f>
        <v/>
      </c>
      <c r="H2559" s="18">
        <f>MAX(0,G2559-8)</f>
        <v/>
      </c>
    </row>
    <row r="2560">
      <c r="A2560" t="n">
        <v>1213</v>
      </c>
      <c r="B2560" s="14" t="n">
        <v>46272</v>
      </c>
      <c r="C2560" s="17" t="n">
        <v>0.25</v>
      </c>
      <c r="D2560" s="17" t="n">
        <v>0.6041666666666666</v>
      </c>
      <c r="E2560" t="inlineStr">
        <is>
          <t>Day</t>
        </is>
      </c>
      <c r="F2560" t="inlineStr">
        <is>
          <t>Sep</t>
        </is>
      </c>
      <c r="G2560" s="18">
        <f>IF(D2560&lt;C2560,D2560+1-C2560,D2560-C2560)*24</f>
        <v/>
      </c>
      <c r="H2560" s="18">
        <f>MAX(0,G2560-8)</f>
        <v/>
      </c>
    </row>
    <row r="2561">
      <c r="A2561" t="n">
        <v>1214</v>
      </c>
      <c r="B2561" s="14" t="n">
        <v>46272</v>
      </c>
      <c r="C2561" s="17" t="n">
        <v>0.25</v>
      </c>
      <c r="D2561" s="17" t="n">
        <v>0.6041666666666666</v>
      </c>
      <c r="E2561" t="inlineStr">
        <is>
          <t>Day</t>
        </is>
      </c>
      <c r="F2561" t="inlineStr">
        <is>
          <t>Sep</t>
        </is>
      </c>
      <c r="G2561" s="18">
        <f>IF(D2561&lt;C2561,D2561+1-C2561,D2561-C2561)*24</f>
        <v/>
      </c>
      <c r="H2561" s="18">
        <f>MAX(0,G2561-8)</f>
        <v/>
      </c>
    </row>
    <row r="2562">
      <c r="A2562" t="n">
        <v>1216</v>
      </c>
      <c r="B2562" s="14" t="n">
        <v>46272</v>
      </c>
      <c r="C2562" s="17" t="n">
        <v>0.2708333333333333</v>
      </c>
      <c r="D2562" s="17" t="n">
        <v>0.6875</v>
      </c>
      <c r="E2562" t="inlineStr">
        <is>
          <t>Day</t>
        </is>
      </c>
      <c r="F2562" t="inlineStr">
        <is>
          <t>Sep</t>
        </is>
      </c>
      <c r="G2562" s="18">
        <f>IF(D2562&lt;C2562,D2562+1-C2562,D2562-C2562)*24</f>
        <v/>
      </c>
      <c r="H2562" s="18">
        <f>MAX(0,G2562-8)</f>
        <v/>
      </c>
    </row>
    <row r="2563">
      <c r="A2563" t="n">
        <v>1217</v>
      </c>
      <c r="B2563" s="14" t="n">
        <v>46272</v>
      </c>
      <c r="C2563" s="17" t="n">
        <v>0.2708333333333333</v>
      </c>
      <c r="D2563" s="17" t="n">
        <v>0.6458333333333334</v>
      </c>
      <c r="E2563" t="inlineStr">
        <is>
          <t>Day</t>
        </is>
      </c>
      <c r="F2563" t="inlineStr">
        <is>
          <t>Sep</t>
        </is>
      </c>
      <c r="G2563" s="18">
        <f>IF(D2563&lt;C2563,D2563+1-C2563,D2563-C2563)*24</f>
        <v/>
      </c>
      <c r="H2563" s="18">
        <f>MAX(0,G2563-8)</f>
        <v/>
      </c>
    </row>
    <row r="2564">
      <c r="A2564" t="n">
        <v>1218</v>
      </c>
      <c r="B2564" s="14" t="n">
        <v>46272</v>
      </c>
      <c r="C2564" s="17" t="n">
        <v>0.2708333333333333</v>
      </c>
      <c r="D2564" s="17" t="n">
        <v>0.625</v>
      </c>
      <c r="E2564" t="inlineStr">
        <is>
          <t>Day</t>
        </is>
      </c>
      <c r="F2564" t="inlineStr">
        <is>
          <t>Sep</t>
        </is>
      </c>
      <c r="G2564" s="18">
        <f>IF(D2564&lt;C2564,D2564+1-C2564,D2564-C2564)*24</f>
        <v/>
      </c>
      <c r="H2564" s="18">
        <f>MAX(0,G2564-8)</f>
        <v/>
      </c>
    </row>
    <row r="2565">
      <c r="A2565" t="n">
        <v>1219</v>
      </c>
      <c r="B2565" s="14" t="n">
        <v>46272</v>
      </c>
      <c r="C2565" s="17" t="n">
        <v>0.25</v>
      </c>
      <c r="D2565" s="17" t="n">
        <v>0.6666666666666666</v>
      </c>
      <c r="E2565" t="inlineStr">
        <is>
          <t>Day</t>
        </is>
      </c>
      <c r="F2565" t="inlineStr">
        <is>
          <t>Sep</t>
        </is>
      </c>
      <c r="G2565" s="18">
        <f>IF(D2565&lt;C2565,D2565+1-C2565,D2565-C2565)*24</f>
        <v/>
      </c>
      <c r="H2565" s="18">
        <f>MAX(0,G2565-8)</f>
        <v/>
      </c>
    </row>
    <row r="2566">
      <c r="A2566" t="n">
        <v>1220</v>
      </c>
      <c r="B2566" s="14" t="n">
        <v>46272</v>
      </c>
      <c r="C2566" s="17" t="n">
        <v>0.25</v>
      </c>
      <c r="D2566" s="17" t="n">
        <v>0.5833333333333334</v>
      </c>
      <c r="E2566" t="inlineStr">
        <is>
          <t>Day</t>
        </is>
      </c>
      <c r="F2566" t="inlineStr">
        <is>
          <t>Sep</t>
        </is>
      </c>
      <c r="G2566" s="18">
        <f>IF(D2566&lt;C2566,D2566+1-C2566,D2566-C2566)*24</f>
        <v/>
      </c>
      <c r="H2566" s="18">
        <f>MAX(0,G2566-8)</f>
        <v/>
      </c>
    </row>
    <row r="2567">
      <c r="A2567" t="n">
        <v>1101</v>
      </c>
      <c r="B2567" s="14" t="n">
        <v>46273</v>
      </c>
      <c r="C2567" s="17" t="n">
        <v>0.9375</v>
      </c>
      <c r="D2567" s="17" t="n">
        <v>0.4166666666666667</v>
      </c>
      <c r="E2567" t="inlineStr">
        <is>
          <t>Night</t>
        </is>
      </c>
      <c r="F2567" t="inlineStr">
        <is>
          <t>Sep</t>
        </is>
      </c>
      <c r="G2567" s="18">
        <f>IF(D2567&lt;C2567,D2567+1-C2567,D2567-C2567)*24</f>
        <v/>
      </c>
      <c r="H2567" s="18">
        <f>MAX(0,G2567-8)</f>
        <v/>
      </c>
    </row>
    <row r="2568">
      <c r="A2568" t="n">
        <v>1102</v>
      </c>
      <c r="B2568" s="14" t="n">
        <v>46273</v>
      </c>
      <c r="C2568" s="17" t="n">
        <v>0.9166666666666666</v>
      </c>
      <c r="D2568" s="17" t="n">
        <v>0.25</v>
      </c>
      <c r="E2568" t="inlineStr">
        <is>
          <t>Night</t>
        </is>
      </c>
      <c r="F2568" t="inlineStr">
        <is>
          <t>Sep</t>
        </is>
      </c>
      <c r="G2568" s="18">
        <f>IF(D2568&lt;C2568,D2568+1-C2568,D2568-C2568)*24</f>
        <v/>
      </c>
      <c r="H2568" s="18">
        <f>MAX(0,G2568-8)</f>
        <v/>
      </c>
    </row>
    <row r="2569">
      <c r="A2569" t="n">
        <v>1103</v>
      </c>
      <c r="B2569" s="14" t="n">
        <v>46273</v>
      </c>
      <c r="C2569" s="17" t="n">
        <v>0.9166666666666666</v>
      </c>
      <c r="D2569" s="17" t="n">
        <v>0.25</v>
      </c>
      <c r="E2569" t="inlineStr">
        <is>
          <t>Night</t>
        </is>
      </c>
      <c r="F2569" t="inlineStr">
        <is>
          <t>Sep</t>
        </is>
      </c>
      <c r="G2569" s="18">
        <f>IF(D2569&lt;C2569,D2569+1-C2569,D2569-C2569)*24</f>
        <v/>
      </c>
      <c r="H2569" s="18">
        <f>MAX(0,G2569-8)</f>
        <v/>
      </c>
    </row>
    <row r="2570">
      <c r="A2570" t="n">
        <v>1104</v>
      </c>
      <c r="B2570" s="14" t="n">
        <v>46273</v>
      </c>
      <c r="C2570" s="17" t="n">
        <v>0.9270833333333334</v>
      </c>
      <c r="D2570" s="17" t="n">
        <v>0.3020833333333333</v>
      </c>
      <c r="E2570" t="inlineStr">
        <is>
          <t>Night</t>
        </is>
      </c>
      <c r="F2570" t="inlineStr">
        <is>
          <t>Sep</t>
        </is>
      </c>
      <c r="G2570" s="18">
        <f>IF(D2570&lt;C2570,D2570+1-C2570,D2570-C2570)*24</f>
        <v/>
      </c>
      <c r="H2570" s="18">
        <f>MAX(0,G2570-8)</f>
        <v/>
      </c>
    </row>
    <row r="2571">
      <c r="A2571" t="n">
        <v>1106</v>
      </c>
      <c r="B2571" s="14" t="n">
        <v>46273</v>
      </c>
      <c r="C2571" s="17" t="n">
        <v>0.9375</v>
      </c>
      <c r="D2571" s="17" t="n">
        <v>0.4166666666666667</v>
      </c>
      <c r="E2571" t="inlineStr">
        <is>
          <t>Night</t>
        </is>
      </c>
      <c r="F2571" t="inlineStr">
        <is>
          <t>Sep</t>
        </is>
      </c>
      <c r="G2571" s="18">
        <f>IF(D2571&lt;C2571,D2571+1-C2571,D2571-C2571)*24</f>
        <v/>
      </c>
      <c r="H2571" s="18">
        <f>MAX(0,G2571-8)</f>
        <v/>
      </c>
    </row>
    <row r="2572">
      <c r="A2572" t="n">
        <v>1107</v>
      </c>
      <c r="B2572" s="14" t="n">
        <v>46273</v>
      </c>
      <c r="C2572" s="17" t="n">
        <v>0.9166666666666666</v>
      </c>
      <c r="D2572" s="17" t="n">
        <v>0.2708333333333333</v>
      </c>
      <c r="E2572" t="inlineStr">
        <is>
          <t>Night</t>
        </is>
      </c>
      <c r="F2572" t="inlineStr">
        <is>
          <t>Sep</t>
        </is>
      </c>
      <c r="G2572" s="18">
        <f>IF(D2572&lt;C2572,D2572+1-C2572,D2572-C2572)*24</f>
        <v/>
      </c>
      <c r="H2572" s="18">
        <f>MAX(0,G2572-8)</f>
        <v/>
      </c>
    </row>
    <row r="2573">
      <c r="A2573" t="n">
        <v>1110</v>
      </c>
      <c r="B2573" s="14" t="n">
        <v>46273</v>
      </c>
      <c r="C2573" s="17" t="n">
        <v>0.9166666666666666</v>
      </c>
      <c r="D2573" s="17" t="n">
        <v>0.25</v>
      </c>
      <c r="E2573" t="inlineStr">
        <is>
          <t>Night</t>
        </is>
      </c>
      <c r="F2573" t="inlineStr">
        <is>
          <t>Sep</t>
        </is>
      </c>
      <c r="G2573" s="18">
        <f>IF(D2573&lt;C2573,D2573+1-C2573,D2573-C2573)*24</f>
        <v/>
      </c>
      <c r="H2573" s="18">
        <f>MAX(0,G2573-8)</f>
        <v/>
      </c>
    </row>
    <row r="2574">
      <c r="A2574" t="n">
        <v>1111</v>
      </c>
      <c r="B2574" s="14" t="n">
        <v>46273</v>
      </c>
      <c r="C2574" s="17" t="n">
        <v>0.9166666666666666</v>
      </c>
      <c r="D2574" s="17" t="n">
        <v>0.2708333333333333</v>
      </c>
      <c r="E2574" t="inlineStr">
        <is>
          <t>Night</t>
        </is>
      </c>
      <c r="F2574" t="inlineStr">
        <is>
          <t>Sep</t>
        </is>
      </c>
      <c r="G2574" s="18">
        <f>IF(D2574&lt;C2574,D2574+1-C2574,D2574-C2574)*24</f>
        <v/>
      </c>
      <c r="H2574" s="18">
        <f>MAX(0,G2574-8)</f>
        <v/>
      </c>
    </row>
    <row r="2575">
      <c r="A2575" t="n">
        <v>1112</v>
      </c>
      <c r="B2575" s="14" t="n">
        <v>46273</v>
      </c>
      <c r="C2575" s="17" t="n">
        <v>0.9375</v>
      </c>
      <c r="D2575" s="17" t="n">
        <v>0.2708333333333333</v>
      </c>
      <c r="E2575" t="inlineStr">
        <is>
          <t>Night</t>
        </is>
      </c>
      <c r="F2575" t="inlineStr">
        <is>
          <t>Sep</t>
        </is>
      </c>
      <c r="G2575" s="18">
        <f>IF(D2575&lt;C2575,D2575+1-C2575,D2575-C2575)*24</f>
        <v/>
      </c>
      <c r="H2575" s="18">
        <f>MAX(0,G2575-8)</f>
        <v/>
      </c>
    </row>
    <row r="2576">
      <c r="A2576" t="n">
        <v>1113</v>
      </c>
      <c r="B2576" s="14" t="n">
        <v>46273</v>
      </c>
      <c r="C2576" s="17" t="n">
        <v>0.9166666666666666</v>
      </c>
      <c r="D2576" s="17" t="n">
        <v>0.25</v>
      </c>
      <c r="E2576" t="inlineStr">
        <is>
          <t>Night</t>
        </is>
      </c>
      <c r="F2576" t="inlineStr">
        <is>
          <t>Sep</t>
        </is>
      </c>
      <c r="G2576" s="18">
        <f>IF(D2576&lt;C2576,D2576+1-C2576,D2576-C2576)*24</f>
        <v/>
      </c>
      <c r="H2576" s="18">
        <f>MAX(0,G2576-8)</f>
        <v/>
      </c>
    </row>
    <row r="2577">
      <c r="A2577" t="n">
        <v>1114</v>
      </c>
      <c r="B2577" s="14" t="n">
        <v>46273</v>
      </c>
      <c r="C2577" s="17" t="n">
        <v>0.9375</v>
      </c>
      <c r="D2577" s="17" t="n">
        <v>0.3125</v>
      </c>
      <c r="E2577" t="inlineStr">
        <is>
          <t>Night</t>
        </is>
      </c>
      <c r="F2577" t="inlineStr">
        <is>
          <t>Sep</t>
        </is>
      </c>
      <c r="G2577" s="18">
        <f>IF(D2577&lt;C2577,D2577+1-C2577,D2577-C2577)*24</f>
        <v/>
      </c>
      <c r="H2577" s="18">
        <f>MAX(0,G2577-8)</f>
        <v/>
      </c>
    </row>
    <row r="2578">
      <c r="A2578" t="n">
        <v>1115</v>
      </c>
      <c r="B2578" s="14" t="n">
        <v>46273</v>
      </c>
      <c r="C2578" s="17" t="n">
        <v>0.9375</v>
      </c>
      <c r="D2578" s="17" t="n">
        <v>0.2916666666666667</v>
      </c>
      <c r="E2578" t="inlineStr">
        <is>
          <t>Night</t>
        </is>
      </c>
      <c r="F2578" t="inlineStr">
        <is>
          <t>Sep</t>
        </is>
      </c>
      <c r="G2578" s="18">
        <f>IF(D2578&lt;C2578,D2578+1-C2578,D2578-C2578)*24</f>
        <v/>
      </c>
      <c r="H2578" s="18">
        <f>MAX(0,G2578-8)</f>
        <v/>
      </c>
    </row>
    <row r="2579">
      <c r="A2579" t="n">
        <v>1116</v>
      </c>
      <c r="B2579" s="14" t="n">
        <v>46273</v>
      </c>
      <c r="C2579" s="17" t="n">
        <v>0.9166666666666666</v>
      </c>
      <c r="D2579" s="17" t="n">
        <v>0.25</v>
      </c>
      <c r="E2579" t="inlineStr">
        <is>
          <t>Night</t>
        </is>
      </c>
      <c r="F2579" t="inlineStr">
        <is>
          <t>Sep</t>
        </is>
      </c>
      <c r="G2579" s="18">
        <f>IF(D2579&lt;C2579,D2579+1-C2579,D2579-C2579)*24</f>
        <v/>
      </c>
      <c r="H2579" s="18">
        <f>MAX(0,G2579-8)</f>
        <v/>
      </c>
    </row>
    <row r="2580">
      <c r="A2580" t="n">
        <v>1117</v>
      </c>
      <c r="B2580" s="14" t="n">
        <v>46273</v>
      </c>
      <c r="C2580" s="17" t="n">
        <v>0.9375</v>
      </c>
      <c r="D2580" s="17" t="n">
        <v>0.3541666666666667</v>
      </c>
      <c r="E2580" t="inlineStr">
        <is>
          <t>Night</t>
        </is>
      </c>
      <c r="F2580" t="inlineStr">
        <is>
          <t>Sep</t>
        </is>
      </c>
      <c r="G2580" s="18">
        <f>IF(D2580&lt;C2580,D2580+1-C2580,D2580-C2580)*24</f>
        <v/>
      </c>
      <c r="H2580" s="18">
        <f>MAX(0,G2580-8)</f>
        <v/>
      </c>
    </row>
    <row r="2581">
      <c r="A2581" t="n">
        <v>1118</v>
      </c>
      <c r="B2581" s="14" t="n">
        <v>46273</v>
      </c>
      <c r="C2581" s="17" t="n">
        <v>0.9166666666666666</v>
      </c>
      <c r="D2581" s="17" t="n">
        <v>0.2708333333333333</v>
      </c>
      <c r="E2581" t="inlineStr">
        <is>
          <t>Night</t>
        </is>
      </c>
      <c r="F2581" t="inlineStr">
        <is>
          <t>Sep</t>
        </is>
      </c>
      <c r="G2581" s="18">
        <f>IF(D2581&lt;C2581,D2581+1-C2581,D2581-C2581)*24</f>
        <v/>
      </c>
      <c r="H2581" s="18">
        <f>MAX(0,G2581-8)</f>
        <v/>
      </c>
    </row>
    <row r="2582">
      <c r="A2582" t="n">
        <v>1119</v>
      </c>
      <c r="B2582" s="14" t="n">
        <v>46273</v>
      </c>
      <c r="C2582" s="17" t="n">
        <v>0.9270833333333334</v>
      </c>
      <c r="D2582" s="17" t="n">
        <v>0.28125</v>
      </c>
      <c r="E2582" t="inlineStr">
        <is>
          <t>Night</t>
        </is>
      </c>
      <c r="F2582" t="inlineStr">
        <is>
          <t>Sep</t>
        </is>
      </c>
      <c r="G2582" s="18">
        <f>IF(D2582&lt;C2582,D2582+1-C2582,D2582-C2582)*24</f>
        <v/>
      </c>
      <c r="H2582" s="18">
        <f>MAX(0,G2582-8)</f>
        <v/>
      </c>
    </row>
    <row r="2583">
      <c r="A2583" t="n">
        <v>1120</v>
      </c>
      <c r="B2583" s="14" t="n">
        <v>46273</v>
      </c>
      <c r="C2583" s="17" t="n">
        <v>0.9166666666666666</v>
      </c>
      <c r="D2583" s="17" t="n">
        <v>0.375</v>
      </c>
      <c r="E2583" t="inlineStr">
        <is>
          <t>Night</t>
        </is>
      </c>
      <c r="F2583" t="inlineStr">
        <is>
          <t>Sep</t>
        </is>
      </c>
      <c r="G2583" s="18">
        <f>IF(D2583&lt;C2583,D2583+1-C2583,D2583-C2583)*24</f>
        <v/>
      </c>
      <c r="H2583" s="18">
        <f>MAX(0,G2583-8)</f>
        <v/>
      </c>
    </row>
    <row r="2584">
      <c r="A2584" t="n">
        <v>1122</v>
      </c>
      <c r="B2584" s="14" t="n">
        <v>46273</v>
      </c>
      <c r="C2584" s="17" t="n">
        <v>0.9270833333333334</v>
      </c>
      <c r="D2584" s="17" t="n">
        <v>0.28125</v>
      </c>
      <c r="E2584" t="inlineStr">
        <is>
          <t>Night</t>
        </is>
      </c>
      <c r="F2584" t="inlineStr">
        <is>
          <t>Sep</t>
        </is>
      </c>
      <c r="G2584" s="18">
        <f>IF(D2584&lt;C2584,D2584+1-C2584,D2584-C2584)*24</f>
        <v/>
      </c>
      <c r="H2584" s="18">
        <f>MAX(0,G2584-8)</f>
        <v/>
      </c>
    </row>
    <row r="2585">
      <c r="A2585" t="n">
        <v>1123</v>
      </c>
      <c r="B2585" s="14" t="n">
        <v>46273</v>
      </c>
      <c r="C2585" s="17" t="n">
        <v>0.9270833333333334</v>
      </c>
      <c r="D2585" s="17" t="n">
        <v>0.3229166666666667</v>
      </c>
      <c r="E2585" t="inlineStr">
        <is>
          <t>Night</t>
        </is>
      </c>
      <c r="F2585" t="inlineStr">
        <is>
          <t>Sep</t>
        </is>
      </c>
      <c r="G2585" s="18">
        <f>IF(D2585&lt;C2585,D2585+1-C2585,D2585-C2585)*24</f>
        <v/>
      </c>
      <c r="H2585" s="18">
        <f>MAX(0,G2585-8)</f>
        <v/>
      </c>
    </row>
    <row r="2586">
      <c r="A2586" t="n">
        <v>1124</v>
      </c>
      <c r="B2586" s="14" t="n">
        <v>46273</v>
      </c>
      <c r="C2586" s="17" t="n">
        <v>0.9375</v>
      </c>
      <c r="D2586" s="17" t="n">
        <v>0.375</v>
      </c>
      <c r="E2586" t="inlineStr">
        <is>
          <t>Night</t>
        </is>
      </c>
      <c r="F2586" t="inlineStr">
        <is>
          <t>Sep</t>
        </is>
      </c>
      <c r="G2586" s="18">
        <f>IF(D2586&lt;C2586,D2586+1-C2586,D2586-C2586)*24</f>
        <v/>
      </c>
      <c r="H2586" s="18">
        <f>MAX(0,G2586-8)</f>
        <v/>
      </c>
    </row>
    <row r="2587">
      <c r="A2587" t="n">
        <v>1125</v>
      </c>
      <c r="B2587" s="14" t="n">
        <v>46273</v>
      </c>
      <c r="C2587" s="17" t="n">
        <v>0.9166666666666666</v>
      </c>
      <c r="D2587" s="17" t="n">
        <v>0.2708333333333333</v>
      </c>
      <c r="E2587" t="inlineStr">
        <is>
          <t>Night</t>
        </is>
      </c>
      <c r="F2587" t="inlineStr">
        <is>
          <t>Sep</t>
        </is>
      </c>
      <c r="G2587" s="18">
        <f>IF(D2587&lt;C2587,D2587+1-C2587,D2587-C2587)*24</f>
        <v/>
      </c>
      <c r="H2587" s="18">
        <f>MAX(0,G2587-8)</f>
        <v/>
      </c>
    </row>
    <row r="2588">
      <c r="A2588" t="n">
        <v>1126</v>
      </c>
      <c r="B2588" s="14" t="n">
        <v>46273</v>
      </c>
      <c r="C2588" s="17" t="n">
        <v>0.9270833333333334</v>
      </c>
      <c r="D2588" s="17" t="n">
        <v>0.2604166666666667</v>
      </c>
      <c r="E2588" t="inlineStr">
        <is>
          <t>Night</t>
        </is>
      </c>
      <c r="F2588" t="inlineStr">
        <is>
          <t>Sep</t>
        </is>
      </c>
      <c r="G2588" s="18">
        <f>IF(D2588&lt;C2588,D2588+1-C2588,D2588-C2588)*24</f>
        <v/>
      </c>
      <c r="H2588" s="18">
        <f>MAX(0,G2588-8)</f>
        <v/>
      </c>
    </row>
    <row r="2589">
      <c r="A2589" t="n">
        <v>1127</v>
      </c>
      <c r="B2589" s="14" t="n">
        <v>46273</v>
      </c>
      <c r="C2589" s="17" t="n">
        <v>0.9166666666666666</v>
      </c>
      <c r="D2589" s="17" t="n">
        <v>0.2708333333333333</v>
      </c>
      <c r="E2589" t="inlineStr">
        <is>
          <t>Night</t>
        </is>
      </c>
      <c r="F2589" t="inlineStr">
        <is>
          <t>Sep</t>
        </is>
      </c>
      <c r="G2589" s="18">
        <f>IF(D2589&lt;C2589,D2589+1-C2589,D2589-C2589)*24</f>
        <v/>
      </c>
      <c r="H2589" s="18">
        <f>MAX(0,G2589-8)</f>
        <v/>
      </c>
    </row>
    <row r="2590">
      <c r="A2590" t="n">
        <v>1128</v>
      </c>
      <c r="B2590" s="14" t="n">
        <v>46273</v>
      </c>
      <c r="C2590" s="17" t="n">
        <v>0.9166666666666666</v>
      </c>
      <c r="D2590" s="17" t="n">
        <v>0.3541666666666667</v>
      </c>
      <c r="E2590" t="inlineStr">
        <is>
          <t>Night</t>
        </is>
      </c>
      <c r="F2590" t="inlineStr">
        <is>
          <t>Sep</t>
        </is>
      </c>
      <c r="G2590" s="18">
        <f>IF(D2590&lt;C2590,D2590+1-C2590,D2590-C2590)*24</f>
        <v/>
      </c>
      <c r="H2590" s="18">
        <f>MAX(0,G2590-8)</f>
        <v/>
      </c>
    </row>
    <row r="2591">
      <c r="A2591" t="n">
        <v>1130</v>
      </c>
      <c r="B2591" s="14" t="n">
        <v>46273</v>
      </c>
      <c r="C2591" s="17" t="n">
        <v>0.9270833333333334</v>
      </c>
      <c r="D2591" s="17" t="n">
        <v>0.2604166666666667</v>
      </c>
      <c r="E2591" t="inlineStr">
        <is>
          <t>Night</t>
        </is>
      </c>
      <c r="F2591" t="inlineStr">
        <is>
          <t>Sep</t>
        </is>
      </c>
      <c r="G2591" s="18">
        <f>IF(D2591&lt;C2591,D2591+1-C2591,D2591-C2591)*24</f>
        <v/>
      </c>
      <c r="H2591" s="18">
        <f>MAX(0,G2591-8)</f>
        <v/>
      </c>
    </row>
    <row r="2592">
      <c r="A2592" t="n">
        <v>1131</v>
      </c>
      <c r="B2592" s="14" t="n">
        <v>46273</v>
      </c>
      <c r="C2592" s="17" t="n">
        <v>0.9166666666666666</v>
      </c>
      <c r="D2592" s="17" t="n">
        <v>0.2916666666666667</v>
      </c>
      <c r="E2592" t="inlineStr">
        <is>
          <t>Night</t>
        </is>
      </c>
      <c r="F2592" t="inlineStr">
        <is>
          <t>Sep</t>
        </is>
      </c>
      <c r="G2592" s="18">
        <f>IF(D2592&lt;C2592,D2592+1-C2592,D2592-C2592)*24</f>
        <v/>
      </c>
      <c r="H2592" s="18">
        <f>MAX(0,G2592-8)</f>
        <v/>
      </c>
    </row>
    <row r="2593">
      <c r="A2593" t="n">
        <v>1132</v>
      </c>
      <c r="B2593" s="14" t="n">
        <v>46273</v>
      </c>
      <c r="C2593" s="17" t="n">
        <v>0.9166666666666666</v>
      </c>
      <c r="D2593" s="17" t="n">
        <v>0.3125</v>
      </c>
      <c r="E2593" t="inlineStr">
        <is>
          <t>Night</t>
        </is>
      </c>
      <c r="F2593" t="inlineStr">
        <is>
          <t>Sep</t>
        </is>
      </c>
      <c r="G2593" s="18">
        <f>IF(D2593&lt;C2593,D2593+1-C2593,D2593-C2593)*24</f>
        <v/>
      </c>
      <c r="H2593" s="18">
        <f>MAX(0,G2593-8)</f>
        <v/>
      </c>
    </row>
    <row r="2594">
      <c r="A2594" t="n">
        <v>1133</v>
      </c>
      <c r="B2594" s="14" t="n">
        <v>46273</v>
      </c>
      <c r="C2594" s="17" t="n">
        <v>0.9270833333333334</v>
      </c>
      <c r="D2594" s="17" t="n">
        <v>0.40625</v>
      </c>
      <c r="E2594" t="inlineStr">
        <is>
          <t>Night</t>
        </is>
      </c>
      <c r="F2594" t="inlineStr">
        <is>
          <t>Sep</t>
        </is>
      </c>
      <c r="G2594" s="18">
        <f>IF(D2594&lt;C2594,D2594+1-C2594,D2594-C2594)*24</f>
        <v/>
      </c>
      <c r="H2594" s="18">
        <f>MAX(0,G2594-8)</f>
        <v/>
      </c>
    </row>
    <row r="2595">
      <c r="A2595" t="n">
        <v>1135</v>
      </c>
      <c r="B2595" s="14" t="n">
        <v>46273</v>
      </c>
      <c r="C2595" s="17" t="n">
        <v>0.9166666666666666</v>
      </c>
      <c r="D2595" s="17" t="n">
        <v>0.2708333333333333</v>
      </c>
      <c r="E2595" t="inlineStr">
        <is>
          <t>Night</t>
        </is>
      </c>
      <c r="F2595" t="inlineStr">
        <is>
          <t>Sep</t>
        </is>
      </c>
      <c r="G2595" s="18">
        <f>IF(D2595&lt;C2595,D2595+1-C2595,D2595-C2595)*24</f>
        <v/>
      </c>
      <c r="H2595" s="18">
        <f>MAX(0,G2595-8)</f>
        <v/>
      </c>
    </row>
    <row r="2596">
      <c r="A2596" t="n">
        <v>1136</v>
      </c>
      <c r="B2596" s="14" t="n">
        <v>46273</v>
      </c>
      <c r="C2596" s="17" t="n">
        <v>0.9375</v>
      </c>
      <c r="D2596" s="17" t="n">
        <v>0.375</v>
      </c>
      <c r="E2596" t="inlineStr">
        <is>
          <t>Night</t>
        </is>
      </c>
      <c r="F2596" t="inlineStr">
        <is>
          <t>Sep</t>
        </is>
      </c>
      <c r="G2596" s="18">
        <f>IF(D2596&lt;C2596,D2596+1-C2596,D2596-C2596)*24</f>
        <v/>
      </c>
      <c r="H2596" s="18">
        <f>MAX(0,G2596-8)</f>
        <v/>
      </c>
    </row>
    <row r="2597">
      <c r="A2597" t="n">
        <v>1147</v>
      </c>
      <c r="B2597" s="14" t="n">
        <v>46273</v>
      </c>
      <c r="C2597" s="17" t="n">
        <v>0.9166666666666666</v>
      </c>
      <c r="D2597" s="17" t="n">
        <v>0.375</v>
      </c>
      <c r="E2597" t="inlineStr">
        <is>
          <t>Night</t>
        </is>
      </c>
      <c r="F2597" t="inlineStr">
        <is>
          <t>Sep</t>
        </is>
      </c>
      <c r="G2597" s="18">
        <f>IF(D2597&lt;C2597,D2597+1-C2597,D2597-C2597)*24</f>
        <v/>
      </c>
      <c r="H2597" s="18">
        <f>MAX(0,G2597-8)</f>
        <v/>
      </c>
    </row>
    <row r="2598">
      <c r="A2598" t="n">
        <v>1129</v>
      </c>
      <c r="B2598" s="14" t="n">
        <v>46273</v>
      </c>
      <c r="C2598" s="17" t="n">
        <v>0.01041666666666667</v>
      </c>
      <c r="D2598" s="17" t="n">
        <v>0.34375</v>
      </c>
      <c r="E2598" t="inlineStr">
        <is>
          <t>Night</t>
        </is>
      </c>
      <c r="F2598" t="inlineStr">
        <is>
          <t>Sep</t>
        </is>
      </c>
      <c r="G2598" s="18">
        <f>IF(D2598&lt;C2598,D2598+1-C2598,D2598-C2598)*24</f>
        <v/>
      </c>
      <c r="H2598" s="18">
        <f>MAX(0,G2598-8)</f>
        <v/>
      </c>
    </row>
    <row r="2599">
      <c r="A2599" t="n">
        <v>1137</v>
      </c>
      <c r="B2599" s="14" t="n">
        <v>46273</v>
      </c>
      <c r="C2599" s="17" t="n">
        <v>0.01041666666666667</v>
      </c>
      <c r="D2599" s="17" t="n">
        <v>0.3645833333333333</v>
      </c>
      <c r="E2599" t="inlineStr">
        <is>
          <t>Night</t>
        </is>
      </c>
      <c r="F2599" t="inlineStr">
        <is>
          <t>Sep</t>
        </is>
      </c>
      <c r="G2599" s="18">
        <f>IF(D2599&lt;C2599,D2599+1-C2599,D2599-C2599)*24</f>
        <v/>
      </c>
      <c r="H2599" s="18">
        <f>MAX(0,G2599-8)</f>
        <v/>
      </c>
    </row>
    <row r="2600">
      <c r="A2600" t="n">
        <v>1201</v>
      </c>
      <c r="B2600" s="14" t="n">
        <v>46273</v>
      </c>
      <c r="C2600" s="17" t="n">
        <v>0.25</v>
      </c>
      <c r="D2600" s="17" t="n">
        <v>0.5833333333333334</v>
      </c>
      <c r="E2600" t="inlineStr">
        <is>
          <t>Day</t>
        </is>
      </c>
      <c r="F2600" t="inlineStr">
        <is>
          <t>Sep</t>
        </is>
      </c>
      <c r="G2600" s="18">
        <f>IF(D2600&lt;C2600,D2600+1-C2600,D2600-C2600)*24</f>
        <v/>
      </c>
      <c r="H2600" s="18">
        <f>MAX(0,G2600-8)</f>
        <v/>
      </c>
    </row>
    <row r="2601">
      <c r="A2601" t="n">
        <v>1202</v>
      </c>
      <c r="B2601" s="14" t="n">
        <v>46273</v>
      </c>
      <c r="C2601" s="17" t="n">
        <v>0.25</v>
      </c>
      <c r="D2601" s="17" t="n">
        <v>0.6666666666666666</v>
      </c>
      <c r="E2601" t="inlineStr">
        <is>
          <t>Day</t>
        </is>
      </c>
      <c r="F2601" t="inlineStr">
        <is>
          <t>Sep</t>
        </is>
      </c>
      <c r="G2601" s="18">
        <f>IF(D2601&lt;C2601,D2601+1-C2601,D2601-C2601)*24</f>
        <v/>
      </c>
      <c r="H2601" s="18">
        <f>MAX(0,G2601-8)</f>
        <v/>
      </c>
    </row>
    <row r="2602">
      <c r="A2602" t="n">
        <v>1203</v>
      </c>
      <c r="B2602" s="14" t="n">
        <v>46273</v>
      </c>
      <c r="C2602" s="17" t="n">
        <v>0.25</v>
      </c>
      <c r="D2602" s="17" t="n">
        <v>0.6666666666666666</v>
      </c>
      <c r="E2602" t="inlineStr">
        <is>
          <t>Day</t>
        </is>
      </c>
      <c r="F2602" t="inlineStr">
        <is>
          <t>Sep</t>
        </is>
      </c>
      <c r="G2602" s="18">
        <f>IF(D2602&lt;C2602,D2602+1-C2602,D2602-C2602)*24</f>
        <v/>
      </c>
      <c r="H2602" s="18">
        <f>MAX(0,G2602-8)</f>
        <v/>
      </c>
    </row>
    <row r="2603">
      <c r="A2603" t="n">
        <v>1204</v>
      </c>
      <c r="B2603" s="14" t="n">
        <v>46273</v>
      </c>
      <c r="C2603" s="17" t="n">
        <v>0.2708333333333333</v>
      </c>
      <c r="D2603" s="17" t="n">
        <v>0.6041666666666666</v>
      </c>
      <c r="E2603" t="inlineStr">
        <is>
          <t>Day</t>
        </is>
      </c>
      <c r="F2603" t="inlineStr">
        <is>
          <t>Sep</t>
        </is>
      </c>
      <c r="G2603" s="18">
        <f>IF(D2603&lt;C2603,D2603+1-C2603,D2603-C2603)*24</f>
        <v/>
      </c>
      <c r="H2603" s="18">
        <f>MAX(0,G2603-8)</f>
        <v/>
      </c>
    </row>
    <row r="2604">
      <c r="A2604" t="n">
        <v>1205</v>
      </c>
      <c r="B2604" s="14" t="n">
        <v>46273</v>
      </c>
      <c r="C2604" s="17" t="n">
        <v>0.25</v>
      </c>
      <c r="D2604" s="17" t="n">
        <v>0.6666666666666666</v>
      </c>
      <c r="E2604" t="inlineStr">
        <is>
          <t>Day</t>
        </is>
      </c>
      <c r="F2604" t="inlineStr">
        <is>
          <t>Sep</t>
        </is>
      </c>
      <c r="G2604" s="18">
        <f>IF(D2604&lt;C2604,D2604+1-C2604,D2604-C2604)*24</f>
        <v/>
      </c>
      <c r="H2604" s="18">
        <f>MAX(0,G2604-8)</f>
        <v/>
      </c>
    </row>
    <row r="2605">
      <c r="A2605" t="n">
        <v>1206</v>
      </c>
      <c r="B2605" s="14" t="n">
        <v>46273</v>
      </c>
      <c r="C2605" s="17" t="n">
        <v>0.25</v>
      </c>
      <c r="D2605" s="17" t="n">
        <v>0.6666666666666666</v>
      </c>
      <c r="E2605" t="inlineStr">
        <is>
          <t>Day</t>
        </is>
      </c>
      <c r="F2605" t="inlineStr">
        <is>
          <t>Sep</t>
        </is>
      </c>
      <c r="G2605" s="18">
        <f>IF(D2605&lt;C2605,D2605+1-C2605,D2605-C2605)*24</f>
        <v/>
      </c>
      <c r="H2605" s="18">
        <f>MAX(0,G2605-8)</f>
        <v/>
      </c>
    </row>
    <row r="2606">
      <c r="A2606" t="n">
        <v>1207</v>
      </c>
      <c r="B2606" s="14" t="n">
        <v>46273</v>
      </c>
      <c r="C2606" s="17" t="n">
        <v>0.25</v>
      </c>
      <c r="D2606" s="17" t="n">
        <v>0.6041666666666666</v>
      </c>
      <c r="E2606" t="inlineStr">
        <is>
          <t>Day</t>
        </is>
      </c>
      <c r="F2606" t="inlineStr">
        <is>
          <t>Sep</t>
        </is>
      </c>
      <c r="G2606" s="18">
        <f>IF(D2606&lt;C2606,D2606+1-C2606,D2606-C2606)*24</f>
        <v/>
      </c>
      <c r="H2606" s="18">
        <f>MAX(0,G2606-8)</f>
        <v/>
      </c>
    </row>
    <row r="2607">
      <c r="A2607" t="n">
        <v>1208</v>
      </c>
      <c r="B2607" s="14" t="n">
        <v>46273</v>
      </c>
      <c r="C2607" s="17" t="n">
        <v>0.2708333333333333</v>
      </c>
      <c r="D2607" s="17" t="n">
        <v>0.6875</v>
      </c>
      <c r="E2607" t="inlineStr">
        <is>
          <t>Day</t>
        </is>
      </c>
      <c r="F2607" t="inlineStr">
        <is>
          <t>Sep</t>
        </is>
      </c>
      <c r="G2607" s="18">
        <f>IF(D2607&lt;C2607,D2607+1-C2607,D2607-C2607)*24</f>
        <v/>
      </c>
      <c r="H2607" s="18">
        <f>MAX(0,G2607-8)</f>
        <v/>
      </c>
    </row>
    <row r="2608">
      <c r="A2608" t="n">
        <v>1209</v>
      </c>
      <c r="B2608" s="14" t="n">
        <v>46273</v>
      </c>
      <c r="C2608" s="17" t="n">
        <v>0.2708333333333333</v>
      </c>
      <c r="D2608" s="17" t="n">
        <v>0.6875</v>
      </c>
      <c r="E2608" t="inlineStr">
        <is>
          <t>Day</t>
        </is>
      </c>
      <c r="F2608" t="inlineStr">
        <is>
          <t>Sep</t>
        </is>
      </c>
      <c r="G2608" s="18">
        <f>IF(D2608&lt;C2608,D2608+1-C2608,D2608-C2608)*24</f>
        <v/>
      </c>
      <c r="H2608" s="18">
        <f>MAX(0,G2608-8)</f>
        <v/>
      </c>
    </row>
    <row r="2609">
      <c r="A2609" t="n">
        <v>1211</v>
      </c>
      <c r="B2609" s="14" t="n">
        <v>46273</v>
      </c>
      <c r="C2609" s="17" t="n">
        <v>0.25</v>
      </c>
      <c r="D2609" s="17" t="n">
        <v>0.6666666666666666</v>
      </c>
      <c r="E2609" t="inlineStr">
        <is>
          <t>Day</t>
        </is>
      </c>
      <c r="F2609" t="inlineStr">
        <is>
          <t>Sep</t>
        </is>
      </c>
      <c r="G2609" s="18">
        <f>IF(D2609&lt;C2609,D2609+1-C2609,D2609-C2609)*24</f>
        <v/>
      </c>
      <c r="H2609" s="18">
        <f>MAX(0,G2609-8)</f>
        <v/>
      </c>
    </row>
    <row r="2610">
      <c r="A2610" t="n">
        <v>1212</v>
      </c>
      <c r="B2610" s="14" t="n">
        <v>46273</v>
      </c>
      <c r="C2610" s="17" t="n">
        <v>0.2708333333333333</v>
      </c>
      <c r="D2610" s="17" t="n">
        <v>0.6041666666666666</v>
      </c>
      <c r="E2610" t="inlineStr">
        <is>
          <t>Day</t>
        </is>
      </c>
      <c r="F2610" t="inlineStr">
        <is>
          <t>Sep</t>
        </is>
      </c>
      <c r="G2610" s="18">
        <f>IF(D2610&lt;C2610,D2610+1-C2610,D2610-C2610)*24</f>
        <v/>
      </c>
      <c r="H2610" s="18">
        <f>MAX(0,G2610-8)</f>
        <v/>
      </c>
    </row>
    <row r="2611">
      <c r="A2611" t="n">
        <v>1213</v>
      </c>
      <c r="B2611" s="14" t="n">
        <v>46273</v>
      </c>
      <c r="C2611" s="17" t="n">
        <v>0.2708333333333333</v>
      </c>
      <c r="D2611" s="17" t="n">
        <v>0.6041666666666666</v>
      </c>
      <c r="E2611" t="inlineStr">
        <is>
          <t>Day</t>
        </is>
      </c>
      <c r="F2611" t="inlineStr">
        <is>
          <t>Sep</t>
        </is>
      </c>
      <c r="G2611" s="18">
        <f>IF(D2611&lt;C2611,D2611+1-C2611,D2611-C2611)*24</f>
        <v/>
      </c>
      <c r="H2611" s="18">
        <f>MAX(0,G2611-8)</f>
        <v/>
      </c>
    </row>
    <row r="2612">
      <c r="A2612" t="n">
        <v>1214</v>
      </c>
      <c r="B2612" s="14" t="n">
        <v>46273</v>
      </c>
      <c r="C2612" s="17" t="n">
        <v>0.25</v>
      </c>
      <c r="D2612" s="17" t="n">
        <v>0.6041666666666666</v>
      </c>
      <c r="E2612" t="inlineStr">
        <is>
          <t>Day</t>
        </is>
      </c>
      <c r="F2612" t="inlineStr">
        <is>
          <t>Sep</t>
        </is>
      </c>
      <c r="G2612" s="18">
        <f>IF(D2612&lt;C2612,D2612+1-C2612,D2612-C2612)*24</f>
        <v/>
      </c>
      <c r="H2612" s="18">
        <f>MAX(0,G2612-8)</f>
        <v/>
      </c>
    </row>
    <row r="2613">
      <c r="A2613" t="n">
        <v>1215</v>
      </c>
      <c r="B2613" s="14" t="n">
        <v>46273</v>
      </c>
      <c r="C2613" s="17" t="n">
        <v>0.25</v>
      </c>
      <c r="D2613" s="17" t="n">
        <v>0.6041666666666666</v>
      </c>
      <c r="E2613" t="inlineStr">
        <is>
          <t>Day</t>
        </is>
      </c>
      <c r="F2613" t="inlineStr">
        <is>
          <t>Sep</t>
        </is>
      </c>
      <c r="G2613" s="18">
        <f>IF(D2613&lt;C2613,D2613+1-C2613,D2613-C2613)*24</f>
        <v/>
      </c>
      <c r="H2613" s="18">
        <f>MAX(0,G2613-8)</f>
        <v/>
      </c>
    </row>
    <row r="2614">
      <c r="A2614" t="n">
        <v>1216</v>
      </c>
      <c r="B2614" s="14" t="n">
        <v>46273</v>
      </c>
      <c r="C2614" s="17" t="n">
        <v>0.2708333333333333</v>
      </c>
      <c r="D2614" s="17" t="n">
        <v>0.6041666666666666</v>
      </c>
      <c r="E2614" t="inlineStr">
        <is>
          <t>Day</t>
        </is>
      </c>
      <c r="F2614" t="inlineStr">
        <is>
          <t>Sep</t>
        </is>
      </c>
      <c r="G2614" s="18">
        <f>IF(D2614&lt;C2614,D2614+1-C2614,D2614-C2614)*24</f>
        <v/>
      </c>
      <c r="H2614" s="18">
        <f>MAX(0,G2614-8)</f>
        <v/>
      </c>
    </row>
    <row r="2615">
      <c r="A2615" t="n">
        <v>1217</v>
      </c>
      <c r="B2615" s="14" t="n">
        <v>46273</v>
      </c>
      <c r="C2615" s="17" t="n">
        <v>0.25</v>
      </c>
      <c r="D2615" s="17" t="n">
        <v>0.6041666666666666</v>
      </c>
      <c r="E2615" t="inlineStr">
        <is>
          <t>Day</t>
        </is>
      </c>
      <c r="F2615" t="inlineStr">
        <is>
          <t>Sep</t>
        </is>
      </c>
      <c r="G2615" s="18">
        <f>IF(D2615&lt;C2615,D2615+1-C2615,D2615-C2615)*24</f>
        <v/>
      </c>
      <c r="H2615" s="18">
        <f>MAX(0,G2615-8)</f>
        <v/>
      </c>
    </row>
    <row r="2616">
      <c r="A2616" t="n">
        <v>1218</v>
      </c>
      <c r="B2616" s="14" t="n">
        <v>46273</v>
      </c>
      <c r="C2616" s="17" t="n">
        <v>0.25</v>
      </c>
      <c r="D2616" s="17" t="n">
        <v>0.6666666666666666</v>
      </c>
      <c r="E2616" t="inlineStr">
        <is>
          <t>Day</t>
        </is>
      </c>
      <c r="F2616" t="inlineStr">
        <is>
          <t>Sep</t>
        </is>
      </c>
      <c r="G2616" s="18">
        <f>IF(D2616&lt;C2616,D2616+1-C2616,D2616-C2616)*24</f>
        <v/>
      </c>
      <c r="H2616" s="18">
        <f>MAX(0,G2616-8)</f>
        <v/>
      </c>
    </row>
    <row r="2617">
      <c r="A2617" t="n">
        <v>1219</v>
      </c>
      <c r="B2617" s="14" t="n">
        <v>46273</v>
      </c>
      <c r="C2617" s="17" t="n">
        <v>0.2708333333333333</v>
      </c>
      <c r="D2617" s="17" t="n">
        <v>0.6458333333333334</v>
      </c>
      <c r="E2617" t="inlineStr">
        <is>
          <t>Day</t>
        </is>
      </c>
      <c r="F2617" t="inlineStr">
        <is>
          <t>Sep</t>
        </is>
      </c>
      <c r="G2617" s="18">
        <f>IF(D2617&lt;C2617,D2617+1-C2617,D2617-C2617)*24</f>
        <v/>
      </c>
      <c r="H2617" s="18">
        <f>MAX(0,G2617-8)</f>
        <v/>
      </c>
    </row>
    <row r="2618">
      <c r="A2618" t="n">
        <v>1220</v>
      </c>
      <c r="B2618" s="14" t="n">
        <v>46273</v>
      </c>
      <c r="C2618" s="17" t="n">
        <v>0.25</v>
      </c>
      <c r="D2618" s="17" t="n">
        <v>0.625</v>
      </c>
      <c r="E2618" t="inlineStr">
        <is>
          <t>Day</t>
        </is>
      </c>
      <c r="F2618" t="inlineStr">
        <is>
          <t>Sep</t>
        </is>
      </c>
      <c r="G2618" s="18">
        <f>IF(D2618&lt;C2618,D2618+1-C2618,D2618-C2618)*24</f>
        <v/>
      </c>
      <c r="H2618" s="18">
        <f>MAX(0,G2618-8)</f>
        <v/>
      </c>
    </row>
    <row r="2619">
      <c r="A2619" t="n">
        <v>1101</v>
      </c>
      <c r="B2619" s="14" t="n">
        <v>46274</v>
      </c>
      <c r="C2619" s="17" t="n">
        <v>0.9270833333333334</v>
      </c>
      <c r="D2619" s="17" t="n">
        <v>0.3229166666666667</v>
      </c>
      <c r="E2619" t="inlineStr">
        <is>
          <t>Night</t>
        </is>
      </c>
      <c r="F2619" t="inlineStr">
        <is>
          <t>Sep</t>
        </is>
      </c>
      <c r="G2619" s="18">
        <f>IF(D2619&lt;C2619,D2619+1-C2619,D2619-C2619)*24</f>
        <v/>
      </c>
      <c r="H2619" s="18">
        <f>MAX(0,G2619-8)</f>
        <v/>
      </c>
    </row>
    <row r="2620">
      <c r="A2620" t="n">
        <v>1102</v>
      </c>
      <c r="B2620" s="14" t="n">
        <v>46274</v>
      </c>
      <c r="C2620" s="17" t="n">
        <v>0.9166666666666666</v>
      </c>
      <c r="D2620" s="17" t="n">
        <v>0.2916666666666667</v>
      </c>
      <c r="E2620" t="inlineStr">
        <is>
          <t>Night</t>
        </is>
      </c>
      <c r="F2620" t="inlineStr">
        <is>
          <t>Sep</t>
        </is>
      </c>
      <c r="G2620" s="18">
        <f>IF(D2620&lt;C2620,D2620+1-C2620,D2620-C2620)*24</f>
        <v/>
      </c>
      <c r="H2620" s="18">
        <f>MAX(0,G2620-8)</f>
        <v/>
      </c>
    </row>
    <row r="2621">
      <c r="A2621" t="n">
        <v>1103</v>
      </c>
      <c r="B2621" s="14" t="n">
        <v>46274</v>
      </c>
      <c r="C2621" s="17" t="n">
        <v>0.9375</v>
      </c>
      <c r="D2621" s="17" t="n">
        <v>0.3125</v>
      </c>
      <c r="E2621" t="inlineStr">
        <is>
          <t>Night</t>
        </is>
      </c>
      <c r="F2621" t="inlineStr">
        <is>
          <t>Sep</t>
        </is>
      </c>
      <c r="G2621" s="18">
        <f>IF(D2621&lt;C2621,D2621+1-C2621,D2621-C2621)*24</f>
        <v/>
      </c>
      <c r="H2621" s="18">
        <f>MAX(0,G2621-8)</f>
        <v/>
      </c>
    </row>
    <row r="2622">
      <c r="A2622" t="n">
        <v>1104</v>
      </c>
      <c r="B2622" s="14" t="n">
        <v>46274</v>
      </c>
      <c r="C2622" s="17" t="n">
        <v>0.9375</v>
      </c>
      <c r="D2622" s="17" t="n">
        <v>0.2916666666666667</v>
      </c>
      <c r="E2622" t="inlineStr">
        <is>
          <t>Night</t>
        </is>
      </c>
      <c r="F2622" t="inlineStr">
        <is>
          <t>Sep</t>
        </is>
      </c>
      <c r="G2622" s="18">
        <f>IF(D2622&lt;C2622,D2622+1-C2622,D2622-C2622)*24</f>
        <v/>
      </c>
      <c r="H2622" s="18">
        <f>MAX(0,G2622-8)</f>
        <v/>
      </c>
    </row>
    <row r="2623">
      <c r="A2623" t="n">
        <v>1106</v>
      </c>
      <c r="B2623" s="14" t="n">
        <v>46274</v>
      </c>
      <c r="C2623" s="17" t="n">
        <v>0.9270833333333334</v>
      </c>
      <c r="D2623" s="17" t="n">
        <v>0.3020833333333333</v>
      </c>
      <c r="E2623" t="inlineStr">
        <is>
          <t>Night</t>
        </is>
      </c>
      <c r="F2623" t="inlineStr">
        <is>
          <t>Sep</t>
        </is>
      </c>
      <c r="G2623" s="18">
        <f>IF(D2623&lt;C2623,D2623+1-C2623,D2623-C2623)*24</f>
        <v/>
      </c>
      <c r="H2623" s="18">
        <f>MAX(0,G2623-8)</f>
        <v/>
      </c>
    </row>
    <row r="2624">
      <c r="A2624" t="n">
        <v>1107</v>
      </c>
      <c r="B2624" s="14" t="n">
        <v>46274</v>
      </c>
      <c r="C2624" s="17" t="n">
        <v>0.9166666666666666</v>
      </c>
      <c r="D2624" s="17" t="n">
        <v>0.3125</v>
      </c>
      <c r="E2624" t="inlineStr">
        <is>
          <t>Night</t>
        </is>
      </c>
      <c r="F2624" t="inlineStr">
        <is>
          <t>Sep</t>
        </is>
      </c>
      <c r="G2624" s="18">
        <f>IF(D2624&lt;C2624,D2624+1-C2624,D2624-C2624)*24</f>
        <v/>
      </c>
      <c r="H2624" s="18">
        <f>MAX(0,G2624-8)</f>
        <v/>
      </c>
    </row>
    <row r="2625">
      <c r="A2625" t="n">
        <v>1108</v>
      </c>
      <c r="B2625" s="14" t="n">
        <v>46274</v>
      </c>
      <c r="C2625" s="17" t="n">
        <v>0.9375</v>
      </c>
      <c r="D2625" s="17" t="n">
        <v>0.375</v>
      </c>
      <c r="E2625" t="inlineStr">
        <is>
          <t>Night</t>
        </is>
      </c>
      <c r="F2625" t="inlineStr">
        <is>
          <t>Sep</t>
        </is>
      </c>
      <c r="G2625" s="18">
        <f>IF(D2625&lt;C2625,D2625+1-C2625,D2625-C2625)*24</f>
        <v/>
      </c>
      <c r="H2625" s="18">
        <f>MAX(0,G2625-8)</f>
        <v/>
      </c>
    </row>
    <row r="2626">
      <c r="A2626" t="n">
        <v>1110</v>
      </c>
      <c r="B2626" s="14" t="n">
        <v>46274</v>
      </c>
      <c r="C2626" s="17" t="n">
        <v>0.9166666666666666</v>
      </c>
      <c r="D2626" s="17" t="n">
        <v>0.25</v>
      </c>
      <c r="E2626" t="inlineStr">
        <is>
          <t>Night</t>
        </is>
      </c>
      <c r="F2626" t="inlineStr">
        <is>
          <t>Sep</t>
        </is>
      </c>
      <c r="G2626" s="18">
        <f>IF(D2626&lt;C2626,D2626+1-C2626,D2626-C2626)*24</f>
        <v/>
      </c>
      <c r="H2626" s="18">
        <f>MAX(0,G2626-8)</f>
        <v/>
      </c>
    </row>
    <row r="2627">
      <c r="A2627" t="n">
        <v>1111</v>
      </c>
      <c r="B2627" s="14" t="n">
        <v>46274</v>
      </c>
      <c r="C2627" s="17" t="n">
        <v>0.9166666666666666</v>
      </c>
      <c r="D2627" s="17" t="n">
        <v>0.375</v>
      </c>
      <c r="E2627" t="inlineStr">
        <is>
          <t>Night</t>
        </is>
      </c>
      <c r="F2627" t="inlineStr">
        <is>
          <t>Sep</t>
        </is>
      </c>
      <c r="G2627" s="18">
        <f>IF(D2627&lt;C2627,D2627+1-C2627,D2627-C2627)*24</f>
        <v/>
      </c>
      <c r="H2627" s="18">
        <f>MAX(0,G2627-8)</f>
        <v/>
      </c>
    </row>
    <row r="2628">
      <c r="A2628" t="n">
        <v>1112</v>
      </c>
      <c r="B2628" s="14" t="n">
        <v>46274</v>
      </c>
      <c r="C2628" s="17" t="n">
        <v>0.9166666666666666</v>
      </c>
      <c r="D2628" s="17" t="n">
        <v>0.375</v>
      </c>
      <c r="E2628" t="inlineStr">
        <is>
          <t>Night</t>
        </is>
      </c>
      <c r="F2628" t="inlineStr">
        <is>
          <t>Sep</t>
        </is>
      </c>
      <c r="G2628" s="18">
        <f>IF(D2628&lt;C2628,D2628+1-C2628,D2628-C2628)*24</f>
        <v/>
      </c>
      <c r="H2628" s="18">
        <f>MAX(0,G2628-8)</f>
        <v/>
      </c>
    </row>
    <row r="2629">
      <c r="A2629" t="n">
        <v>1113</v>
      </c>
      <c r="B2629" s="14" t="n">
        <v>46274</v>
      </c>
      <c r="C2629" s="17" t="n">
        <v>0.9166666666666666</v>
      </c>
      <c r="D2629" s="17" t="n">
        <v>0.3958333333333333</v>
      </c>
      <c r="E2629" t="inlineStr">
        <is>
          <t>Night</t>
        </is>
      </c>
      <c r="F2629" t="inlineStr">
        <is>
          <t>Sep</t>
        </is>
      </c>
      <c r="G2629" s="18">
        <f>IF(D2629&lt;C2629,D2629+1-C2629,D2629-C2629)*24</f>
        <v/>
      </c>
      <c r="H2629" s="18">
        <f>MAX(0,G2629-8)</f>
        <v/>
      </c>
    </row>
    <row r="2630">
      <c r="A2630" t="n">
        <v>1114</v>
      </c>
      <c r="B2630" s="14" t="n">
        <v>46274</v>
      </c>
      <c r="C2630" s="17" t="n">
        <v>0.9166666666666666</v>
      </c>
      <c r="D2630" s="17" t="n">
        <v>0.3541666666666667</v>
      </c>
      <c r="E2630" t="inlineStr">
        <is>
          <t>Night</t>
        </is>
      </c>
      <c r="F2630" t="inlineStr">
        <is>
          <t>Sep</t>
        </is>
      </c>
      <c r="G2630" s="18">
        <f>IF(D2630&lt;C2630,D2630+1-C2630,D2630-C2630)*24</f>
        <v/>
      </c>
      <c r="H2630" s="18">
        <f>MAX(0,G2630-8)</f>
        <v/>
      </c>
    </row>
    <row r="2631">
      <c r="A2631" t="n">
        <v>1115</v>
      </c>
      <c r="B2631" s="14" t="n">
        <v>46274</v>
      </c>
      <c r="C2631" s="17" t="n">
        <v>0.9166666666666666</v>
      </c>
      <c r="D2631" s="17" t="n">
        <v>0.3958333333333333</v>
      </c>
      <c r="E2631" t="inlineStr">
        <is>
          <t>Night</t>
        </is>
      </c>
      <c r="F2631" t="inlineStr">
        <is>
          <t>Sep</t>
        </is>
      </c>
      <c r="G2631" s="18">
        <f>IF(D2631&lt;C2631,D2631+1-C2631,D2631-C2631)*24</f>
        <v/>
      </c>
      <c r="H2631" s="18">
        <f>MAX(0,G2631-8)</f>
        <v/>
      </c>
    </row>
    <row r="2632">
      <c r="A2632" t="n">
        <v>1116</v>
      </c>
      <c r="B2632" s="14" t="n">
        <v>46274</v>
      </c>
      <c r="C2632" s="17" t="n">
        <v>0.9166666666666666</v>
      </c>
      <c r="D2632" s="17" t="n">
        <v>0.25</v>
      </c>
      <c r="E2632" t="inlineStr">
        <is>
          <t>Night</t>
        </is>
      </c>
      <c r="F2632" t="inlineStr">
        <is>
          <t>Sep</t>
        </is>
      </c>
      <c r="G2632" s="18">
        <f>IF(D2632&lt;C2632,D2632+1-C2632,D2632-C2632)*24</f>
        <v/>
      </c>
      <c r="H2632" s="18">
        <f>MAX(0,G2632-8)</f>
        <v/>
      </c>
    </row>
    <row r="2633">
      <c r="A2633" t="n">
        <v>1117</v>
      </c>
      <c r="B2633" s="14" t="n">
        <v>46274</v>
      </c>
      <c r="C2633" s="17" t="n">
        <v>0.9166666666666666</v>
      </c>
      <c r="D2633" s="17" t="n">
        <v>0.25</v>
      </c>
      <c r="E2633" t="inlineStr">
        <is>
          <t>Night</t>
        </is>
      </c>
      <c r="F2633" t="inlineStr">
        <is>
          <t>Sep</t>
        </is>
      </c>
      <c r="G2633" s="18">
        <f>IF(D2633&lt;C2633,D2633+1-C2633,D2633-C2633)*24</f>
        <v/>
      </c>
      <c r="H2633" s="18">
        <f>MAX(0,G2633-8)</f>
        <v/>
      </c>
    </row>
    <row r="2634">
      <c r="A2634" t="n">
        <v>1118</v>
      </c>
      <c r="B2634" s="14" t="n">
        <v>46274</v>
      </c>
      <c r="C2634" s="17" t="n">
        <v>0.9375</v>
      </c>
      <c r="D2634" s="17" t="n">
        <v>0.2708333333333333</v>
      </c>
      <c r="E2634" t="inlineStr">
        <is>
          <t>Night</t>
        </is>
      </c>
      <c r="F2634" t="inlineStr">
        <is>
          <t>Sep</t>
        </is>
      </c>
      <c r="G2634" s="18">
        <f>IF(D2634&lt;C2634,D2634+1-C2634,D2634-C2634)*24</f>
        <v/>
      </c>
      <c r="H2634" s="18">
        <f>MAX(0,G2634-8)</f>
        <v/>
      </c>
    </row>
    <row r="2635">
      <c r="A2635" t="n">
        <v>1119</v>
      </c>
      <c r="B2635" s="14" t="n">
        <v>46274</v>
      </c>
      <c r="C2635" s="17" t="n">
        <v>0.9375</v>
      </c>
      <c r="D2635" s="17" t="n">
        <v>0.3125</v>
      </c>
      <c r="E2635" t="inlineStr">
        <is>
          <t>Night</t>
        </is>
      </c>
      <c r="F2635" t="inlineStr">
        <is>
          <t>Sep</t>
        </is>
      </c>
      <c r="G2635" s="18">
        <f>IF(D2635&lt;C2635,D2635+1-C2635,D2635-C2635)*24</f>
        <v/>
      </c>
      <c r="H2635" s="18">
        <f>MAX(0,G2635-8)</f>
        <v/>
      </c>
    </row>
    <row r="2636">
      <c r="A2636" t="n">
        <v>1120</v>
      </c>
      <c r="B2636" s="14" t="n">
        <v>46274</v>
      </c>
      <c r="C2636" s="17" t="n">
        <v>0.9166666666666666</v>
      </c>
      <c r="D2636" s="17" t="n">
        <v>0.375</v>
      </c>
      <c r="E2636" t="inlineStr">
        <is>
          <t>Night</t>
        </is>
      </c>
      <c r="F2636" t="inlineStr">
        <is>
          <t>Sep</t>
        </is>
      </c>
      <c r="G2636" s="18">
        <f>IF(D2636&lt;C2636,D2636+1-C2636,D2636-C2636)*24</f>
        <v/>
      </c>
      <c r="H2636" s="18">
        <f>MAX(0,G2636-8)</f>
        <v/>
      </c>
    </row>
    <row r="2637">
      <c r="A2637" t="n">
        <v>1121</v>
      </c>
      <c r="B2637" s="14" t="n">
        <v>46274</v>
      </c>
      <c r="C2637" s="17" t="n">
        <v>0.9270833333333334</v>
      </c>
      <c r="D2637" s="17" t="n">
        <v>0.3229166666666667</v>
      </c>
      <c r="E2637" t="inlineStr">
        <is>
          <t>Night</t>
        </is>
      </c>
      <c r="F2637" t="inlineStr">
        <is>
          <t>Sep</t>
        </is>
      </c>
      <c r="G2637" s="18">
        <f>IF(D2637&lt;C2637,D2637+1-C2637,D2637-C2637)*24</f>
        <v/>
      </c>
      <c r="H2637" s="18">
        <f>MAX(0,G2637-8)</f>
        <v/>
      </c>
    </row>
    <row r="2638">
      <c r="A2638" t="n">
        <v>1122</v>
      </c>
      <c r="B2638" s="14" t="n">
        <v>46274</v>
      </c>
      <c r="C2638" s="17" t="n">
        <v>0.9375</v>
      </c>
      <c r="D2638" s="17" t="n">
        <v>0.375</v>
      </c>
      <c r="E2638" t="inlineStr">
        <is>
          <t>Night</t>
        </is>
      </c>
      <c r="F2638" t="inlineStr">
        <is>
          <t>Sep</t>
        </is>
      </c>
      <c r="G2638" s="18">
        <f>IF(D2638&lt;C2638,D2638+1-C2638,D2638-C2638)*24</f>
        <v/>
      </c>
      <c r="H2638" s="18">
        <f>MAX(0,G2638-8)</f>
        <v/>
      </c>
    </row>
    <row r="2639">
      <c r="A2639" t="n">
        <v>1123</v>
      </c>
      <c r="B2639" s="14" t="n">
        <v>46274</v>
      </c>
      <c r="C2639" s="17" t="n">
        <v>0.9166666666666666</v>
      </c>
      <c r="D2639" s="17" t="n">
        <v>0.3541666666666667</v>
      </c>
      <c r="E2639" t="inlineStr">
        <is>
          <t>Night</t>
        </is>
      </c>
      <c r="F2639" t="inlineStr">
        <is>
          <t>Sep</t>
        </is>
      </c>
      <c r="G2639" s="18">
        <f>IF(D2639&lt;C2639,D2639+1-C2639,D2639-C2639)*24</f>
        <v/>
      </c>
      <c r="H2639" s="18">
        <f>MAX(0,G2639-8)</f>
        <v/>
      </c>
    </row>
    <row r="2640">
      <c r="A2640" t="n">
        <v>1124</v>
      </c>
      <c r="B2640" s="14" t="n">
        <v>46274</v>
      </c>
      <c r="C2640" s="17" t="n">
        <v>0.9166666666666666</v>
      </c>
      <c r="D2640" s="17" t="n">
        <v>0.375</v>
      </c>
      <c r="E2640" t="inlineStr">
        <is>
          <t>Night</t>
        </is>
      </c>
      <c r="F2640" t="inlineStr">
        <is>
          <t>Sep</t>
        </is>
      </c>
      <c r="G2640" s="18">
        <f>IF(D2640&lt;C2640,D2640+1-C2640,D2640-C2640)*24</f>
        <v/>
      </c>
      <c r="H2640" s="18">
        <f>MAX(0,G2640-8)</f>
        <v/>
      </c>
    </row>
    <row r="2641">
      <c r="A2641" t="n">
        <v>1125</v>
      </c>
      <c r="B2641" s="14" t="n">
        <v>46274</v>
      </c>
      <c r="C2641" s="17" t="n">
        <v>0.9166666666666666</v>
      </c>
      <c r="D2641" s="17" t="n">
        <v>0.2916666666666667</v>
      </c>
      <c r="E2641" t="inlineStr">
        <is>
          <t>Night</t>
        </is>
      </c>
      <c r="F2641" t="inlineStr">
        <is>
          <t>Sep</t>
        </is>
      </c>
      <c r="G2641" s="18">
        <f>IF(D2641&lt;C2641,D2641+1-C2641,D2641-C2641)*24</f>
        <v/>
      </c>
      <c r="H2641" s="18">
        <f>MAX(0,G2641-8)</f>
        <v/>
      </c>
    </row>
    <row r="2642">
      <c r="A2642" t="n">
        <v>1126</v>
      </c>
      <c r="B2642" s="14" t="n">
        <v>46274</v>
      </c>
      <c r="C2642" s="17" t="n">
        <v>0.9166666666666666</v>
      </c>
      <c r="D2642" s="17" t="n">
        <v>0.25</v>
      </c>
      <c r="E2642" t="inlineStr">
        <is>
          <t>Night</t>
        </is>
      </c>
      <c r="F2642" t="inlineStr">
        <is>
          <t>Sep</t>
        </is>
      </c>
      <c r="G2642" s="18">
        <f>IF(D2642&lt;C2642,D2642+1-C2642,D2642-C2642)*24</f>
        <v/>
      </c>
      <c r="H2642" s="18">
        <f>MAX(0,G2642-8)</f>
        <v/>
      </c>
    </row>
    <row r="2643">
      <c r="A2643" t="n">
        <v>1128</v>
      </c>
      <c r="B2643" s="14" t="n">
        <v>46274</v>
      </c>
      <c r="C2643" s="17" t="n">
        <v>0.9166666666666666</v>
      </c>
      <c r="D2643" s="17" t="n">
        <v>0.3958333333333333</v>
      </c>
      <c r="E2643" t="inlineStr">
        <is>
          <t>Night</t>
        </is>
      </c>
      <c r="F2643" t="inlineStr">
        <is>
          <t>Sep</t>
        </is>
      </c>
      <c r="G2643" s="18">
        <f>IF(D2643&lt;C2643,D2643+1-C2643,D2643-C2643)*24</f>
        <v/>
      </c>
      <c r="H2643" s="18">
        <f>MAX(0,G2643-8)</f>
        <v/>
      </c>
    </row>
    <row r="2644">
      <c r="A2644" t="n">
        <v>1129</v>
      </c>
      <c r="B2644" s="14" t="n">
        <v>46274</v>
      </c>
      <c r="C2644" s="17" t="n">
        <v>0.9166666666666666</v>
      </c>
      <c r="D2644" s="17" t="n">
        <v>0.375</v>
      </c>
      <c r="E2644" t="inlineStr">
        <is>
          <t>Night</t>
        </is>
      </c>
      <c r="F2644" t="inlineStr">
        <is>
          <t>Sep</t>
        </is>
      </c>
      <c r="G2644" s="18">
        <f>IF(D2644&lt;C2644,D2644+1-C2644,D2644-C2644)*24</f>
        <v/>
      </c>
      <c r="H2644" s="18">
        <f>MAX(0,G2644-8)</f>
        <v/>
      </c>
    </row>
    <row r="2645">
      <c r="A2645" t="n">
        <v>1130</v>
      </c>
      <c r="B2645" s="14" t="n">
        <v>46274</v>
      </c>
      <c r="C2645" s="17" t="n">
        <v>0.9270833333333334</v>
      </c>
      <c r="D2645" s="17" t="n">
        <v>0.28125</v>
      </c>
      <c r="E2645" t="inlineStr">
        <is>
          <t>Night</t>
        </is>
      </c>
      <c r="F2645" t="inlineStr">
        <is>
          <t>Sep</t>
        </is>
      </c>
      <c r="G2645" s="18">
        <f>IF(D2645&lt;C2645,D2645+1-C2645,D2645-C2645)*24</f>
        <v/>
      </c>
      <c r="H2645" s="18">
        <f>MAX(0,G2645-8)</f>
        <v/>
      </c>
    </row>
    <row r="2646">
      <c r="A2646" t="n">
        <v>1131</v>
      </c>
      <c r="B2646" s="14" t="n">
        <v>46274</v>
      </c>
      <c r="C2646" s="17" t="n">
        <v>0.9166666666666666</v>
      </c>
      <c r="D2646" s="17" t="n">
        <v>0.2708333333333333</v>
      </c>
      <c r="E2646" t="inlineStr">
        <is>
          <t>Night</t>
        </is>
      </c>
      <c r="F2646" t="inlineStr">
        <is>
          <t>Sep</t>
        </is>
      </c>
      <c r="G2646" s="18">
        <f>IF(D2646&lt;C2646,D2646+1-C2646,D2646-C2646)*24</f>
        <v/>
      </c>
      <c r="H2646" s="18">
        <f>MAX(0,G2646-8)</f>
        <v/>
      </c>
    </row>
    <row r="2647">
      <c r="A2647" t="n">
        <v>1133</v>
      </c>
      <c r="B2647" s="14" t="n">
        <v>46274</v>
      </c>
      <c r="C2647" s="17" t="n">
        <v>0.9166666666666666</v>
      </c>
      <c r="D2647" s="17" t="n">
        <v>0.3333333333333333</v>
      </c>
      <c r="E2647" t="inlineStr">
        <is>
          <t>Night</t>
        </is>
      </c>
      <c r="F2647" t="inlineStr">
        <is>
          <t>Sep</t>
        </is>
      </c>
      <c r="G2647" s="18">
        <f>IF(D2647&lt;C2647,D2647+1-C2647,D2647-C2647)*24</f>
        <v/>
      </c>
      <c r="H2647" s="18">
        <f>MAX(0,G2647-8)</f>
        <v/>
      </c>
    </row>
    <row r="2648">
      <c r="A2648" t="n">
        <v>1134</v>
      </c>
      <c r="B2648" s="14" t="n">
        <v>46274</v>
      </c>
      <c r="C2648" s="17" t="n">
        <v>0.9166666666666666</v>
      </c>
      <c r="D2648" s="17" t="n">
        <v>0.2708333333333333</v>
      </c>
      <c r="E2648" t="inlineStr">
        <is>
          <t>Night</t>
        </is>
      </c>
      <c r="F2648" t="inlineStr">
        <is>
          <t>Sep</t>
        </is>
      </c>
      <c r="G2648" s="18">
        <f>IF(D2648&lt;C2648,D2648+1-C2648,D2648-C2648)*24</f>
        <v/>
      </c>
      <c r="H2648" s="18">
        <f>MAX(0,G2648-8)</f>
        <v/>
      </c>
    </row>
    <row r="2649">
      <c r="A2649" t="n">
        <v>1135</v>
      </c>
      <c r="B2649" s="14" t="n">
        <v>46274</v>
      </c>
      <c r="C2649" s="17" t="n">
        <v>0.9166666666666666</v>
      </c>
      <c r="D2649" s="17" t="n">
        <v>0.3958333333333333</v>
      </c>
      <c r="E2649" t="inlineStr">
        <is>
          <t>Night</t>
        </is>
      </c>
      <c r="F2649" t="inlineStr">
        <is>
          <t>Sep</t>
        </is>
      </c>
      <c r="G2649" s="18">
        <f>IF(D2649&lt;C2649,D2649+1-C2649,D2649-C2649)*24</f>
        <v/>
      </c>
      <c r="H2649" s="18">
        <f>MAX(0,G2649-8)</f>
        <v/>
      </c>
    </row>
    <row r="2650">
      <c r="A2650" t="n">
        <v>1136</v>
      </c>
      <c r="B2650" s="14" t="n">
        <v>46274</v>
      </c>
      <c r="C2650" s="17" t="n">
        <v>0.9166666666666666</v>
      </c>
      <c r="D2650" s="17" t="n">
        <v>0.2708333333333333</v>
      </c>
      <c r="E2650" t="inlineStr">
        <is>
          <t>Night</t>
        </is>
      </c>
      <c r="F2650" t="inlineStr">
        <is>
          <t>Sep</t>
        </is>
      </c>
      <c r="G2650" s="18">
        <f>IF(D2650&lt;C2650,D2650+1-C2650,D2650-C2650)*24</f>
        <v/>
      </c>
      <c r="H2650" s="18">
        <f>MAX(0,G2650-8)</f>
        <v/>
      </c>
    </row>
    <row r="2651">
      <c r="A2651" t="n">
        <v>1127</v>
      </c>
      <c r="B2651" s="14" t="n">
        <v>46274</v>
      </c>
      <c r="C2651" s="17" t="n">
        <v>0.02083333333333333</v>
      </c>
      <c r="D2651" s="17" t="n">
        <v>0.375</v>
      </c>
      <c r="E2651" t="inlineStr">
        <is>
          <t>Night</t>
        </is>
      </c>
      <c r="F2651" t="inlineStr">
        <is>
          <t>Sep</t>
        </is>
      </c>
      <c r="G2651" s="18">
        <f>IF(D2651&lt;C2651,D2651+1-C2651,D2651-C2651)*24</f>
        <v/>
      </c>
      <c r="H2651" s="18">
        <f>MAX(0,G2651-8)</f>
        <v/>
      </c>
    </row>
    <row r="2652">
      <c r="A2652" t="n">
        <v>1132</v>
      </c>
      <c r="B2652" s="14" t="n">
        <v>46274</v>
      </c>
      <c r="C2652" s="17" t="n">
        <v>0.02083333333333333</v>
      </c>
      <c r="D2652" s="17" t="n">
        <v>0.3541666666666667</v>
      </c>
      <c r="E2652" t="inlineStr">
        <is>
          <t>Night</t>
        </is>
      </c>
      <c r="F2652" t="inlineStr">
        <is>
          <t>Sep</t>
        </is>
      </c>
      <c r="G2652" s="18">
        <f>IF(D2652&lt;C2652,D2652+1-C2652,D2652-C2652)*24</f>
        <v/>
      </c>
      <c r="H2652" s="18">
        <f>MAX(0,G2652-8)</f>
        <v/>
      </c>
    </row>
    <row r="2653">
      <c r="A2653" t="n">
        <v>1147</v>
      </c>
      <c r="B2653" s="14" t="n">
        <v>46274</v>
      </c>
      <c r="C2653" s="17" t="n">
        <v>0.02083333333333333</v>
      </c>
      <c r="D2653" s="17" t="n">
        <v>0.3541666666666667</v>
      </c>
      <c r="E2653" t="inlineStr">
        <is>
          <t>Night</t>
        </is>
      </c>
      <c r="F2653" t="inlineStr">
        <is>
          <t>Sep</t>
        </is>
      </c>
      <c r="G2653" s="18">
        <f>IF(D2653&lt;C2653,D2653+1-C2653,D2653-C2653)*24</f>
        <v/>
      </c>
      <c r="H2653" s="18">
        <f>MAX(0,G2653-8)</f>
        <v/>
      </c>
    </row>
    <row r="2654">
      <c r="A2654" t="n">
        <v>1201</v>
      </c>
      <c r="B2654" s="14" t="n">
        <v>46274</v>
      </c>
      <c r="C2654" s="17" t="n">
        <v>0.2708333333333333</v>
      </c>
      <c r="D2654" s="17" t="n">
        <v>0.6041666666666666</v>
      </c>
      <c r="E2654" t="inlineStr">
        <is>
          <t>Day</t>
        </is>
      </c>
      <c r="F2654" t="inlineStr">
        <is>
          <t>Sep</t>
        </is>
      </c>
      <c r="G2654" s="18">
        <f>IF(D2654&lt;C2654,D2654+1-C2654,D2654-C2654)*24</f>
        <v/>
      </c>
      <c r="H2654" s="18">
        <f>MAX(0,G2654-8)</f>
        <v/>
      </c>
    </row>
    <row r="2655">
      <c r="A2655" t="n">
        <v>1202</v>
      </c>
      <c r="B2655" s="14" t="n">
        <v>46274</v>
      </c>
      <c r="C2655" s="17" t="n">
        <v>0.2708333333333333</v>
      </c>
      <c r="D2655" s="17" t="n">
        <v>0.625</v>
      </c>
      <c r="E2655" t="inlineStr">
        <is>
          <t>Day</t>
        </is>
      </c>
      <c r="F2655" t="inlineStr">
        <is>
          <t>Sep</t>
        </is>
      </c>
      <c r="G2655" s="18">
        <f>IF(D2655&lt;C2655,D2655+1-C2655,D2655-C2655)*24</f>
        <v/>
      </c>
      <c r="H2655" s="18">
        <f>MAX(0,G2655-8)</f>
        <v/>
      </c>
    </row>
    <row r="2656">
      <c r="A2656" t="n">
        <v>1203</v>
      </c>
      <c r="B2656" s="14" t="n">
        <v>46274</v>
      </c>
      <c r="C2656" s="17" t="n">
        <v>0.2708333333333333</v>
      </c>
      <c r="D2656" s="17" t="n">
        <v>0.6458333333333334</v>
      </c>
      <c r="E2656" t="inlineStr">
        <is>
          <t>Day</t>
        </is>
      </c>
      <c r="F2656" t="inlineStr">
        <is>
          <t>Sep</t>
        </is>
      </c>
      <c r="G2656" s="18">
        <f>IF(D2656&lt;C2656,D2656+1-C2656,D2656-C2656)*24</f>
        <v/>
      </c>
      <c r="H2656" s="18">
        <f>MAX(0,G2656-8)</f>
        <v/>
      </c>
    </row>
    <row r="2657">
      <c r="A2657" t="n">
        <v>1204</v>
      </c>
      <c r="B2657" s="14" t="n">
        <v>46274</v>
      </c>
      <c r="C2657" s="17" t="n">
        <v>0.25</v>
      </c>
      <c r="D2657" s="17" t="n">
        <v>0.5833333333333334</v>
      </c>
      <c r="E2657" t="inlineStr">
        <is>
          <t>Day</t>
        </is>
      </c>
      <c r="F2657" t="inlineStr">
        <is>
          <t>Sep</t>
        </is>
      </c>
      <c r="G2657" s="18">
        <f>IF(D2657&lt;C2657,D2657+1-C2657,D2657-C2657)*24</f>
        <v/>
      </c>
      <c r="H2657" s="18">
        <f>MAX(0,G2657-8)</f>
        <v/>
      </c>
    </row>
    <row r="2658">
      <c r="A2658" t="n">
        <v>1205</v>
      </c>
      <c r="B2658" s="14" t="n">
        <v>46274</v>
      </c>
      <c r="C2658" s="17" t="n">
        <v>0.25</v>
      </c>
      <c r="D2658" s="17" t="n">
        <v>0.5833333333333334</v>
      </c>
      <c r="E2658" t="inlineStr">
        <is>
          <t>Day</t>
        </is>
      </c>
      <c r="F2658" t="inlineStr">
        <is>
          <t>Sep</t>
        </is>
      </c>
      <c r="G2658" s="18">
        <f>IF(D2658&lt;C2658,D2658+1-C2658,D2658-C2658)*24</f>
        <v/>
      </c>
      <c r="H2658" s="18">
        <f>MAX(0,G2658-8)</f>
        <v/>
      </c>
    </row>
    <row r="2659">
      <c r="A2659" t="n">
        <v>1206</v>
      </c>
      <c r="B2659" s="14" t="n">
        <v>46274</v>
      </c>
      <c r="C2659" s="17" t="n">
        <v>0.25</v>
      </c>
      <c r="D2659" s="17" t="n">
        <v>0.5833333333333334</v>
      </c>
      <c r="E2659" t="inlineStr">
        <is>
          <t>Day</t>
        </is>
      </c>
      <c r="F2659" t="inlineStr">
        <is>
          <t>Sep</t>
        </is>
      </c>
      <c r="G2659" s="18">
        <f>IF(D2659&lt;C2659,D2659+1-C2659,D2659-C2659)*24</f>
        <v/>
      </c>
      <c r="H2659" s="18">
        <f>MAX(0,G2659-8)</f>
        <v/>
      </c>
    </row>
    <row r="2660">
      <c r="A2660" t="n">
        <v>1207</v>
      </c>
      <c r="B2660" s="14" t="n">
        <v>46274</v>
      </c>
      <c r="C2660" s="17" t="n">
        <v>0.25</v>
      </c>
      <c r="D2660" s="17" t="n">
        <v>0.6041666666666666</v>
      </c>
      <c r="E2660" t="inlineStr">
        <is>
          <t>Day</t>
        </is>
      </c>
      <c r="F2660" t="inlineStr">
        <is>
          <t>Sep</t>
        </is>
      </c>
      <c r="G2660" s="18">
        <f>IF(D2660&lt;C2660,D2660+1-C2660,D2660-C2660)*24</f>
        <v/>
      </c>
      <c r="H2660" s="18">
        <f>MAX(0,G2660-8)</f>
        <v/>
      </c>
    </row>
    <row r="2661">
      <c r="A2661" t="n">
        <v>1209</v>
      </c>
      <c r="B2661" s="14" t="n">
        <v>46274</v>
      </c>
      <c r="C2661" s="17" t="n">
        <v>0.25</v>
      </c>
      <c r="D2661" s="17" t="n">
        <v>0.6041666666666666</v>
      </c>
      <c r="E2661" t="inlineStr">
        <is>
          <t>Day</t>
        </is>
      </c>
      <c r="F2661" t="inlineStr">
        <is>
          <t>Sep</t>
        </is>
      </c>
      <c r="G2661" s="18">
        <f>IF(D2661&lt;C2661,D2661+1-C2661,D2661-C2661)*24</f>
        <v/>
      </c>
      <c r="H2661" s="18">
        <f>MAX(0,G2661-8)</f>
        <v/>
      </c>
    </row>
    <row r="2662">
      <c r="A2662" t="n">
        <v>1210</v>
      </c>
      <c r="B2662" s="14" t="n">
        <v>46274</v>
      </c>
      <c r="C2662" s="17" t="n">
        <v>0.2708333333333333</v>
      </c>
      <c r="D2662" s="17" t="n">
        <v>0.6875</v>
      </c>
      <c r="E2662" t="inlineStr">
        <is>
          <t>Day</t>
        </is>
      </c>
      <c r="F2662" t="inlineStr">
        <is>
          <t>Sep</t>
        </is>
      </c>
      <c r="G2662" s="18">
        <f>IF(D2662&lt;C2662,D2662+1-C2662,D2662-C2662)*24</f>
        <v/>
      </c>
      <c r="H2662" s="18">
        <f>MAX(0,G2662-8)</f>
        <v/>
      </c>
    </row>
    <row r="2663">
      <c r="A2663" t="n">
        <v>1211</v>
      </c>
      <c r="B2663" s="14" t="n">
        <v>46274</v>
      </c>
      <c r="C2663" s="17" t="n">
        <v>0.25</v>
      </c>
      <c r="D2663" s="17" t="n">
        <v>0.5833333333333334</v>
      </c>
      <c r="E2663" t="inlineStr">
        <is>
          <t>Day</t>
        </is>
      </c>
      <c r="F2663" t="inlineStr">
        <is>
          <t>Sep</t>
        </is>
      </c>
      <c r="G2663" s="18">
        <f>IF(D2663&lt;C2663,D2663+1-C2663,D2663-C2663)*24</f>
        <v/>
      </c>
      <c r="H2663" s="18">
        <f>MAX(0,G2663-8)</f>
        <v/>
      </c>
    </row>
    <row r="2664">
      <c r="A2664" t="n">
        <v>1212</v>
      </c>
      <c r="B2664" s="14" t="n">
        <v>46274</v>
      </c>
      <c r="C2664" s="17" t="n">
        <v>0.25</v>
      </c>
      <c r="D2664" s="17" t="n">
        <v>0.625</v>
      </c>
      <c r="E2664" t="inlineStr">
        <is>
          <t>Day</t>
        </is>
      </c>
      <c r="F2664" t="inlineStr">
        <is>
          <t>Sep</t>
        </is>
      </c>
      <c r="G2664" s="18">
        <f>IF(D2664&lt;C2664,D2664+1-C2664,D2664-C2664)*24</f>
        <v/>
      </c>
      <c r="H2664" s="18">
        <f>MAX(0,G2664-8)</f>
        <v/>
      </c>
    </row>
    <row r="2665">
      <c r="A2665" t="n">
        <v>1213</v>
      </c>
      <c r="B2665" s="14" t="n">
        <v>46274</v>
      </c>
      <c r="C2665" s="17" t="n">
        <v>0.25</v>
      </c>
      <c r="D2665" s="17" t="n">
        <v>0.625</v>
      </c>
      <c r="E2665" t="inlineStr">
        <is>
          <t>Day</t>
        </is>
      </c>
      <c r="F2665" t="inlineStr">
        <is>
          <t>Sep</t>
        </is>
      </c>
      <c r="G2665" s="18">
        <f>IF(D2665&lt;C2665,D2665+1-C2665,D2665-C2665)*24</f>
        <v/>
      </c>
      <c r="H2665" s="18">
        <f>MAX(0,G2665-8)</f>
        <v/>
      </c>
    </row>
    <row r="2666">
      <c r="A2666" t="n">
        <v>1214</v>
      </c>
      <c r="B2666" s="14" t="n">
        <v>46274</v>
      </c>
      <c r="C2666" s="17" t="n">
        <v>0.25</v>
      </c>
      <c r="D2666" s="17" t="n">
        <v>0.6041666666666666</v>
      </c>
      <c r="E2666" t="inlineStr">
        <is>
          <t>Day</t>
        </is>
      </c>
      <c r="F2666" t="inlineStr">
        <is>
          <t>Sep</t>
        </is>
      </c>
      <c r="G2666" s="18">
        <f>IF(D2666&lt;C2666,D2666+1-C2666,D2666-C2666)*24</f>
        <v/>
      </c>
      <c r="H2666" s="18">
        <f>MAX(0,G2666-8)</f>
        <v/>
      </c>
    </row>
    <row r="2667">
      <c r="A2667" t="n">
        <v>1215</v>
      </c>
      <c r="B2667" s="14" t="n">
        <v>46274</v>
      </c>
      <c r="C2667" s="17" t="n">
        <v>0.25</v>
      </c>
      <c r="D2667" s="17" t="n">
        <v>0.5833333333333334</v>
      </c>
      <c r="E2667" t="inlineStr">
        <is>
          <t>Day</t>
        </is>
      </c>
      <c r="F2667" t="inlineStr">
        <is>
          <t>Sep</t>
        </is>
      </c>
      <c r="G2667" s="18">
        <f>IF(D2667&lt;C2667,D2667+1-C2667,D2667-C2667)*24</f>
        <v/>
      </c>
      <c r="H2667" s="18">
        <f>MAX(0,G2667-8)</f>
        <v/>
      </c>
    </row>
    <row r="2668">
      <c r="A2668" t="n">
        <v>1216</v>
      </c>
      <c r="B2668" s="14" t="n">
        <v>46274</v>
      </c>
      <c r="C2668" s="17" t="n">
        <v>0.25</v>
      </c>
      <c r="D2668" s="17" t="n">
        <v>0.5833333333333334</v>
      </c>
      <c r="E2668" t="inlineStr">
        <is>
          <t>Day</t>
        </is>
      </c>
      <c r="F2668" t="inlineStr">
        <is>
          <t>Sep</t>
        </is>
      </c>
      <c r="G2668" s="18">
        <f>IF(D2668&lt;C2668,D2668+1-C2668,D2668-C2668)*24</f>
        <v/>
      </c>
      <c r="H2668" s="18">
        <f>MAX(0,G2668-8)</f>
        <v/>
      </c>
    </row>
    <row r="2669">
      <c r="A2669" t="n">
        <v>1218</v>
      </c>
      <c r="B2669" s="14" t="n">
        <v>46274</v>
      </c>
      <c r="C2669" s="17" t="n">
        <v>0.2708333333333333</v>
      </c>
      <c r="D2669" s="17" t="n">
        <v>0.6458333333333334</v>
      </c>
      <c r="E2669" t="inlineStr">
        <is>
          <t>Day</t>
        </is>
      </c>
      <c r="F2669" t="inlineStr">
        <is>
          <t>Sep</t>
        </is>
      </c>
      <c r="G2669" s="18">
        <f>IF(D2669&lt;C2669,D2669+1-C2669,D2669-C2669)*24</f>
        <v/>
      </c>
      <c r="H2669" s="18">
        <f>MAX(0,G2669-8)</f>
        <v/>
      </c>
    </row>
    <row r="2670">
      <c r="A2670" t="n">
        <v>1219</v>
      </c>
      <c r="B2670" s="14" t="n">
        <v>46274</v>
      </c>
      <c r="C2670" s="17" t="n">
        <v>0.25</v>
      </c>
      <c r="D2670" s="17" t="n">
        <v>0.5833333333333334</v>
      </c>
      <c r="E2670" t="inlineStr">
        <is>
          <t>Day</t>
        </is>
      </c>
      <c r="F2670" t="inlineStr">
        <is>
          <t>Sep</t>
        </is>
      </c>
      <c r="G2670" s="18">
        <f>IF(D2670&lt;C2670,D2670+1-C2670,D2670-C2670)*24</f>
        <v/>
      </c>
      <c r="H2670" s="18">
        <f>MAX(0,G2670-8)</f>
        <v/>
      </c>
    </row>
    <row r="2671">
      <c r="A2671" t="n">
        <v>1220</v>
      </c>
      <c r="B2671" s="14" t="n">
        <v>46274</v>
      </c>
      <c r="C2671" s="17" t="n">
        <v>0.25</v>
      </c>
      <c r="D2671" s="17" t="n">
        <v>0.5833333333333334</v>
      </c>
      <c r="E2671" t="inlineStr">
        <is>
          <t>Day</t>
        </is>
      </c>
      <c r="F2671" t="inlineStr">
        <is>
          <t>Sep</t>
        </is>
      </c>
      <c r="G2671" s="18">
        <f>IF(D2671&lt;C2671,D2671+1-C2671,D2671-C2671)*24</f>
        <v/>
      </c>
      <c r="H2671" s="18">
        <f>MAX(0,G2671-8)</f>
        <v/>
      </c>
    </row>
    <row r="2672">
      <c r="A2672" t="n">
        <v>1101</v>
      </c>
      <c r="B2672" s="14" t="n">
        <v>46275</v>
      </c>
      <c r="C2672" s="17" t="n">
        <v>0.9166666666666666</v>
      </c>
      <c r="D2672" s="17" t="n">
        <v>0.3125</v>
      </c>
      <c r="E2672" t="inlineStr">
        <is>
          <t>Night</t>
        </is>
      </c>
      <c r="F2672" t="inlineStr">
        <is>
          <t>Sep</t>
        </is>
      </c>
      <c r="G2672" s="18">
        <f>IF(D2672&lt;C2672,D2672+1-C2672,D2672-C2672)*24</f>
        <v/>
      </c>
      <c r="H2672" s="18">
        <f>MAX(0,G2672-8)</f>
        <v/>
      </c>
    </row>
    <row r="2673">
      <c r="A2673" t="n">
        <v>1102</v>
      </c>
      <c r="B2673" s="14" t="n">
        <v>46275</v>
      </c>
      <c r="C2673" s="17" t="n">
        <v>0.9166666666666666</v>
      </c>
      <c r="D2673" s="17" t="n">
        <v>0.25</v>
      </c>
      <c r="E2673" t="inlineStr">
        <is>
          <t>Night</t>
        </is>
      </c>
      <c r="F2673" t="inlineStr">
        <is>
          <t>Sep</t>
        </is>
      </c>
      <c r="G2673" s="18">
        <f>IF(D2673&lt;C2673,D2673+1-C2673,D2673-C2673)*24</f>
        <v/>
      </c>
      <c r="H2673" s="18">
        <f>MAX(0,G2673-8)</f>
        <v/>
      </c>
    </row>
    <row r="2674">
      <c r="A2674" t="n">
        <v>1103</v>
      </c>
      <c r="B2674" s="14" t="n">
        <v>46275</v>
      </c>
      <c r="C2674" s="17" t="n">
        <v>0.9270833333333334</v>
      </c>
      <c r="D2674" s="17" t="n">
        <v>0.3020833333333333</v>
      </c>
      <c r="E2674" t="inlineStr">
        <is>
          <t>Night</t>
        </is>
      </c>
      <c r="F2674" t="inlineStr">
        <is>
          <t>Sep</t>
        </is>
      </c>
      <c r="G2674" s="18">
        <f>IF(D2674&lt;C2674,D2674+1-C2674,D2674-C2674)*24</f>
        <v/>
      </c>
      <c r="H2674" s="18">
        <f>MAX(0,G2674-8)</f>
        <v/>
      </c>
    </row>
    <row r="2675">
      <c r="A2675" t="n">
        <v>1104</v>
      </c>
      <c r="B2675" s="14" t="n">
        <v>46275</v>
      </c>
      <c r="C2675" s="17" t="n">
        <v>0.9166666666666666</v>
      </c>
      <c r="D2675" s="17" t="n">
        <v>0.3958333333333333</v>
      </c>
      <c r="E2675" t="inlineStr">
        <is>
          <t>Night</t>
        </is>
      </c>
      <c r="F2675" t="inlineStr">
        <is>
          <t>Sep</t>
        </is>
      </c>
      <c r="G2675" s="18">
        <f>IF(D2675&lt;C2675,D2675+1-C2675,D2675-C2675)*24</f>
        <v/>
      </c>
      <c r="H2675" s="18">
        <f>MAX(0,G2675-8)</f>
        <v/>
      </c>
    </row>
    <row r="2676">
      <c r="A2676" t="n">
        <v>1106</v>
      </c>
      <c r="B2676" s="14" t="n">
        <v>46275</v>
      </c>
      <c r="C2676" s="17" t="n">
        <v>0.9166666666666666</v>
      </c>
      <c r="D2676" s="17" t="n">
        <v>0.2708333333333333</v>
      </c>
      <c r="E2676" t="inlineStr">
        <is>
          <t>Night</t>
        </is>
      </c>
      <c r="F2676" t="inlineStr">
        <is>
          <t>Sep</t>
        </is>
      </c>
      <c r="G2676" s="18">
        <f>IF(D2676&lt;C2676,D2676+1-C2676,D2676-C2676)*24</f>
        <v/>
      </c>
      <c r="H2676" s="18">
        <f>MAX(0,G2676-8)</f>
        <v/>
      </c>
    </row>
    <row r="2677">
      <c r="A2677" t="n">
        <v>1107</v>
      </c>
      <c r="B2677" s="14" t="n">
        <v>46275</v>
      </c>
      <c r="C2677" s="17" t="n">
        <v>0.9166666666666666</v>
      </c>
      <c r="D2677" s="17" t="n">
        <v>0.3958333333333333</v>
      </c>
      <c r="E2677" t="inlineStr">
        <is>
          <t>Night</t>
        </is>
      </c>
      <c r="F2677" t="inlineStr">
        <is>
          <t>Sep</t>
        </is>
      </c>
      <c r="G2677" s="18">
        <f>IF(D2677&lt;C2677,D2677+1-C2677,D2677-C2677)*24</f>
        <v/>
      </c>
      <c r="H2677" s="18">
        <f>MAX(0,G2677-8)</f>
        <v/>
      </c>
    </row>
    <row r="2678">
      <c r="A2678" t="n">
        <v>1109</v>
      </c>
      <c r="B2678" s="14" t="n">
        <v>46275</v>
      </c>
      <c r="C2678" s="17" t="n">
        <v>0.9166666666666666</v>
      </c>
      <c r="D2678" s="17" t="n">
        <v>0.3125</v>
      </c>
      <c r="E2678" t="inlineStr">
        <is>
          <t>Night</t>
        </is>
      </c>
      <c r="F2678" t="inlineStr">
        <is>
          <t>Sep</t>
        </is>
      </c>
      <c r="G2678" s="18">
        <f>IF(D2678&lt;C2678,D2678+1-C2678,D2678-C2678)*24</f>
        <v/>
      </c>
      <c r="H2678" s="18">
        <f>MAX(0,G2678-8)</f>
        <v/>
      </c>
    </row>
    <row r="2679">
      <c r="A2679" t="n">
        <v>1110</v>
      </c>
      <c r="B2679" s="14" t="n">
        <v>46275</v>
      </c>
      <c r="C2679" s="17" t="n">
        <v>0.9375</v>
      </c>
      <c r="D2679" s="17" t="n">
        <v>0.3333333333333333</v>
      </c>
      <c r="E2679" t="inlineStr">
        <is>
          <t>Night</t>
        </is>
      </c>
      <c r="F2679" t="inlineStr">
        <is>
          <t>Sep</t>
        </is>
      </c>
      <c r="G2679" s="18">
        <f>IF(D2679&lt;C2679,D2679+1-C2679,D2679-C2679)*24</f>
        <v/>
      </c>
      <c r="H2679" s="18">
        <f>MAX(0,G2679-8)</f>
        <v/>
      </c>
    </row>
    <row r="2680">
      <c r="A2680" t="n">
        <v>1111</v>
      </c>
      <c r="B2680" s="14" t="n">
        <v>46275</v>
      </c>
      <c r="C2680" s="17" t="n">
        <v>0.9166666666666666</v>
      </c>
      <c r="D2680" s="17" t="n">
        <v>0.2708333333333333</v>
      </c>
      <c r="E2680" t="inlineStr">
        <is>
          <t>Night</t>
        </is>
      </c>
      <c r="F2680" t="inlineStr">
        <is>
          <t>Sep</t>
        </is>
      </c>
      <c r="G2680" s="18">
        <f>IF(D2680&lt;C2680,D2680+1-C2680,D2680-C2680)*24</f>
        <v/>
      </c>
      <c r="H2680" s="18">
        <f>MAX(0,G2680-8)</f>
        <v/>
      </c>
    </row>
    <row r="2681">
      <c r="A2681" t="n">
        <v>1112</v>
      </c>
      <c r="B2681" s="14" t="n">
        <v>46275</v>
      </c>
      <c r="C2681" s="17" t="n">
        <v>0.9375</v>
      </c>
      <c r="D2681" s="17" t="n">
        <v>0.3125</v>
      </c>
      <c r="E2681" t="inlineStr">
        <is>
          <t>Night</t>
        </is>
      </c>
      <c r="F2681" t="inlineStr">
        <is>
          <t>Sep</t>
        </is>
      </c>
      <c r="G2681" s="18">
        <f>IF(D2681&lt;C2681,D2681+1-C2681,D2681-C2681)*24</f>
        <v/>
      </c>
      <c r="H2681" s="18">
        <f>MAX(0,G2681-8)</f>
        <v/>
      </c>
    </row>
    <row r="2682">
      <c r="A2682" t="n">
        <v>1114</v>
      </c>
      <c r="B2682" s="14" t="n">
        <v>46275</v>
      </c>
      <c r="C2682" s="17" t="n">
        <v>0.9270833333333334</v>
      </c>
      <c r="D2682" s="17" t="n">
        <v>0.34375</v>
      </c>
      <c r="E2682" t="inlineStr">
        <is>
          <t>Night</t>
        </is>
      </c>
      <c r="F2682" t="inlineStr">
        <is>
          <t>Sep</t>
        </is>
      </c>
      <c r="G2682" s="18">
        <f>IF(D2682&lt;C2682,D2682+1-C2682,D2682-C2682)*24</f>
        <v/>
      </c>
      <c r="H2682" s="18">
        <f>MAX(0,G2682-8)</f>
        <v/>
      </c>
    </row>
    <row r="2683">
      <c r="A2683" t="n">
        <v>1115</v>
      </c>
      <c r="B2683" s="14" t="n">
        <v>46275</v>
      </c>
      <c r="C2683" s="17" t="n">
        <v>0.9270833333333334</v>
      </c>
      <c r="D2683" s="17" t="n">
        <v>0.2604166666666667</v>
      </c>
      <c r="E2683" t="inlineStr">
        <is>
          <t>Night</t>
        </is>
      </c>
      <c r="F2683" t="inlineStr">
        <is>
          <t>Sep</t>
        </is>
      </c>
      <c r="G2683" s="18">
        <f>IF(D2683&lt;C2683,D2683+1-C2683,D2683-C2683)*24</f>
        <v/>
      </c>
      <c r="H2683" s="18">
        <f>MAX(0,G2683-8)</f>
        <v/>
      </c>
    </row>
    <row r="2684">
      <c r="A2684" t="n">
        <v>1116</v>
      </c>
      <c r="B2684" s="14" t="n">
        <v>46275</v>
      </c>
      <c r="C2684" s="17" t="n">
        <v>0.9166666666666666</v>
      </c>
      <c r="D2684" s="17" t="n">
        <v>0.3333333333333333</v>
      </c>
      <c r="E2684" t="inlineStr">
        <is>
          <t>Night</t>
        </is>
      </c>
      <c r="F2684" t="inlineStr">
        <is>
          <t>Sep</t>
        </is>
      </c>
      <c r="G2684" s="18">
        <f>IF(D2684&lt;C2684,D2684+1-C2684,D2684-C2684)*24</f>
        <v/>
      </c>
      <c r="H2684" s="18">
        <f>MAX(0,G2684-8)</f>
        <v/>
      </c>
    </row>
    <row r="2685">
      <c r="A2685" t="n">
        <v>1117</v>
      </c>
      <c r="B2685" s="14" t="n">
        <v>46275</v>
      </c>
      <c r="C2685" s="17" t="n">
        <v>0.9375</v>
      </c>
      <c r="D2685" s="17" t="n">
        <v>0.4166666666666667</v>
      </c>
      <c r="E2685" t="inlineStr">
        <is>
          <t>Night</t>
        </is>
      </c>
      <c r="F2685" t="inlineStr">
        <is>
          <t>Sep</t>
        </is>
      </c>
      <c r="G2685" s="18">
        <f>IF(D2685&lt;C2685,D2685+1-C2685,D2685-C2685)*24</f>
        <v/>
      </c>
      <c r="H2685" s="18">
        <f>MAX(0,G2685-8)</f>
        <v/>
      </c>
    </row>
    <row r="2686">
      <c r="A2686" t="n">
        <v>1118</v>
      </c>
      <c r="B2686" s="14" t="n">
        <v>46275</v>
      </c>
      <c r="C2686" s="17" t="n">
        <v>0.9166666666666666</v>
      </c>
      <c r="D2686" s="17" t="n">
        <v>0.3958333333333333</v>
      </c>
      <c r="E2686" t="inlineStr">
        <is>
          <t>Night</t>
        </is>
      </c>
      <c r="F2686" t="inlineStr">
        <is>
          <t>Sep</t>
        </is>
      </c>
      <c r="G2686" s="18">
        <f>IF(D2686&lt;C2686,D2686+1-C2686,D2686-C2686)*24</f>
        <v/>
      </c>
      <c r="H2686" s="18">
        <f>MAX(0,G2686-8)</f>
        <v/>
      </c>
    </row>
    <row r="2687">
      <c r="A2687" t="n">
        <v>1119</v>
      </c>
      <c r="B2687" s="14" t="n">
        <v>46275</v>
      </c>
      <c r="C2687" s="17" t="n">
        <v>0.9270833333333334</v>
      </c>
      <c r="D2687" s="17" t="n">
        <v>0.2604166666666667</v>
      </c>
      <c r="E2687" t="inlineStr">
        <is>
          <t>Night</t>
        </is>
      </c>
      <c r="F2687" t="inlineStr">
        <is>
          <t>Sep</t>
        </is>
      </c>
      <c r="G2687" s="18">
        <f>IF(D2687&lt;C2687,D2687+1-C2687,D2687-C2687)*24</f>
        <v/>
      </c>
      <c r="H2687" s="18">
        <f>MAX(0,G2687-8)</f>
        <v/>
      </c>
    </row>
    <row r="2688">
      <c r="A2688" t="n">
        <v>1122</v>
      </c>
      <c r="B2688" s="14" t="n">
        <v>46275</v>
      </c>
      <c r="C2688" s="17" t="n">
        <v>0.9270833333333334</v>
      </c>
      <c r="D2688" s="17" t="n">
        <v>0.3854166666666667</v>
      </c>
      <c r="E2688" t="inlineStr">
        <is>
          <t>Night</t>
        </is>
      </c>
      <c r="F2688" t="inlineStr">
        <is>
          <t>Sep</t>
        </is>
      </c>
      <c r="G2688" s="18">
        <f>IF(D2688&lt;C2688,D2688+1-C2688,D2688-C2688)*24</f>
        <v/>
      </c>
      <c r="H2688" s="18">
        <f>MAX(0,G2688-8)</f>
        <v/>
      </c>
    </row>
    <row r="2689">
      <c r="A2689" t="n">
        <v>1123</v>
      </c>
      <c r="B2689" s="14" t="n">
        <v>46275</v>
      </c>
      <c r="C2689" s="17" t="n">
        <v>0.9166666666666666</v>
      </c>
      <c r="D2689" s="17" t="n">
        <v>0.375</v>
      </c>
      <c r="E2689" t="inlineStr">
        <is>
          <t>Night</t>
        </is>
      </c>
      <c r="F2689" t="inlineStr">
        <is>
          <t>Sep</t>
        </is>
      </c>
      <c r="G2689" s="18">
        <f>IF(D2689&lt;C2689,D2689+1-C2689,D2689-C2689)*24</f>
        <v/>
      </c>
      <c r="H2689" s="18">
        <f>MAX(0,G2689-8)</f>
        <v/>
      </c>
    </row>
    <row r="2690">
      <c r="A2690" t="n">
        <v>1124</v>
      </c>
      <c r="B2690" s="14" t="n">
        <v>46275</v>
      </c>
      <c r="C2690" s="17" t="n">
        <v>0.9166666666666666</v>
      </c>
      <c r="D2690" s="17" t="n">
        <v>0.2708333333333333</v>
      </c>
      <c r="E2690" t="inlineStr">
        <is>
          <t>Night</t>
        </is>
      </c>
      <c r="F2690" t="inlineStr">
        <is>
          <t>Sep</t>
        </is>
      </c>
      <c r="G2690" s="18">
        <f>IF(D2690&lt;C2690,D2690+1-C2690,D2690-C2690)*24</f>
        <v/>
      </c>
      <c r="H2690" s="18">
        <f>MAX(0,G2690-8)</f>
        <v/>
      </c>
    </row>
    <row r="2691">
      <c r="A2691" t="n">
        <v>1125</v>
      </c>
      <c r="B2691" s="14" t="n">
        <v>46275</v>
      </c>
      <c r="C2691" s="17" t="n">
        <v>0.9375</v>
      </c>
      <c r="D2691" s="17" t="n">
        <v>0.4166666666666667</v>
      </c>
      <c r="E2691" t="inlineStr">
        <is>
          <t>Night</t>
        </is>
      </c>
      <c r="F2691" t="inlineStr">
        <is>
          <t>Sep</t>
        </is>
      </c>
      <c r="G2691" s="18">
        <f>IF(D2691&lt;C2691,D2691+1-C2691,D2691-C2691)*24</f>
        <v/>
      </c>
      <c r="H2691" s="18">
        <f>MAX(0,G2691-8)</f>
        <v/>
      </c>
    </row>
    <row r="2692">
      <c r="A2692" t="n">
        <v>1126</v>
      </c>
      <c r="B2692" s="14" t="n">
        <v>46275</v>
      </c>
      <c r="C2692" s="17" t="n">
        <v>0.9270833333333334</v>
      </c>
      <c r="D2692" s="17" t="n">
        <v>0.3645833333333333</v>
      </c>
      <c r="E2692" t="inlineStr">
        <is>
          <t>Night</t>
        </is>
      </c>
      <c r="F2692" t="inlineStr">
        <is>
          <t>Sep</t>
        </is>
      </c>
      <c r="G2692" s="18">
        <f>IF(D2692&lt;C2692,D2692+1-C2692,D2692-C2692)*24</f>
        <v/>
      </c>
      <c r="H2692" s="18">
        <f>MAX(0,G2692-8)</f>
        <v/>
      </c>
    </row>
    <row r="2693">
      <c r="A2693" t="n">
        <v>1128</v>
      </c>
      <c r="B2693" s="14" t="n">
        <v>46275</v>
      </c>
      <c r="C2693" s="17" t="n">
        <v>0.9166666666666666</v>
      </c>
      <c r="D2693" s="17" t="n">
        <v>0.25</v>
      </c>
      <c r="E2693" t="inlineStr">
        <is>
          <t>Night</t>
        </is>
      </c>
      <c r="F2693" t="inlineStr">
        <is>
          <t>Sep</t>
        </is>
      </c>
      <c r="G2693" s="18">
        <f>IF(D2693&lt;C2693,D2693+1-C2693,D2693-C2693)*24</f>
        <v/>
      </c>
      <c r="H2693" s="18">
        <f>MAX(0,G2693-8)</f>
        <v/>
      </c>
    </row>
    <row r="2694">
      <c r="A2694" t="n">
        <v>1129</v>
      </c>
      <c r="B2694" s="14" t="n">
        <v>46275</v>
      </c>
      <c r="C2694" s="17" t="n">
        <v>0.9166666666666666</v>
      </c>
      <c r="D2694" s="17" t="n">
        <v>0.2916666666666667</v>
      </c>
      <c r="E2694" t="inlineStr">
        <is>
          <t>Night</t>
        </is>
      </c>
      <c r="F2694" t="inlineStr">
        <is>
          <t>Sep</t>
        </is>
      </c>
      <c r="G2694" s="18">
        <f>IF(D2694&lt;C2694,D2694+1-C2694,D2694-C2694)*24</f>
        <v/>
      </c>
      <c r="H2694" s="18">
        <f>MAX(0,G2694-8)</f>
        <v/>
      </c>
    </row>
    <row r="2695">
      <c r="A2695" t="n">
        <v>1130</v>
      </c>
      <c r="B2695" s="14" t="n">
        <v>46275</v>
      </c>
      <c r="C2695" s="17" t="n">
        <v>0.9375</v>
      </c>
      <c r="D2695" s="17" t="n">
        <v>0.2916666666666667</v>
      </c>
      <c r="E2695" t="inlineStr">
        <is>
          <t>Night</t>
        </is>
      </c>
      <c r="F2695" t="inlineStr">
        <is>
          <t>Sep</t>
        </is>
      </c>
      <c r="G2695" s="18">
        <f>IF(D2695&lt;C2695,D2695+1-C2695,D2695-C2695)*24</f>
        <v/>
      </c>
      <c r="H2695" s="18">
        <f>MAX(0,G2695-8)</f>
        <v/>
      </c>
    </row>
    <row r="2696">
      <c r="A2696" t="n">
        <v>1131</v>
      </c>
      <c r="B2696" s="14" t="n">
        <v>46275</v>
      </c>
      <c r="C2696" s="17" t="n">
        <v>0.9375</v>
      </c>
      <c r="D2696" s="17" t="n">
        <v>0.3541666666666667</v>
      </c>
      <c r="E2696" t="inlineStr">
        <is>
          <t>Night</t>
        </is>
      </c>
      <c r="F2696" t="inlineStr">
        <is>
          <t>Sep</t>
        </is>
      </c>
      <c r="G2696" s="18">
        <f>IF(D2696&lt;C2696,D2696+1-C2696,D2696-C2696)*24</f>
        <v/>
      </c>
      <c r="H2696" s="18">
        <f>MAX(0,G2696-8)</f>
        <v/>
      </c>
    </row>
    <row r="2697">
      <c r="A2697" t="n">
        <v>1132</v>
      </c>
      <c r="B2697" s="14" t="n">
        <v>46275</v>
      </c>
      <c r="C2697" s="17" t="n">
        <v>0.9166666666666666</v>
      </c>
      <c r="D2697" s="17" t="n">
        <v>0.3125</v>
      </c>
      <c r="E2697" t="inlineStr">
        <is>
          <t>Night</t>
        </is>
      </c>
      <c r="F2697" t="inlineStr">
        <is>
          <t>Sep</t>
        </is>
      </c>
      <c r="G2697" s="18">
        <f>IF(D2697&lt;C2697,D2697+1-C2697,D2697-C2697)*24</f>
        <v/>
      </c>
      <c r="H2697" s="18">
        <f>MAX(0,G2697-8)</f>
        <v/>
      </c>
    </row>
    <row r="2698">
      <c r="A2698" t="n">
        <v>1133</v>
      </c>
      <c r="B2698" s="14" t="n">
        <v>46275</v>
      </c>
      <c r="C2698" s="17" t="n">
        <v>0.9166666666666666</v>
      </c>
      <c r="D2698" s="17" t="n">
        <v>0.25</v>
      </c>
      <c r="E2698" t="inlineStr">
        <is>
          <t>Night</t>
        </is>
      </c>
      <c r="F2698" t="inlineStr">
        <is>
          <t>Sep</t>
        </is>
      </c>
      <c r="G2698" s="18">
        <f>IF(D2698&lt;C2698,D2698+1-C2698,D2698-C2698)*24</f>
        <v/>
      </c>
      <c r="H2698" s="18">
        <f>MAX(0,G2698-8)</f>
        <v/>
      </c>
    </row>
    <row r="2699">
      <c r="A2699" t="n">
        <v>1134</v>
      </c>
      <c r="B2699" s="14" t="n">
        <v>46275</v>
      </c>
      <c r="C2699" s="17" t="n">
        <v>0.9270833333333334</v>
      </c>
      <c r="D2699" s="17" t="n">
        <v>0.3229166666666667</v>
      </c>
      <c r="E2699" t="inlineStr">
        <is>
          <t>Night</t>
        </is>
      </c>
      <c r="F2699" t="inlineStr">
        <is>
          <t>Sep</t>
        </is>
      </c>
      <c r="G2699" s="18">
        <f>IF(D2699&lt;C2699,D2699+1-C2699,D2699-C2699)*24</f>
        <v/>
      </c>
      <c r="H2699" s="18">
        <f>MAX(0,G2699-8)</f>
        <v/>
      </c>
    </row>
    <row r="2700">
      <c r="A2700" t="n">
        <v>1135</v>
      </c>
      <c r="B2700" s="14" t="n">
        <v>46275</v>
      </c>
      <c r="C2700" s="17" t="n">
        <v>0.9270833333333334</v>
      </c>
      <c r="D2700" s="17" t="n">
        <v>0.28125</v>
      </c>
      <c r="E2700" t="inlineStr">
        <is>
          <t>Night</t>
        </is>
      </c>
      <c r="F2700" t="inlineStr">
        <is>
          <t>Sep</t>
        </is>
      </c>
      <c r="G2700" s="18">
        <f>IF(D2700&lt;C2700,D2700+1-C2700,D2700-C2700)*24</f>
        <v/>
      </c>
      <c r="H2700" s="18">
        <f>MAX(0,G2700-8)</f>
        <v/>
      </c>
    </row>
    <row r="2701">
      <c r="A2701" t="n">
        <v>1136</v>
      </c>
      <c r="B2701" s="14" t="n">
        <v>46275</v>
      </c>
      <c r="C2701" s="17" t="n">
        <v>0.9166666666666666</v>
      </c>
      <c r="D2701" s="17" t="n">
        <v>0.3958333333333333</v>
      </c>
      <c r="E2701" t="inlineStr">
        <is>
          <t>Night</t>
        </is>
      </c>
      <c r="F2701" t="inlineStr">
        <is>
          <t>Sep</t>
        </is>
      </c>
      <c r="G2701" s="18">
        <f>IF(D2701&lt;C2701,D2701+1-C2701,D2701-C2701)*24</f>
        <v/>
      </c>
      <c r="H2701" s="18">
        <f>MAX(0,G2701-8)</f>
        <v/>
      </c>
    </row>
    <row r="2702">
      <c r="A2702" t="n">
        <v>1137</v>
      </c>
      <c r="B2702" s="14" t="n">
        <v>46275</v>
      </c>
      <c r="C2702" s="17" t="n">
        <v>0.9166666666666666</v>
      </c>
      <c r="D2702" s="17" t="n">
        <v>0.375</v>
      </c>
      <c r="E2702" t="inlineStr">
        <is>
          <t>Night</t>
        </is>
      </c>
      <c r="F2702" t="inlineStr">
        <is>
          <t>Sep</t>
        </is>
      </c>
      <c r="G2702" s="18">
        <f>IF(D2702&lt;C2702,D2702+1-C2702,D2702-C2702)*24</f>
        <v/>
      </c>
      <c r="H2702" s="18">
        <f>MAX(0,G2702-8)</f>
        <v/>
      </c>
    </row>
    <row r="2703">
      <c r="A2703" t="n">
        <v>1147</v>
      </c>
      <c r="B2703" s="14" t="n">
        <v>46275</v>
      </c>
      <c r="C2703" s="17" t="n">
        <v>0.9166666666666666</v>
      </c>
      <c r="D2703" s="17" t="n">
        <v>0.25</v>
      </c>
      <c r="E2703" t="inlineStr">
        <is>
          <t>Night</t>
        </is>
      </c>
      <c r="F2703" t="inlineStr">
        <is>
          <t>Sep</t>
        </is>
      </c>
      <c r="G2703" s="18">
        <f>IF(D2703&lt;C2703,D2703+1-C2703,D2703-C2703)*24</f>
        <v/>
      </c>
      <c r="H2703" s="18">
        <f>MAX(0,G2703-8)</f>
        <v/>
      </c>
    </row>
    <row r="2704">
      <c r="A2704" t="n">
        <v>1108</v>
      </c>
      <c r="B2704" s="14" t="n">
        <v>46275</v>
      </c>
      <c r="C2704" s="17" t="n">
        <v>0.01041666666666667</v>
      </c>
      <c r="D2704" s="17" t="n">
        <v>0.40625</v>
      </c>
      <c r="E2704" t="inlineStr">
        <is>
          <t>Night</t>
        </is>
      </c>
      <c r="F2704" t="inlineStr">
        <is>
          <t>Sep</t>
        </is>
      </c>
      <c r="G2704" s="18">
        <f>IF(D2704&lt;C2704,D2704+1-C2704,D2704-C2704)*24</f>
        <v/>
      </c>
      <c r="H2704" s="18">
        <f>MAX(0,G2704-8)</f>
        <v/>
      </c>
    </row>
    <row r="2705">
      <c r="A2705" t="n">
        <v>1113</v>
      </c>
      <c r="B2705" s="14" t="n">
        <v>46275</v>
      </c>
      <c r="C2705" s="17" t="n">
        <v>0.02083333333333333</v>
      </c>
      <c r="D2705" s="17" t="n">
        <v>0.4583333333333333</v>
      </c>
      <c r="E2705" t="inlineStr">
        <is>
          <t>Night</t>
        </is>
      </c>
      <c r="F2705" t="inlineStr">
        <is>
          <t>Sep</t>
        </is>
      </c>
      <c r="G2705" s="18">
        <f>IF(D2705&lt;C2705,D2705+1-C2705,D2705-C2705)*24</f>
        <v/>
      </c>
      <c r="H2705" s="18">
        <f>MAX(0,G2705-8)</f>
        <v/>
      </c>
    </row>
    <row r="2706">
      <c r="A2706" t="n">
        <v>1120</v>
      </c>
      <c r="B2706" s="14" t="n">
        <v>46275</v>
      </c>
      <c r="C2706" s="17" t="n">
        <v>0.01041666666666667</v>
      </c>
      <c r="D2706" s="17" t="n">
        <v>0.46875</v>
      </c>
      <c r="E2706" t="inlineStr">
        <is>
          <t>Night</t>
        </is>
      </c>
      <c r="F2706" t="inlineStr">
        <is>
          <t>Sep</t>
        </is>
      </c>
      <c r="G2706" s="18">
        <f>IF(D2706&lt;C2706,D2706+1-C2706,D2706-C2706)*24</f>
        <v/>
      </c>
      <c r="H2706" s="18">
        <f>MAX(0,G2706-8)</f>
        <v/>
      </c>
    </row>
    <row r="2707">
      <c r="A2707" t="n">
        <v>1201</v>
      </c>
      <c r="B2707" s="14" t="n">
        <v>46275</v>
      </c>
      <c r="C2707" s="17" t="n">
        <v>0.2708333333333333</v>
      </c>
      <c r="D2707" s="17" t="n">
        <v>0.6041666666666666</v>
      </c>
      <c r="E2707" t="inlineStr">
        <is>
          <t>Day</t>
        </is>
      </c>
      <c r="F2707" t="inlineStr">
        <is>
          <t>Sep</t>
        </is>
      </c>
      <c r="G2707" s="18">
        <f>IF(D2707&lt;C2707,D2707+1-C2707,D2707-C2707)*24</f>
        <v/>
      </c>
      <c r="H2707" s="18">
        <f>MAX(0,G2707-8)</f>
        <v/>
      </c>
    </row>
    <row r="2708">
      <c r="A2708" t="n">
        <v>1202</v>
      </c>
      <c r="B2708" s="14" t="n">
        <v>46275</v>
      </c>
      <c r="C2708" s="17" t="n">
        <v>0.2708333333333333</v>
      </c>
      <c r="D2708" s="17" t="n">
        <v>0.6041666666666666</v>
      </c>
      <c r="E2708" t="inlineStr">
        <is>
          <t>Day</t>
        </is>
      </c>
      <c r="F2708" t="inlineStr">
        <is>
          <t>Sep</t>
        </is>
      </c>
      <c r="G2708" s="18">
        <f>IF(D2708&lt;C2708,D2708+1-C2708,D2708-C2708)*24</f>
        <v/>
      </c>
      <c r="H2708" s="18">
        <f>MAX(0,G2708-8)</f>
        <v/>
      </c>
    </row>
    <row r="2709">
      <c r="A2709" t="n">
        <v>1203</v>
      </c>
      <c r="B2709" s="14" t="n">
        <v>46275</v>
      </c>
      <c r="C2709" s="17" t="n">
        <v>0.25</v>
      </c>
      <c r="D2709" s="17" t="n">
        <v>0.6041666666666666</v>
      </c>
      <c r="E2709" t="inlineStr">
        <is>
          <t>Day</t>
        </is>
      </c>
      <c r="F2709" t="inlineStr">
        <is>
          <t>Sep</t>
        </is>
      </c>
      <c r="G2709" s="18">
        <f>IF(D2709&lt;C2709,D2709+1-C2709,D2709-C2709)*24</f>
        <v/>
      </c>
      <c r="H2709" s="18">
        <f>MAX(0,G2709-8)</f>
        <v/>
      </c>
    </row>
    <row r="2710">
      <c r="A2710" t="n">
        <v>1204</v>
      </c>
      <c r="B2710" s="14" t="n">
        <v>46275</v>
      </c>
      <c r="C2710" s="17" t="n">
        <v>0.25</v>
      </c>
      <c r="D2710" s="17" t="n">
        <v>0.6666666666666666</v>
      </c>
      <c r="E2710" t="inlineStr">
        <is>
          <t>Day</t>
        </is>
      </c>
      <c r="F2710" t="inlineStr">
        <is>
          <t>Sep</t>
        </is>
      </c>
      <c r="G2710" s="18">
        <f>IF(D2710&lt;C2710,D2710+1-C2710,D2710-C2710)*24</f>
        <v/>
      </c>
      <c r="H2710" s="18">
        <f>MAX(0,G2710-8)</f>
        <v/>
      </c>
    </row>
    <row r="2711">
      <c r="A2711" t="n">
        <v>1205</v>
      </c>
      <c r="B2711" s="14" t="n">
        <v>46275</v>
      </c>
      <c r="C2711" s="17" t="n">
        <v>0.2708333333333333</v>
      </c>
      <c r="D2711" s="17" t="n">
        <v>0.6041666666666666</v>
      </c>
      <c r="E2711" t="inlineStr">
        <is>
          <t>Day</t>
        </is>
      </c>
      <c r="F2711" t="inlineStr">
        <is>
          <t>Sep</t>
        </is>
      </c>
      <c r="G2711" s="18">
        <f>IF(D2711&lt;C2711,D2711+1-C2711,D2711-C2711)*24</f>
        <v/>
      </c>
      <c r="H2711" s="18">
        <f>MAX(0,G2711-8)</f>
        <v/>
      </c>
    </row>
    <row r="2712">
      <c r="A2712" t="n">
        <v>1206</v>
      </c>
      <c r="B2712" s="14" t="n">
        <v>46275</v>
      </c>
      <c r="C2712" s="17" t="n">
        <v>0.25</v>
      </c>
      <c r="D2712" s="17" t="n">
        <v>0.5833333333333334</v>
      </c>
      <c r="E2712" t="inlineStr">
        <is>
          <t>Day</t>
        </is>
      </c>
      <c r="F2712" t="inlineStr">
        <is>
          <t>Sep</t>
        </is>
      </c>
      <c r="G2712" s="18">
        <f>IF(D2712&lt;C2712,D2712+1-C2712,D2712-C2712)*24</f>
        <v/>
      </c>
      <c r="H2712" s="18">
        <f>MAX(0,G2712-8)</f>
        <v/>
      </c>
    </row>
    <row r="2713">
      <c r="A2713" t="n">
        <v>1207</v>
      </c>
      <c r="B2713" s="14" t="n">
        <v>46275</v>
      </c>
      <c r="C2713" s="17" t="n">
        <v>0.25</v>
      </c>
      <c r="D2713" s="17" t="n">
        <v>0.625</v>
      </c>
      <c r="E2713" t="inlineStr">
        <is>
          <t>Day</t>
        </is>
      </c>
      <c r="F2713" t="inlineStr">
        <is>
          <t>Sep</t>
        </is>
      </c>
      <c r="G2713" s="18">
        <f>IF(D2713&lt;C2713,D2713+1-C2713,D2713-C2713)*24</f>
        <v/>
      </c>
      <c r="H2713" s="18">
        <f>MAX(0,G2713-8)</f>
        <v/>
      </c>
    </row>
    <row r="2714">
      <c r="A2714" t="n">
        <v>1208</v>
      </c>
      <c r="B2714" s="14" t="n">
        <v>46275</v>
      </c>
      <c r="C2714" s="17" t="n">
        <v>0.2708333333333333</v>
      </c>
      <c r="D2714" s="17" t="n">
        <v>0.6041666666666666</v>
      </c>
      <c r="E2714" t="inlineStr">
        <is>
          <t>Day</t>
        </is>
      </c>
      <c r="F2714" t="inlineStr">
        <is>
          <t>Sep</t>
        </is>
      </c>
      <c r="G2714" s="18">
        <f>IF(D2714&lt;C2714,D2714+1-C2714,D2714-C2714)*24</f>
        <v/>
      </c>
      <c r="H2714" s="18">
        <f>MAX(0,G2714-8)</f>
        <v/>
      </c>
    </row>
    <row r="2715">
      <c r="A2715" t="n">
        <v>1209</v>
      </c>
      <c r="B2715" s="14" t="n">
        <v>46275</v>
      </c>
      <c r="C2715" s="17" t="n">
        <v>0.2708333333333333</v>
      </c>
      <c r="D2715" s="17" t="n">
        <v>0.6041666666666666</v>
      </c>
      <c r="E2715" t="inlineStr">
        <is>
          <t>Day</t>
        </is>
      </c>
      <c r="F2715" t="inlineStr">
        <is>
          <t>Sep</t>
        </is>
      </c>
      <c r="G2715" s="18">
        <f>IF(D2715&lt;C2715,D2715+1-C2715,D2715-C2715)*24</f>
        <v/>
      </c>
      <c r="H2715" s="18">
        <f>MAX(0,G2715-8)</f>
        <v/>
      </c>
    </row>
    <row r="2716">
      <c r="A2716" t="n">
        <v>1210</v>
      </c>
      <c r="B2716" s="14" t="n">
        <v>46275</v>
      </c>
      <c r="C2716" s="17" t="n">
        <v>0.2708333333333333</v>
      </c>
      <c r="D2716" s="17" t="n">
        <v>0.6875</v>
      </c>
      <c r="E2716" t="inlineStr">
        <is>
          <t>Day</t>
        </is>
      </c>
      <c r="F2716" t="inlineStr">
        <is>
          <t>Sep</t>
        </is>
      </c>
      <c r="G2716" s="18">
        <f>IF(D2716&lt;C2716,D2716+1-C2716,D2716-C2716)*24</f>
        <v/>
      </c>
      <c r="H2716" s="18">
        <f>MAX(0,G2716-8)</f>
        <v/>
      </c>
    </row>
    <row r="2717">
      <c r="A2717" t="n">
        <v>1211</v>
      </c>
      <c r="B2717" s="14" t="n">
        <v>46275</v>
      </c>
      <c r="C2717" s="17" t="n">
        <v>0.25</v>
      </c>
      <c r="D2717" s="17" t="n">
        <v>0.6041666666666666</v>
      </c>
      <c r="E2717" t="inlineStr">
        <is>
          <t>Day</t>
        </is>
      </c>
      <c r="F2717" t="inlineStr">
        <is>
          <t>Sep</t>
        </is>
      </c>
      <c r="G2717" s="18">
        <f>IF(D2717&lt;C2717,D2717+1-C2717,D2717-C2717)*24</f>
        <v/>
      </c>
      <c r="H2717" s="18">
        <f>MAX(0,G2717-8)</f>
        <v/>
      </c>
    </row>
    <row r="2718">
      <c r="A2718" t="n">
        <v>1212</v>
      </c>
      <c r="B2718" s="14" t="n">
        <v>46275</v>
      </c>
      <c r="C2718" s="17" t="n">
        <v>0.25</v>
      </c>
      <c r="D2718" s="17" t="n">
        <v>0.6041666666666666</v>
      </c>
      <c r="E2718" t="inlineStr">
        <is>
          <t>Day</t>
        </is>
      </c>
      <c r="F2718" t="inlineStr">
        <is>
          <t>Sep</t>
        </is>
      </c>
      <c r="G2718" s="18">
        <f>IF(D2718&lt;C2718,D2718+1-C2718,D2718-C2718)*24</f>
        <v/>
      </c>
      <c r="H2718" s="18">
        <f>MAX(0,G2718-8)</f>
        <v/>
      </c>
    </row>
    <row r="2719">
      <c r="A2719" t="n">
        <v>1213</v>
      </c>
      <c r="B2719" s="14" t="n">
        <v>46275</v>
      </c>
      <c r="C2719" s="17" t="n">
        <v>0.25</v>
      </c>
      <c r="D2719" s="17" t="n">
        <v>0.625</v>
      </c>
      <c r="E2719" t="inlineStr">
        <is>
          <t>Day</t>
        </is>
      </c>
      <c r="F2719" t="inlineStr">
        <is>
          <t>Sep</t>
        </is>
      </c>
      <c r="G2719" s="18">
        <f>IF(D2719&lt;C2719,D2719+1-C2719,D2719-C2719)*24</f>
        <v/>
      </c>
      <c r="H2719" s="18">
        <f>MAX(0,G2719-8)</f>
        <v/>
      </c>
    </row>
    <row r="2720">
      <c r="A2720" t="n">
        <v>1214</v>
      </c>
      <c r="B2720" s="14" t="n">
        <v>46275</v>
      </c>
      <c r="C2720" s="17" t="n">
        <v>0.25</v>
      </c>
      <c r="D2720" s="17" t="n">
        <v>0.5833333333333334</v>
      </c>
      <c r="E2720" t="inlineStr">
        <is>
          <t>Day</t>
        </is>
      </c>
      <c r="F2720" t="inlineStr">
        <is>
          <t>Sep</t>
        </is>
      </c>
      <c r="G2720" s="18">
        <f>IF(D2720&lt;C2720,D2720+1-C2720,D2720-C2720)*24</f>
        <v/>
      </c>
      <c r="H2720" s="18">
        <f>MAX(0,G2720-8)</f>
        <v/>
      </c>
    </row>
    <row r="2721">
      <c r="A2721" t="n">
        <v>1215</v>
      </c>
      <c r="B2721" s="14" t="n">
        <v>46275</v>
      </c>
      <c r="C2721" s="17" t="n">
        <v>0.25</v>
      </c>
      <c r="D2721" s="17" t="n">
        <v>0.625</v>
      </c>
      <c r="E2721" t="inlineStr">
        <is>
          <t>Day</t>
        </is>
      </c>
      <c r="F2721" t="inlineStr">
        <is>
          <t>Sep</t>
        </is>
      </c>
      <c r="G2721" s="18">
        <f>IF(D2721&lt;C2721,D2721+1-C2721,D2721-C2721)*24</f>
        <v/>
      </c>
      <c r="H2721" s="18">
        <f>MAX(0,G2721-8)</f>
        <v/>
      </c>
    </row>
    <row r="2722">
      <c r="A2722" t="n">
        <v>1216</v>
      </c>
      <c r="B2722" s="14" t="n">
        <v>46275</v>
      </c>
      <c r="C2722" s="17" t="n">
        <v>0.25</v>
      </c>
      <c r="D2722" s="17" t="n">
        <v>0.625</v>
      </c>
      <c r="E2722" t="inlineStr">
        <is>
          <t>Day</t>
        </is>
      </c>
      <c r="F2722" t="inlineStr">
        <is>
          <t>Sep</t>
        </is>
      </c>
      <c r="G2722" s="18">
        <f>IF(D2722&lt;C2722,D2722+1-C2722,D2722-C2722)*24</f>
        <v/>
      </c>
      <c r="H2722" s="18">
        <f>MAX(0,G2722-8)</f>
        <v/>
      </c>
    </row>
    <row r="2723">
      <c r="A2723" t="n">
        <v>1217</v>
      </c>
      <c r="B2723" s="14" t="n">
        <v>46275</v>
      </c>
      <c r="C2723" s="17" t="n">
        <v>0.2708333333333333</v>
      </c>
      <c r="D2723" s="17" t="n">
        <v>0.6875</v>
      </c>
      <c r="E2723" t="inlineStr">
        <is>
          <t>Day</t>
        </is>
      </c>
      <c r="F2723" t="inlineStr">
        <is>
          <t>Sep</t>
        </is>
      </c>
      <c r="G2723" s="18">
        <f>IF(D2723&lt;C2723,D2723+1-C2723,D2723-C2723)*24</f>
        <v/>
      </c>
      <c r="H2723" s="18">
        <f>MAX(0,G2723-8)</f>
        <v/>
      </c>
    </row>
    <row r="2724">
      <c r="A2724" t="n">
        <v>1218</v>
      </c>
      <c r="B2724" s="14" t="n">
        <v>46275</v>
      </c>
      <c r="C2724" s="17" t="n">
        <v>0.25</v>
      </c>
      <c r="D2724" s="17" t="n">
        <v>0.625</v>
      </c>
      <c r="E2724" t="inlineStr">
        <is>
          <t>Day</t>
        </is>
      </c>
      <c r="F2724" t="inlineStr">
        <is>
          <t>Sep</t>
        </is>
      </c>
      <c r="G2724" s="18">
        <f>IF(D2724&lt;C2724,D2724+1-C2724,D2724-C2724)*24</f>
        <v/>
      </c>
      <c r="H2724" s="18">
        <f>MAX(0,G2724-8)</f>
        <v/>
      </c>
    </row>
    <row r="2725">
      <c r="A2725" t="n">
        <v>1219</v>
      </c>
      <c r="B2725" s="14" t="n">
        <v>46275</v>
      </c>
      <c r="C2725" s="17" t="n">
        <v>0.2708333333333333</v>
      </c>
      <c r="D2725" s="17" t="n">
        <v>0.625</v>
      </c>
      <c r="E2725" t="inlineStr">
        <is>
          <t>Day</t>
        </is>
      </c>
      <c r="F2725" t="inlineStr">
        <is>
          <t>Sep</t>
        </is>
      </c>
      <c r="G2725" s="18">
        <f>IF(D2725&lt;C2725,D2725+1-C2725,D2725-C2725)*24</f>
        <v/>
      </c>
      <c r="H2725" s="18">
        <f>MAX(0,G2725-8)</f>
        <v/>
      </c>
    </row>
    <row r="2726">
      <c r="A2726" t="n">
        <v>1220</v>
      </c>
      <c r="B2726" s="14" t="n">
        <v>46275</v>
      </c>
      <c r="C2726" s="17" t="n">
        <v>0.25</v>
      </c>
      <c r="D2726" s="17" t="n">
        <v>0.5833333333333334</v>
      </c>
      <c r="E2726" t="inlineStr">
        <is>
          <t>Day</t>
        </is>
      </c>
      <c r="F2726" t="inlineStr">
        <is>
          <t>Sep</t>
        </is>
      </c>
      <c r="G2726" s="18">
        <f>IF(D2726&lt;C2726,D2726+1-C2726,D2726-C2726)*24</f>
        <v/>
      </c>
      <c r="H2726" s="18">
        <f>MAX(0,G2726-8)</f>
        <v/>
      </c>
    </row>
    <row r="2727">
      <c r="A2727" t="n">
        <v>1101</v>
      </c>
      <c r="B2727" s="14" t="n">
        <v>46276</v>
      </c>
      <c r="C2727" s="17" t="n">
        <v>0.9166666666666666</v>
      </c>
      <c r="D2727" s="17" t="n">
        <v>0.2708333333333333</v>
      </c>
      <c r="E2727" t="inlineStr">
        <is>
          <t>Night</t>
        </is>
      </c>
      <c r="F2727" t="inlineStr">
        <is>
          <t>Sep</t>
        </is>
      </c>
      <c r="G2727" s="18">
        <f>IF(D2727&lt;C2727,D2727+1-C2727,D2727-C2727)*24</f>
        <v/>
      </c>
      <c r="H2727" s="18">
        <f>MAX(0,G2727-8)</f>
        <v/>
      </c>
    </row>
    <row r="2728">
      <c r="A2728" t="n">
        <v>1103</v>
      </c>
      <c r="B2728" s="14" t="n">
        <v>46276</v>
      </c>
      <c r="C2728" s="17" t="n">
        <v>0.9375</v>
      </c>
      <c r="D2728" s="17" t="n">
        <v>0.3958333333333333</v>
      </c>
      <c r="E2728" t="inlineStr">
        <is>
          <t>Night</t>
        </is>
      </c>
      <c r="F2728" t="inlineStr">
        <is>
          <t>Sep</t>
        </is>
      </c>
      <c r="G2728" s="18">
        <f>IF(D2728&lt;C2728,D2728+1-C2728,D2728-C2728)*24</f>
        <v/>
      </c>
      <c r="H2728" s="18">
        <f>MAX(0,G2728-8)</f>
        <v/>
      </c>
    </row>
    <row r="2729">
      <c r="A2729" t="n">
        <v>1106</v>
      </c>
      <c r="B2729" s="14" t="n">
        <v>46276</v>
      </c>
      <c r="C2729" s="17" t="n">
        <v>0.9166666666666666</v>
      </c>
      <c r="D2729" s="17" t="n">
        <v>0.3958333333333333</v>
      </c>
      <c r="E2729" t="inlineStr">
        <is>
          <t>Night</t>
        </is>
      </c>
      <c r="F2729" t="inlineStr">
        <is>
          <t>Sep</t>
        </is>
      </c>
      <c r="G2729" s="18">
        <f>IF(D2729&lt;C2729,D2729+1-C2729,D2729-C2729)*24</f>
        <v/>
      </c>
      <c r="H2729" s="18">
        <f>MAX(0,G2729-8)</f>
        <v/>
      </c>
    </row>
    <row r="2730">
      <c r="A2730" t="n">
        <v>1110</v>
      </c>
      <c r="B2730" s="14" t="n">
        <v>46276</v>
      </c>
      <c r="C2730" s="17" t="n">
        <v>0.9166666666666666</v>
      </c>
      <c r="D2730" s="17" t="n">
        <v>0.2708333333333333</v>
      </c>
      <c r="E2730" t="inlineStr">
        <is>
          <t>Night</t>
        </is>
      </c>
      <c r="F2730" t="inlineStr">
        <is>
          <t>Sep</t>
        </is>
      </c>
      <c r="G2730" s="18">
        <f>IF(D2730&lt;C2730,D2730+1-C2730,D2730-C2730)*24</f>
        <v/>
      </c>
      <c r="H2730" s="18">
        <f>MAX(0,G2730-8)</f>
        <v/>
      </c>
    </row>
    <row r="2731">
      <c r="A2731" t="n">
        <v>1111</v>
      </c>
      <c r="B2731" s="14" t="n">
        <v>46276</v>
      </c>
      <c r="C2731" s="17" t="n">
        <v>0.9166666666666666</v>
      </c>
      <c r="D2731" s="17" t="n">
        <v>0.3541666666666667</v>
      </c>
      <c r="E2731" t="inlineStr">
        <is>
          <t>Night</t>
        </is>
      </c>
      <c r="F2731" t="inlineStr">
        <is>
          <t>Sep</t>
        </is>
      </c>
      <c r="G2731" s="18">
        <f>IF(D2731&lt;C2731,D2731+1-C2731,D2731-C2731)*24</f>
        <v/>
      </c>
      <c r="H2731" s="18">
        <f>MAX(0,G2731-8)</f>
        <v/>
      </c>
    </row>
    <row r="2732">
      <c r="A2732" t="n">
        <v>1112</v>
      </c>
      <c r="B2732" s="14" t="n">
        <v>46276</v>
      </c>
      <c r="C2732" s="17" t="n">
        <v>0.9166666666666666</v>
      </c>
      <c r="D2732" s="17" t="n">
        <v>0.3125</v>
      </c>
      <c r="E2732" t="inlineStr">
        <is>
          <t>Night</t>
        </is>
      </c>
      <c r="F2732" t="inlineStr">
        <is>
          <t>Sep</t>
        </is>
      </c>
      <c r="G2732" s="18">
        <f>IF(D2732&lt;C2732,D2732+1-C2732,D2732-C2732)*24</f>
        <v/>
      </c>
      <c r="H2732" s="18">
        <f>MAX(0,G2732-8)</f>
        <v/>
      </c>
    </row>
    <row r="2733">
      <c r="A2733" t="n">
        <v>1113</v>
      </c>
      <c r="B2733" s="14" t="n">
        <v>46276</v>
      </c>
      <c r="C2733" s="17" t="n">
        <v>0.9270833333333334</v>
      </c>
      <c r="D2733" s="17" t="n">
        <v>0.28125</v>
      </c>
      <c r="E2733" t="inlineStr">
        <is>
          <t>Night</t>
        </is>
      </c>
      <c r="F2733" t="inlineStr">
        <is>
          <t>Sep</t>
        </is>
      </c>
      <c r="G2733" s="18">
        <f>IF(D2733&lt;C2733,D2733+1-C2733,D2733-C2733)*24</f>
        <v/>
      </c>
      <c r="H2733" s="18">
        <f>MAX(0,G2733-8)</f>
        <v/>
      </c>
    </row>
    <row r="2734">
      <c r="A2734" t="n">
        <v>1114</v>
      </c>
      <c r="B2734" s="14" t="n">
        <v>46276</v>
      </c>
      <c r="C2734" s="17" t="n">
        <v>0.9166666666666666</v>
      </c>
      <c r="D2734" s="17" t="n">
        <v>0.25</v>
      </c>
      <c r="E2734" t="inlineStr">
        <is>
          <t>Night</t>
        </is>
      </c>
      <c r="F2734" t="inlineStr">
        <is>
          <t>Sep</t>
        </is>
      </c>
      <c r="G2734" s="18">
        <f>IF(D2734&lt;C2734,D2734+1-C2734,D2734-C2734)*24</f>
        <v/>
      </c>
      <c r="H2734" s="18">
        <f>MAX(0,G2734-8)</f>
        <v/>
      </c>
    </row>
    <row r="2735">
      <c r="A2735" t="n">
        <v>1115</v>
      </c>
      <c r="B2735" s="14" t="n">
        <v>46276</v>
      </c>
      <c r="C2735" s="17" t="n">
        <v>0.9375</v>
      </c>
      <c r="D2735" s="17" t="n">
        <v>0.4166666666666667</v>
      </c>
      <c r="E2735" t="inlineStr">
        <is>
          <t>Night</t>
        </is>
      </c>
      <c r="F2735" t="inlineStr">
        <is>
          <t>Sep</t>
        </is>
      </c>
      <c r="G2735" s="18">
        <f>IF(D2735&lt;C2735,D2735+1-C2735,D2735-C2735)*24</f>
        <v/>
      </c>
      <c r="H2735" s="18">
        <f>MAX(0,G2735-8)</f>
        <v/>
      </c>
    </row>
    <row r="2736">
      <c r="A2736" t="n">
        <v>1116</v>
      </c>
      <c r="B2736" s="14" t="n">
        <v>46276</v>
      </c>
      <c r="C2736" s="17" t="n">
        <v>0.9375</v>
      </c>
      <c r="D2736" s="17" t="n">
        <v>0.375</v>
      </c>
      <c r="E2736" t="inlineStr">
        <is>
          <t>Night</t>
        </is>
      </c>
      <c r="F2736" t="inlineStr">
        <is>
          <t>Sep</t>
        </is>
      </c>
      <c r="G2736" s="18">
        <f>IF(D2736&lt;C2736,D2736+1-C2736,D2736-C2736)*24</f>
        <v/>
      </c>
      <c r="H2736" s="18">
        <f>MAX(0,G2736-8)</f>
        <v/>
      </c>
    </row>
    <row r="2737">
      <c r="A2737" t="n">
        <v>1117</v>
      </c>
      <c r="B2737" s="14" t="n">
        <v>46276</v>
      </c>
      <c r="C2737" s="17" t="n">
        <v>0.9166666666666666</v>
      </c>
      <c r="D2737" s="17" t="n">
        <v>0.375</v>
      </c>
      <c r="E2737" t="inlineStr">
        <is>
          <t>Night</t>
        </is>
      </c>
      <c r="F2737" t="inlineStr">
        <is>
          <t>Sep</t>
        </is>
      </c>
      <c r="G2737" s="18">
        <f>IF(D2737&lt;C2737,D2737+1-C2737,D2737-C2737)*24</f>
        <v/>
      </c>
      <c r="H2737" s="18">
        <f>MAX(0,G2737-8)</f>
        <v/>
      </c>
    </row>
    <row r="2738">
      <c r="A2738" t="n">
        <v>1118</v>
      </c>
      <c r="B2738" s="14" t="n">
        <v>46276</v>
      </c>
      <c r="C2738" s="17" t="n">
        <v>0.9166666666666666</v>
      </c>
      <c r="D2738" s="17" t="n">
        <v>0.3333333333333333</v>
      </c>
      <c r="E2738" t="inlineStr">
        <is>
          <t>Night</t>
        </is>
      </c>
      <c r="F2738" t="inlineStr">
        <is>
          <t>Sep</t>
        </is>
      </c>
      <c r="G2738" s="18">
        <f>IF(D2738&lt;C2738,D2738+1-C2738,D2738-C2738)*24</f>
        <v/>
      </c>
      <c r="H2738" s="18">
        <f>MAX(0,G2738-8)</f>
        <v/>
      </c>
    </row>
    <row r="2739">
      <c r="A2739" t="n">
        <v>1119</v>
      </c>
      <c r="B2739" s="14" t="n">
        <v>46276</v>
      </c>
      <c r="C2739" s="17" t="n">
        <v>0.9166666666666666</v>
      </c>
      <c r="D2739" s="17" t="n">
        <v>0.25</v>
      </c>
      <c r="E2739" t="inlineStr">
        <is>
          <t>Night</t>
        </is>
      </c>
      <c r="F2739" t="inlineStr">
        <is>
          <t>Sep</t>
        </is>
      </c>
      <c r="G2739" s="18">
        <f>IF(D2739&lt;C2739,D2739+1-C2739,D2739-C2739)*24</f>
        <v/>
      </c>
      <c r="H2739" s="18">
        <f>MAX(0,G2739-8)</f>
        <v/>
      </c>
    </row>
    <row r="2740">
      <c r="A2740" t="n">
        <v>1120</v>
      </c>
      <c r="B2740" s="14" t="n">
        <v>46276</v>
      </c>
      <c r="C2740" s="17" t="n">
        <v>0.9375</v>
      </c>
      <c r="D2740" s="17" t="n">
        <v>0.3125</v>
      </c>
      <c r="E2740" t="inlineStr">
        <is>
          <t>Night</t>
        </is>
      </c>
      <c r="F2740" t="inlineStr">
        <is>
          <t>Sep</t>
        </is>
      </c>
      <c r="G2740" s="18">
        <f>IF(D2740&lt;C2740,D2740+1-C2740,D2740-C2740)*24</f>
        <v/>
      </c>
      <c r="H2740" s="18">
        <f>MAX(0,G2740-8)</f>
        <v/>
      </c>
    </row>
    <row r="2741">
      <c r="A2741" t="n">
        <v>1122</v>
      </c>
      <c r="B2741" s="14" t="n">
        <v>46276</v>
      </c>
      <c r="C2741" s="17" t="n">
        <v>0.9166666666666666</v>
      </c>
      <c r="D2741" s="17" t="n">
        <v>0.3125</v>
      </c>
      <c r="E2741" t="inlineStr">
        <is>
          <t>Night</t>
        </is>
      </c>
      <c r="F2741" t="inlineStr">
        <is>
          <t>Sep</t>
        </is>
      </c>
      <c r="G2741" s="18">
        <f>IF(D2741&lt;C2741,D2741+1-C2741,D2741-C2741)*24</f>
        <v/>
      </c>
      <c r="H2741" s="18">
        <f>MAX(0,G2741-8)</f>
        <v/>
      </c>
    </row>
    <row r="2742">
      <c r="A2742" t="n">
        <v>1123</v>
      </c>
      <c r="B2742" s="14" t="n">
        <v>46276</v>
      </c>
      <c r="C2742" s="17" t="n">
        <v>0.9270833333333334</v>
      </c>
      <c r="D2742" s="17" t="n">
        <v>0.2604166666666667</v>
      </c>
      <c r="E2742" t="inlineStr">
        <is>
          <t>Night</t>
        </is>
      </c>
      <c r="F2742" t="inlineStr">
        <is>
          <t>Sep</t>
        </is>
      </c>
      <c r="G2742" s="18">
        <f>IF(D2742&lt;C2742,D2742+1-C2742,D2742-C2742)*24</f>
        <v/>
      </c>
      <c r="H2742" s="18">
        <f>MAX(0,G2742-8)</f>
        <v/>
      </c>
    </row>
    <row r="2743">
      <c r="A2743" t="n">
        <v>1124</v>
      </c>
      <c r="B2743" s="14" t="n">
        <v>46276</v>
      </c>
      <c r="C2743" s="17" t="n">
        <v>0.9166666666666666</v>
      </c>
      <c r="D2743" s="17" t="n">
        <v>0.3125</v>
      </c>
      <c r="E2743" t="inlineStr">
        <is>
          <t>Night</t>
        </is>
      </c>
      <c r="F2743" t="inlineStr">
        <is>
          <t>Sep</t>
        </is>
      </c>
      <c r="G2743" s="18">
        <f>IF(D2743&lt;C2743,D2743+1-C2743,D2743-C2743)*24</f>
        <v/>
      </c>
      <c r="H2743" s="18">
        <f>MAX(0,G2743-8)</f>
        <v/>
      </c>
    </row>
    <row r="2744">
      <c r="A2744" t="n">
        <v>1126</v>
      </c>
      <c r="B2744" s="14" t="n">
        <v>46276</v>
      </c>
      <c r="C2744" s="17" t="n">
        <v>0.9166666666666666</v>
      </c>
      <c r="D2744" s="17" t="n">
        <v>0.3958333333333333</v>
      </c>
      <c r="E2744" t="inlineStr">
        <is>
          <t>Night</t>
        </is>
      </c>
      <c r="F2744" t="inlineStr">
        <is>
          <t>Sep</t>
        </is>
      </c>
      <c r="G2744" s="18">
        <f>IF(D2744&lt;C2744,D2744+1-C2744,D2744-C2744)*24</f>
        <v/>
      </c>
      <c r="H2744" s="18">
        <f>MAX(0,G2744-8)</f>
        <v/>
      </c>
    </row>
    <row r="2745">
      <c r="A2745" t="n">
        <v>1127</v>
      </c>
      <c r="B2745" s="14" t="n">
        <v>46276</v>
      </c>
      <c r="C2745" s="17" t="n">
        <v>0.9166666666666666</v>
      </c>
      <c r="D2745" s="17" t="n">
        <v>0.375</v>
      </c>
      <c r="E2745" t="inlineStr">
        <is>
          <t>Night</t>
        </is>
      </c>
      <c r="F2745" t="inlineStr">
        <is>
          <t>Sep</t>
        </is>
      </c>
      <c r="G2745" s="18">
        <f>IF(D2745&lt;C2745,D2745+1-C2745,D2745-C2745)*24</f>
        <v/>
      </c>
      <c r="H2745" s="18">
        <f>MAX(0,G2745-8)</f>
        <v/>
      </c>
    </row>
    <row r="2746">
      <c r="A2746" t="n">
        <v>1128</v>
      </c>
      <c r="B2746" s="14" t="n">
        <v>46276</v>
      </c>
      <c r="C2746" s="17" t="n">
        <v>0.9270833333333334</v>
      </c>
      <c r="D2746" s="17" t="n">
        <v>0.3229166666666667</v>
      </c>
      <c r="E2746" t="inlineStr">
        <is>
          <t>Night</t>
        </is>
      </c>
      <c r="F2746" t="inlineStr">
        <is>
          <t>Sep</t>
        </is>
      </c>
      <c r="G2746" s="18">
        <f>IF(D2746&lt;C2746,D2746+1-C2746,D2746-C2746)*24</f>
        <v/>
      </c>
      <c r="H2746" s="18">
        <f>MAX(0,G2746-8)</f>
        <v/>
      </c>
    </row>
    <row r="2747">
      <c r="A2747" t="n">
        <v>1129</v>
      </c>
      <c r="B2747" s="14" t="n">
        <v>46276</v>
      </c>
      <c r="C2747" s="17" t="n">
        <v>0.9166666666666666</v>
      </c>
      <c r="D2747" s="17" t="n">
        <v>0.3125</v>
      </c>
      <c r="E2747" t="inlineStr">
        <is>
          <t>Night</t>
        </is>
      </c>
      <c r="F2747" t="inlineStr">
        <is>
          <t>Sep</t>
        </is>
      </c>
      <c r="G2747" s="18">
        <f>IF(D2747&lt;C2747,D2747+1-C2747,D2747-C2747)*24</f>
        <v/>
      </c>
      <c r="H2747" s="18">
        <f>MAX(0,G2747-8)</f>
        <v/>
      </c>
    </row>
    <row r="2748">
      <c r="A2748" t="n">
        <v>1130</v>
      </c>
      <c r="B2748" s="14" t="n">
        <v>46276</v>
      </c>
      <c r="C2748" s="17" t="n">
        <v>0.9166666666666666</v>
      </c>
      <c r="D2748" s="17" t="n">
        <v>0.2916666666666667</v>
      </c>
      <c r="E2748" t="inlineStr">
        <is>
          <t>Night</t>
        </is>
      </c>
      <c r="F2748" t="inlineStr">
        <is>
          <t>Sep</t>
        </is>
      </c>
      <c r="G2748" s="18">
        <f>IF(D2748&lt;C2748,D2748+1-C2748,D2748-C2748)*24</f>
        <v/>
      </c>
      <c r="H2748" s="18">
        <f>MAX(0,G2748-8)</f>
        <v/>
      </c>
    </row>
    <row r="2749">
      <c r="A2749" t="n">
        <v>1131</v>
      </c>
      <c r="B2749" s="14" t="n">
        <v>46276</v>
      </c>
      <c r="C2749" s="17" t="n">
        <v>0.9166666666666666</v>
      </c>
      <c r="D2749" s="17" t="n">
        <v>0.25</v>
      </c>
      <c r="E2749" t="inlineStr">
        <is>
          <t>Night</t>
        </is>
      </c>
      <c r="F2749" t="inlineStr">
        <is>
          <t>Sep</t>
        </is>
      </c>
      <c r="G2749" s="18">
        <f>IF(D2749&lt;C2749,D2749+1-C2749,D2749-C2749)*24</f>
        <v/>
      </c>
      <c r="H2749" s="18">
        <f>MAX(0,G2749-8)</f>
        <v/>
      </c>
    </row>
    <row r="2750">
      <c r="A2750" t="n">
        <v>1132</v>
      </c>
      <c r="B2750" s="14" t="n">
        <v>46276</v>
      </c>
      <c r="C2750" s="17" t="n">
        <v>0.9166666666666666</v>
      </c>
      <c r="D2750" s="17" t="n">
        <v>0.25</v>
      </c>
      <c r="E2750" t="inlineStr">
        <is>
          <t>Night</t>
        </is>
      </c>
      <c r="F2750" t="inlineStr">
        <is>
          <t>Sep</t>
        </is>
      </c>
      <c r="G2750" s="18">
        <f>IF(D2750&lt;C2750,D2750+1-C2750,D2750-C2750)*24</f>
        <v/>
      </c>
      <c r="H2750" s="18">
        <f>MAX(0,G2750-8)</f>
        <v/>
      </c>
    </row>
    <row r="2751">
      <c r="A2751" t="n">
        <v>1133</v>
      </c>
      <c r="B2751" s="14" t="n">
        <v>46276</v>
      </c>
      <c r="C2751" s="17" t="n">
        <v>0.9375</v>
      </c>
      <c r="D2751" s="17" t="n">
        <v>0.2708333333333333</v>
      </c>
      <c r="E2751" t="inlineStr">
        <is>
          <t>Night</t>
        </is>
      </c>
      <c r="F2751" t="inlineStr">
        <is>
          <t>Sep</t>
        </is>
      </c>
      <c r="G2751" s="18">
        <f>IF(D2751&lt;C2751,D2751+1-C2751,D2751-C2751)*24</f>
        <v/>
      </c>
      <c r="H2751" s="18">
        <f>MAX(0,G2751-8)</f>
        <v/>
      </c>
    </row>
    <row r="2752">
      <c r="A2752" t="n">
        <v>1134</v>
      </c>
      <c r="B2752" s="14" t="n">
        <v>46276</v>
      </c>
      <c r="C2752" s="17" t="n">
        <v>0.9270833333333334</v>
      </c>
      <c r="D2752" s="17" t="n">
        <v>0.28125</v>
      </c>
      <c r="E2752" t="inlineStr">
        <is>
          <t>Night</t>
        </is>
      </c>
      <c r="F2752" t="inlineStr">
        <is>
          <t>Sep</t>
        </is>
      </c>
      <c r="G2752" s="18">
        <f>IF(D2752&lt;C2752,D2752+1-C2752,D2752-C2752)*24</f>
        <v/>
      </c>
      <c r="H2752" s="18">
        <f>MAX(0,G2752-8)</f>
        <v/>
      </c>
    </row>
    <row r="2753">
      <c r="A2753" t="n">
        <v>1135</v>
      </c>
      <c r="B2753" s="14" t="n">
        <v>46276</v>
      </c>
      <c r="C2753" s="17" t="n">
        <v>0.9166666666666666</v>
      </c>
      <c r="D2753" s="17" t="n">
        <v>0.3958333333333333</v>
      </c>
      <c r="E2753" t="inlineStr">
        <is>
          <t>Night</t>
        </is>
      </c>
      <c r="F2753" t="inlineStr">
        <is>
          <t>Sep</t>
        </is>
      </c>
      <c r="G2753" s="18">
        <f>IF(D2753&lt;C2753,D2753+1-C2753,D2753-C2753)*24</f>
        <v/>
      </c>
      <c r="H2753" s="18">
        <f>MAX(0,G2753-8)</f>
        <v/>
      </c>
    </row>
    <row r="2754">
      <c r="A2754" t="n">
        <v>1136</v>
      </c>
      <c r="B2754" s="14" t="n">
        <v>46276</v>
      </c>
      <c r="C2754" s="17" t="n">
        <v>0.9166666666666666</v>
      </c>
      <c r="D2754" s="17" t="n">
        <v>0.2708333333333333</v>
      </c>
      <c r="E2754" t="inlineStr">
        <is>
          <t>Night</t>
        </is>
      </c>
      <c r="F2754" t="inlineStr">
        <is>
          <t>Sep</t>
        </is>
      </c>
      <c r="G2754" s="18">
        <f>IF(D2754&lt;C2754,D2754+1-C2754,D2754-C2754)*24</f>
        <v/>
      </c>
      <c r="H2754" s="18">
        <f>MAX(0,G2754-8)</f>
        <v/>
      </c>
    </row>
    <row r="2755">
      <c r="A2755" t="n">
        <v>1137</v>
      </c>
      <c r="B2755" s="14" t="n">
        <v>46276</v>
      </c>
      <c r="C2755" s="17" t="n">
        <v>0.9166666666666666</v>
      </c>
      <c r="D2755" s="17" t="n">
        <v>0.2708333333333333</v>
      </c>
      <c r="E2755" t="inlineStr">
        <is>
          <t>Night</t>
        </is>
      </c>
      <c r="F2755" t="inlineStr">
        <is>
          <t>Sep</t>
        </is>
      </c>
      <c r="G2755" s="18">
        <f>IF(D2755&lt;C2755,D2755+1-C2755,D2755-C2755)*24</f>
        <v/>
      </c>
      <c r="H2755" s="18">
        <f>MAX(0,G2755-8)</f>
        <v/>
      </c>
    </row>
    <row r="2756">
      <c r="A2756" t="n">
        <v>1147</v>
      </c>
      <c r="B2756" s="14" t="n">
        <v>46276</v>
      </c>
      <c r="C2756" s="17" t="n">
        <v>0.9166666666666666</v>
      </c>
      <c r="D2756" s="17" t="n">
        <v>0.3125</v>
      </c>
      <c r="E2756" t="inlineStr">
        <is>
          <t>Night</t>
        </is>
      </c>
      <c r="F2756" t="inlineStr">
        <is>
          <t>Sep</t>
        </is>
      </c>
      <c r="G2756" s="18">
        <f>IF(D2756&lt;C2756,D2756+1-C2756,D2756-C2756)*24</f>
        <v/>
      </c>
      <c r="H2756" s="18">
        <f>MAX(0,G2756-8)</f>
        <v/>
      </c>
    </row>
    <row r="2757">
      <c r="A2757" t="n">
        <v>1102</v>
      </c>
      <c r="B2757" s="14" t="n">
        <v>46276</v>
      </c>
      <c r="C2757" s="17" t="n">
        <v>0.01041666666666667</v>
      </c>
      <c r="D2757" s="17" t="n">
        <v>0.3645833333333333</v>
      </c>
      <c r="E2757" t="inlineStr">
        <is>
          <t>Night</t>
        </is>
      </c>
      <c r="F2757" t="inlineStr">
        <is>
          <t>Sep</t>
        </is>
      </c>
      <c r="G2757" s="18">
        <f>IF(D2757&lt;C2757,D2757+1-C2757,D2757-C2757)*24</f>
        <v/>
      </c>
      <c r="H2757" s="18">
        <f>MAX(0,G2757-8)</f>
        <v/>
      </c>
    </row>
    <row r="2758">
      <c r="A2758" t="n">
        <v>1107</v>
      </c>
      <c r="B2758" s="14" t="n">
        <v>46276</v>
      </c>
      <c r="C2758" s="17" t="n">
        <v>0.01041666666666667</v>
      </c>
      <c r="D2758" s="17" t="n">
        <v>0.4270833333333333</v>
      </c>
      <c r="E2758" t="inlineStr">
        <is>
          <t>Night</t>
        </is>
      </c>
      <c r="F2758" t="inlineStr">
        <is>
          <t>Sep</t>
        </is>
      </c>
      <c r="G2758" s="18">
        <f>IF(D2758&lt;C2758,D2758+1-C2758,D2758-C2758)*24</f>
        <v/>
      </c>
      <c r="H2758" s="18">
        <f>MAX(0,G2758-8)</f>
        <v/>
      </c>
    </row>
    <row r="2759">
      <c r="A2759" t="n">
        <v>1121</v>
      </c>
      <c r="B2759" s="14" t="n">
        <v>46276</v>
      </c>
      <c r="C2759" s="17" t="n">
        <v>0.01041666666666667</v>
      </c>
      <c r="D2759" s="17" t="n">
        <v>0.40625</v>
      </c>
      <c r="E2759" t="inlineStr">
        <is>
          <t>Night</t>
        </is>
      </c>
      <c r="F2759" t="inlineStr">
        <is>
          <t>Sep</t>
        </is>
      </c>
      <c r="G2759" s="18">
        <f>IF(D2759&lt;C2759,D2759+1-C2759,D2759-C2759)*24</f>
        <v/>
      </c>
      <c r="H2759" s="18">
        <f>MAX(0,G2759-8)</f>
        <v/>
      </c>
    </row>
    <row r="2760">
      <c r="A2760" t="n">
        <v>1125</v>
      </c>
      <c r="B2760" s="14" t="n">
        <v>46276</v>
      </c>
      <c r="C2760" s="17" t="n">
        <v>0.01041666666666667</v>
      </c>
      <c r="D2760" s="17" t="n">
        <v>0.34375</v>
      </c>
      <c r="E2760" t="inlineStr">
        <is>
          <t>Night</t>
        </is>
      </c>
      <c r="F2760" t="inlineStr">
        <is>
          <t>Sep</t>
        </is>
      </c>
      <c r="G2760" s="18">
        <f>IF(D2760&lt;C2760,D2760+1-C2760,D2760-C2760)*24</f>
        <v/>
      </c>
      <c r="H2760" s="18">
        <f>MAX(0,G2760-8)</f>
        <v/>
      </c>
    </row>
    <row r="2761">
      <c r="A2761" t="n">
        <v>1201</v>
      </c>
      <c r="B2761" s="14" t="n">
        <v>46276</v>
      </c>
      <c r="C2761" s="17" t="n">
        <v>0.25</v>
      </c>
      <c r="D2761" s="17" t="n">
        <v>0.6041666666666666</v>
      </c>
      <c r="E2761" t="inlineStr">
        <is>
          <t>Day</t>
        </is>
      </c>
      <c r="F2761" t="inlineStr">
        <is>
          <t>Sep</t>
        </is>
      </c>
      <c r="G2761" s="18">
        <f>IF(D2761&lt;C2761,D2761+1-C2761,D2761-C2761)*24</f>
        <v/>
      </c>
      <c r="H2761" s="18">
        <f>MAX(0,G2761-8)</f>
        <v/>
      </c>
    </row>
    <row r="2762">
      <c r="A2762" t="n">
        <v>1202</v>
      </c>
      <c r="B2762" s="14" t="n">
        <v>46276</v>
      </c>
      <c r="C2762" s="17" t="n">
        <v>0.25</v>
      </c>
      <c r="D2762" s="17" t="n">
        <v>0.6666666666666666</v>
      </c>
      <c r="E2762" t="inlineStr">
        <is>
          <t>Day</t>
        </is>
      </c>
      <c r="F2762" t="inlineStr">
        <is>
          <t>Sep</t>
        </is>
      </c>
      <c r="G2762" s="18">
        <f>IF(D2762&lt;C2762,D2762+1-C2762,D2762-C2762)*24</f>
        <v/>
      </c>
      <c r="H2762" s="18">
        <f>MAX(0,G2762-8)</f>
        <v/>
      </c>
    </row>
    <row r="2763">
      <c r="A2763" t="n">
        <v>1203</v>
      </c>
      <c r="B2763" s="14" t="n">
        <v>46276</v>
      </c>
      <c r="C2763" s="17" t="n">
        <v>0.2708333333333333</v>
      </c>
      <c r="D2763" s="17" t="n">
        <v>0.6041666666666666</v>
      </c>
      <c r="E2763" t="inlineStr">
        <is>
          <t>Day</t>
        </is>
      </c>
      <c r="F2763" t="inlineStr">
        <is>
          <t>Sep</t>
        </is>
      </c>
      <c r="G2763" s="18">
        <f>IF(D2763&lt;C2763,D2763+1-C2763,D2763-C2763)*24</f>
        <v/>
      </c>
      <c r="H2763" s="18">
        <f>MAX(0,G2763-8)</f>
        <v/>
      </c>
    </row>
    <row r="2764">
      <c r="A2764" t="n">
        <v>1204</v>
      </c>
      <c r="B2764" s="14" t="n">
        <v>46276</v>
      </c>
      <c r="C2764" s="17" t="n">
        <v>0.25</v>
      </c>
      <c r="D2764" s="17" t="n">
        <v>0.5833333333333334</v>
      </c>
      <c r="E2764" t="inlineStr">
        <is>
          <t>Day</t>
        </is>
      </c>
      <c r="F2764" t="inlineStr">
        <is>
          <t>Sep</t>
        </is>
      </c>
      <c r="G2764" s="18">
        <f>IF(D2764&lt;C2764,D2764+1-C2764,D2764-C2764)*24</f>
        <v/>
      </c>
      <c r="H2764" s="18">
        <f>MAX(0,G2764-8)</f>
        <v/>
      </c>
    </row>
    <row r="2765">
      <c r="A2765" t="n">
        <v>1205</v>
      </c>
      <c r="B2765" s="14" t="n">
        <v>46276</v>
      </c>
      <c r="C2765" s="17" t="n">
        <v>0.25</v>
      </c>
      <c r="D2765" s="17" t="n">
        <v>0.6041666666666666</v>
      </c>
      <c r="E2765" t="inlineStr">
        <is>
          <t>Day</t>
        </is>
      </c>
      <c r="F2765" t="inlineStr">
        <is>
          <t>Sep</t>
        </is>
      </c>
      <c r="G2765" s="18">
        <f>IF(D2765&lt;C2765,D2765+1-C2765,D2765-C2765)*24</f>
        <v/>
      </c>
      <c r="H2765" s="18">
        <f>MAX(0,G2765-8)</f>
        <v/>
      </c>
    </row>
    <row r="2766">
      <c r="A2766" t="n">
        <v>1206</v>
      </c>
      <c r="B2766" s="14" t="n">
        <v>46276</v>
      </c>
      <c r="C2766" s="17" t="n">
        <v>0.25</v>
      </c>
      <c r="D2766" s="17" t="n">
        <v>0.5833333333333334</v>
      </c>
      <c r="E2766" t="inlineStr">
        <is>
          <t>Day</t>
        </is>
      </c>
      <c r="F2766" t="inlineStr">
        <is>
          <t>Sep</t>
        </is>
      </c>
      <c r="G2766" s="18">
        <f>IF(D2766&lt;C2766,D2766+1-C2766,D2766-C2766)*24</f>
        <v/>
      </c>
      <c r="H2766" s="18">
        <f>MAX(0,G2766-8)</f>
        <v/>
      </c>
    </row>
    <row r="2767">
      <c r="A2767" t="n">
        <v>1207</v>
      </c>
      <c r="B2767" s="14" t="n">
        <v>46276</v>
      </c>
      <c r="C2767" s="17" t="n">
        <v>0.25</v>
      </c>
      <c r="D2767" s="17" t="n">
        <v>0.625</v>
      </c>
      <c r="E2767" t="inlineStr">
        <is>
          <t>Day</t>
        </is>
      </c>
      <c r="F2767" t="inlineStr">
        <is>
          <t>Sep</t>
        </is>
      </c>
      <c r="G2767" s="18">
        <f>IF(D2767&lt;C2767,D2767+1-C2767,D2767-C2767)*24</f>
        <v/>
      </c>
      <c r="H2767" s="18">
        <f>MAX(0,G2767-8)</f>
        <v/>
      </c>
    </row>
    <row r="2768">
      <c r="A2768" t="n">
        <v>1208</v>
      </c>
      <c r="B2768" s="14" t="n">
        <v>46276</v>
      </c>
      <c r="C2768" s="17" t="n">
        <v>0.25</v>
      </c>
      <c r="D2768" s="17" t="n">
        <v>0.625</v>
      </c>
      <c r="E2768" t="inlineStr">
        <is>
          <t>Day</t>
        </is>
      </c>
      <c r="F2768" t="inlineStr">
        <is>
          <t>Sep</t>
        </is>
      </c>
      <c r="G2768" s="18">
        <f>IF(D2768&lt;C2768,D2768+1-C2768,D2768-C2768)*24</f>
        <v/>
      </c>
      <c r="H2768" s="18">
        <f>MAX(0,G2768-8)</f>
        <v/>
      </c>
    </row>
    <row r="2769">
      <c r="A2769" t="n">
        <v>1209</v>
      </c>
      <c r="B2769" s="14" t="n">
        <v>46276</v>
      </c>
      <c r="C2769" s="17" t="n">
        <v>0.2708333333333333</v>
      </c>
      <c r="D2769" s="17" t="n">
        <v>0.6041666666666666</v>
      </c>
      <c r="E2769" t="inlineStr">
        <is>
          <t>Day</t>
        </is>
      </c>
      <c r="F2769" t="inlineStr">
        <is>
          <t>Sep</t>
        </is>
      </c>
      <c r="G2769" s="18">
        <f>IF(D2769&lt;C2769,D2769+1-C2769,D2769-C2769)*24</f>
        <v/>
      </c>
      <c r="H2769" s="18">
        <f>MAX(0,G2769-8)</f>
        <v/>
      </c>
    </row>
    <row r="2770">
      <c r="A2770" t="n">
        <v>1210</v>
      </c>
      <c r="B2770" s="14" t="n">
        <v>46276</v>
      </c>
      <c r="C2770" s="17" t="n">
        <v>0.2708333333333333</v>
      </c>
      <c r="D2770" s="17" t="n">
        <v>0.625</v>
      </c>
      <c r="E2770" t="inlineStr">
        <is>
          <t>Day</t>
        </is>
      </c>
      <c r="F2770" t="inlineStr">
        <is>
          <t>Sep</t>
        </is>
      </c>
      <c r="G2770" s="18">
        <f>IF(D2770&lt;C2770,D2770+1-C2770,D2770-C2770)*24</f>
        <v/>
      </c>
      <c r="H2770" s="18">
        <f>MAX(0,G2770-8)</f>
        <v/>
      </c>
    </row>
    <row r="2771">
      <c r="A2771" t="n">
        <v>1211</v>
      </c>
      <c r="B2771" s="14" t="n">
        <v>46276</v>
      </c>
      <c r="C2771" s="17" t="n">
        <v>0.25</v>
      </c>
      <c r="D2771" s="17" t="n">
        <v>0.6041666666666666</v>
      </c>
      <c r="E2771" t="inlineStr">
        <is>
          <t>Day</t>
        </is>
      </c>
      <c r="F2771" t="inlineStr">
        <is>
          <t>Sep</t>
        </is>
      </c>
      <c r="G2771" s="18">
        <f>IF(D2771&lt;C2771,D2771+1-C2771,D2771-C2771)*24</f>
        <v/>
      </c>
      <c r="H2771" s="18">
        <f>MAX(0,G2771-8)</f>
        <v/>
      </c>
    </row>
    <row r="2772">
      <c r="A2772" t="n">
        <v>1212</v>
      </c>
      <c r="B2772" s="14" t="n">
        <v>46276</v>
      </c>
      <c r="C2772" s="17" t="n">
        <v>0.25</v>
      </c>
      <c r="D2772" s="17" t="n">
        <v>0.5833333333333334</v>
      </c>
      <c r="E2772" t="inlineStr">
        <is>
          <t>Day</t>
        </is>
      </c>
      <c r="F2772" t="inlineStr">
        <is>
          <t>Sep</t>
        </is>
      </c>
      <c r="G2772" s="18">
        <f>IF(D2772&lt;C2772,D2772+1-C2772,D2772-C2772)*24</f>
        <v/>
      </c>
      <c r="H2772" s="18">
        <f>MAX(0,G2772-8)</f>
        <v/>
      </c>
    </row>
    <row r="2773">
      <c r="A2773" t="n">
        <v>1213</v>
      </c>
      <c r="B2773" s="14" t="n">
        <v>46276</v>
      </c>
      <c r="C2773" s="17" t="n">
        <v>0.25</v>
      </c>
      <c r="D2773" s="17" t="n">
        <v>0.6666666666666666</v>
      </c>
      <c r="E2773" t="inlineStr">
        <is>
          <t>Day</t>
        </is>
      </c>
      <c r="F2773" t="inlineStr">
        <is>
          <t>Sep</t>
        </is>
      </c>
      <c r="G2773" s="18">
        <f>IF(D2773&lt;C2773,D2773+1-C2773,D2773-C2773)*24</f>
        <v/>
      </c>
      <c r="H2773" s="18">
        <f>MAX(0,G2773-8)</f>
        <v/>
      </c>
    </row>
    <row r="2774">
      <c r="A2774" t="n">
        <v>1214</v>
      </c>
      <c r="B2774" s="14" t="n">
        <v>46276</v>
      </c>
      <c r="C2774" s="17" t="n">
        <v>0.25</v>
      </c>
      <c r="D2774" s="17" t="n">
        <v>0.6041666666666666</v>
      </c>
      <c r="E2774" t="inlineStr">
        <is>
          <t>Day</t>
        </is>
      </c>
      <c r="F2774" t="inlineStr">
        <is>
          <t>Sep</t>
        </is>
      </c>
      <c r="G2774" s="18">
        <f>IF(D2774&lt;C2774,D2774+1-C2774,D2774-C2774)*24</f>
        <v/>
      </c>
      <c r="H2774" s="18">
        <f>MAX(0,G2774-8)</f>
        <v/>
      </c>
    </row>
    <row r="2775">
      <c r="A2775" t="n">
        <v>1215</v>
      </c>
      <c r="B2775" s="14" t="n">
        <v>46276</v>
      </c>
      <c r="C2775" s="17" t="n">
        <v>0.25</v>
      </c>
      <c r="D2775" s="17" t="n">
        <v>0.625</v>
      </c>
      <c r="E2775" t="inlineStr">
        <is>
          <t>Day</t>
        </is>
      </c>
      <c r="F2775" t="inlineStr">
        <is>
          <t>Sep</t>
        </is>
      </c>
      <c r="G2775" s="18">
        <f>IF(D2775&lt;C2775,D2775+1-C2775,D2775-C2775)*24</f>
        <v/>
      </c>
      <c r="H2775" s="18">
        <f>MAX(0,G2775-8)</f>
        <v/>
      </c>
    </row>
    <row r="2776">
      <c r="A2776" t="n">
        <v>1216</v>
      </c>
      <c r="B2776" s="14" t="n">
        <v>46276</v>
      </c>
      <c r="C2776" s="17" t="n">
        <v>0.25</v>
      </c>
      <c r="D2776" s="17" t="n">
        <v>0.6041666666666666</v>
      </c>
      <c r="E2776" t="inlineStr">
        <is>
          <t>Day</t>
        </is>
      </c>
      <c r="F2776" t="inlineStr">
        <is>
          <t>Sep</t>
        </is>
      </c>
      <c r="G2776" s="18">
        <f>IF(D2776&lt;C2776,D2776+1-C2776,D2776-C2776)*24</f>
        <v/>
      </c>
      <c r="H2776" s="18">
        <f>MAX(0,G2776-8)</f>
        <v/>
      </c>
    </row>
    <row r="2777">
      <c r="A2777" t="n">
        <v>1217</v>
      </c>
      <c r="B2777" s="14" t="n">
        <v>46276</v>
      </c>
      <c r="C2777" s="17" t="n">
        <v>0.25</v>
      </c>
      <c r="D2777" s="17" t="n">
        <v>0.6666666666666666</v>
      </c>
      <c r="E2777" t="inlineStr">
        <is>
          <t>Day</t>
        </is>
      </c>
      <c r="F2777" t="inlineStr">
        <is>
          <t>Sep</t>
        </is>
      </c>
      <c r="G2777" s="18">
        <f>IF(D2777&lt;C2777,D2777+1-C2777,D2777-C2777)*24</f>
        <v/>
      </c>
      <c r="H2777" s="18">
        <f>MAX(0,G2777-8)</f>
        <v/>
      </c>
    </row>
    <row r="2778">
      <c r="A2778" t="n">
        <v>1218</v>
      </c>
      <c r="B2778" s="14" t="n">
        <v>46276</v>
      </c>
      <c r="C2778" s="17" t="n">
        <v>0.25</v>
      </c>
      <c r="D2778" s="17" t="n">
        <v>0.5833333333333334</v>
      </c>
      <c r="E2778" t="inlineStr">
        <is>
          <t>Day</t>
        </is>
      </c>
      <c r="F2778" t="inlineStr">
        <is>
          <t>Sep</t>
        </is>
      </c>
      <c r="G2778" s="18">
        <f>IF(D2778&lt;C2778,D2778+1-C2778,D2778-C2778)*24</f>
        <v/>
      </c>
      <c r="H2778" s="18">
        <f>MAX(0,G2778-8)</f>
        <v/>
      </c>
    </row>
    <row r="2779">
      <c r="A2779" t="n">
        <v>1219</v>
      </c>
      <c r="B2779" s="14" t="n">
        <v>46276</v>
      </c>
      <c r="C2779" s="17" t="n">
        <v>0.2708333333333333</v>
      </c>
      <c r="D2779" s="17" t="n">
        <v>0.6041666666666666</v>
      </c>
      <c r="E2779" t="inlineStr">
        <is>
          <t>Day</t>
        </is>
      </c>
      <c r="F2779" t="inlineStr">
        <is>
          <t>Sep</t>
        </is>
      </c>
      <c r="G2779" s="18">
        <f>IF(D2779&lt;C2779,D2779+1-C2779,D2779-C2779)*24</f>
        <v/>
      </c>
      <c r="H2779" s="18">
        <f>MAX(0,G2779-8)</f>
        <v/>
      </c>
    </row>
    <row r="2780">
      <c r="A2780" t="n">
        <v>1220</v>
      </c>
      <c r="B2780" s="14" t="n">
        <v>46276</v>
      </c>
      <c r="C2780" s="17" t="n">
        <v>0.25</v>
      </c>
      <c r="D2780" s="17" t="n">
        <v>0.5833333333333334</v>
      </c>
      <c r="E2780" t="inlineStr">
        <is>
          <t>Day</t>
        </is>
      </c>
      <c r="F2780" t="inlineStr">
        <is>
          <t>Sep</t>
        </is>
      </c>
      <c r="G2780" s="18">
        <f>IF(D2780&lt;C2780,D2780+1-C2780,D2780-C2780)*24</f>
        <v/>
      </c>
      <c r="H2780" s="18">
        <f>MAX(0,G2780-8)</f>
        <v/>
      </c>
    </row>
    <row r="2781">
      <c r="A2781" t="n">
        <v>1101</v>
      </c>
      <c r="B2781" s="14" t="n">
        <v>46279</v>
      </c>
      <c r="C2781" s="17" t="n">
        <v>0.9166666666666666</v>
      </c>
      <c r="D2781" s="17" t="n">
        <v>0.2916666666666667</v>
      </c>
      <c r="E2781" t="inlineStr">
        <is>
          <t>Night</t>
        </is>
      </c>
      <c r="F2781" t="inlineStr">
        <is>
          <t>Sep</t>
        </is>
      </c>
      <c r="G2781" s="18">
        <f>IF(D2781&lt;C2781,D2781+1-C2781,D2781-C2781)*24</f>
        <v/>
      </c>
      <c r="H2781" s="18">
        <f>MAX(0,G2781-8)</f>
        <v/>
      </c>
    </row>
    <row r="2782">
      <c r="A2782" t="n">
        <v>1102</v>
      </c>
      <c r="B2782" s="14" t="n">
        <v>46279</v>
      </c>
      <c r="C2782" s="17" t="n">
        <v>0.9166666666666666</v>
      </c>
      <c r="D2782" s="17" t="n">
        <v>0.2708333333333333</v>
      </c>
      <c r="E2782" t="inlineStr">
        <is>
          <t>Night</t>
        </is>
      </c>
      <c r="F2782" t="inlineStr">
        <is>
          <t>Sep</t>
        </is>
      </c>
      <c r="G2782" s="18">
        <f>IF(D2782&lt;C2782,D2782+1-C2782,D2782-C2782)*24</f>
        <v/>
      </c>
      <c r="H2782" s="18">
        <f>MAX(0,G2782-8)</f>
        <v/>
      </c>
    </row>
    <row r="2783">
      <c r="A2783" t="n">
        <v>1103</v>
      </c>
      <c r="B2783" s="14" t="n">
        <v>46279</v>
      </c>
      <c r="C2783" s="17" t="n">
        <v>0.9166666666666666</v>
      </c>
      <c r="D2783" s="17" t="n">
        <v>0.2916666666666667</v>
      </c>
      <c r="E2783" t="inlineStr">
        <is>
          <t>Night</t>
        </is>
      </c>
      <c r="F2783" t="inlineStr">
        <is>
          <t>Sep</t>
        </is>
      </c>
      <c r="G2783" s="18">
        <f>IF(D2783&lt;C2783,D2783+1-C2783,D2783-C2783)*24</f>
        <v/>
      </c>
      <c r="H2783" s="18">
        <f>MAX(0,G2783-8)</f>
        <v/>
      </c>
    </row>
    <row r="2784">
      <c r="A2784" t="n">
        <v>1104</v>
      </c>
      <c r="B2784" s="14" t="n">
        <v>46279</v>
      </c>
      <c r="C2784" s="17" t="n">
        <v>0.9166666666666666</v>
      </c>
      <c r="D2784" s="17" t="n">
        <v>0.2708333333333333</v>
      </c>
      <c r="E2784" t="inlineStr">
        <is>
          <t>Night</t>
        </is>
      </c>
      <c r="F2784" t="inlineStr">
        <is>
          <t>Sep</t>
        </is>
      </c>
      <c r="G2784" s="18">
        <f>IF(D2784&lt;C2784,D2784+1-C2784,D2784-C2784)*24</f>
        <v/>
      </c>
      <c r="H2784" s="18">
        <f>MAX(0,G2784-8)</f>
        <v/>
      </c>
    </row>
    <row r="2785">
      <c r="A2785" t="n">
        <v>1107</v>
      </c>
      <c r="B2785" s="14" t="n">
        <v>46279</v>
      </c>
      <c r="C2785" s="17" t="n">
        <v>0.9375</v>
      </c>
      <c r="D2785" s="17" t="n">
        <v>0.2916666666666667</v>
      </c>
      <c r="E2785" t="inlineStr">
        <is>
          <t>Night</t>
        </is>
      </c>
      <c r="F2785" t="inlineStr">
        <is>
          <t>Sep</t>
        </is>
      </c>
      <c r="G2785" s="18">
        <f>IF(D2785&lt;C2785,D2785+1-C2785,D2785-C2785)*24</f>
        <v/>
      </c>
      <c r="H2785" s="18">
        <f>MAX(0,G2785-8)</f>
        <v/>
      </c>
    </row>
    <row r="2786">
      <c r="A2786" t="n">
        <v>1108</v>
      </c>
      <c r="B2786" s="14" t="n">
        <v>46279</v>
      </c>
      <c r="C2786" s="17" t="n">
        <v>0.9270833333333334</v>
      </c>
      <c r="D2786" s="17" t="n">
        <v>0.28125</v>
      </c>
      <c r="E2786" t="inlineStr">
        <is>
          <t>Night</t>
        </is>
      </c>
      <c r="F2786" t="inlineStr">
        <is>
          <t>Sep</t>
        </is>
      </c>
      <c r="G2786" s="18">
        <f>IF(D2786&lt;C2786,D2786+1-C2786,D2786-C2786)*24</f>
        <v/>
      </c>
      <c r="H2786" s="18">
        <f>MAX(0,G2786-8)</f>
        <v/>
      </c>
    </row>
    <row r="2787">
      <c r="A2787" t="n">
        <v>1110</v>
      </c>
      <c r="B2787" s="14" t="n">
        <v>46279</v>
      </c>
      <c r="C2787" s="17" t="n">
        <v>0.9270833333333334</v>
      </c>
      <c r="D2787" s="17" t="n">
        <v>0.28125</v>
      </c>
      <c r="E2787" t="inlineStr">
        <is>
          <t>Night</t>
        </is>
      </c>
      <c r="F2787" t="inlineStr">
        <is>
          <t>Sep</t>
        </is>
      </c>
      <c r="G2787" s="18">
        <f>IF(D2787&lt;C2787,D2787+1-C2787,D2787-C2787)*24</f>
        <v/>
      </c>
      <c r="H2787" s="18">
        <f>MAX(0,G2787-8)</f>
        <v/>
      </c>
    </row>
    <row r="2788">
      <c r="A2788" t="n">
        <v>1111</v>
      </c>
      <c r="B2788" s="14" t="n">
        <v>46279</v>
      </c>
      <c r="C2788" s="17" t="n">
        <v>0.9375</v>
      </c>
      <c r="D2788" s="17" t="n">
        <v>0.2708333333333333</v>
      </c>
      <c r="E2788" t="inlineStr">
        <is>
          <t>Night</t>
        </is>
      </c>
      <c r="F2788" t="inlineStr">
        <is>
          <t>Sep</t>
        </is>
      </c>
      <c r="G2788" s="18">
        <f>IF(D2788&lt;C2788,D2788+1-C2788,D2788-C2788)*24</f>
        <v/>
      </c>
      <c r="H2788" s="18">
        <f>MAX(0,G2788-8)</f>
        <v/>
      </c>
    </row>
    <row r="2789">
      <c r="A2789" t="n">
        <v>1112</v>
      </c>
      <c r="B2789" s="14" t="n">
        <v>46279</v>
      </c>
      <c r="C2789" s="17" t="n">
        <v>0.9166666666666666</v>
      </c>
      <c r="D2789" s="17" t="n">
        <v>0.2916666666666667</v>
      </c>
      <c r="E2789" t="inlineStr">
        <is>
          <t>Night</t>
        </is>
      </c>
      <c r="F2789" t="inlineStr">
        <is>
          <t>Sep</t>
        </is>
      </c>
      <c r="G2789" s="18">
        <f>IF(D2789&lt;C2789,D2789+1-C2789,D2789-C2789)*24</f>
        <v/>
      </c>
      <c r="H2789" s="18">
        <f>MAX(0,G2789-8)</f>
        <v/>
      </c>
    </row>
    <row r="2790">
      <c r="A2790" t="n">
        <v>1113</v>
      </c>
      <c r="B2790" s="14" t="n">
        <v>46279</v>
      </c>
      <c r="C2790" s="17" t="n">
        <v>0.9270833333333334</v>
      </c>
      <c r="D2790" s="17" t="n">
        <v>0.3645833333333333</v>
      </c>
      <c r="E2790" t="inlineStr">
        <is>
          <t>Night</t>
        </is>
      </c>
      <c r="F2790" t="inlineStr">
        <is>
          <t>Sep</t>
        </is>
      </c>
      <c r="G2790" s="18">
        <f>IF(D2790&lt;C2790,D2790+1-C2790,D2790-C2790)*24</f>
        <v/>
      </c>
      <c r="H2790" s="18">
        <f>MAX(0,G2790-8)</f>
        <v/>
      </c>
    </row>
    <row r="2791">
      <c r="A2791" t="n">
        <v>1114</v>
      </c>
      <c r="B2791" s="14" t="n">
        <v>46279</v>
      </c>
      <c r="C2791" s="17" t="n">
        <v>0.9270833333333334</v>
      </c>
      <c r="D2791" s="17" t="n">
        <v>0.3229166666666667</v>
      </c>
      <c r="E2791" t="inlineStr">
        <is>
          <t>Night</t>
        </is>
      </c>
      <c r="F2791" t="inlineStr">
        <is>
          <t>Sep</t>
        </is>
      </c>
      <c r="G2791" s="18">
        <f>IF(D2791&lt;C2791,D2791+1-C2791,D2791-C2791)*24</f>
        <v/>
      </c>
      <c r="H2791" s="18">
        <f>MAX(0,G2791-8)</f>
        <v/>
      </c>
    </row>
    <row r="2792">
      <c r="A2792" t="n">
        <v>1115</v>
      </c>
      <c r="B2792" s="14" t="n">
        <v>46279</v>
      </c>
      <c r="C2792" s="17" t="n">
        <v>0.9166666666666666</v>
      </c>
      <c r="D2792" s="17" t="n">
        <v>0.2708333333333333</v>
      </c>
      <c r="E2792" t="inlineStr">
        <is>
          <t>Night</t>
        </is>
      </c>
      <c r="F2792" t="inlineStr">
        <is>
          <t>Sep</t>
        </is>
      </c>
      <c r="G2792" s="18">
        <f>IF(D2792&lt;C2792,D2792+1-C2792,D2792-C2792)*24</f>
        <v/>
      </c>
      <c r="H2792" s="18">
        <f>MAX(0,G2792-8)</f>
        <v/>
      </c>
    </row>
    <row r="2793">
      <c r="A2793" t="n">
        <v>1118</v>
      </c>
      <c r="B2793" s="14" t="n">
        <v>46279</v>
      </c>
      <c r="C2793" s="17" t="n">
        <v>0.9375</v>
      </c>
      <c r="D2793" s="17" t="n">
        <v>0.2916666666666667</v>
      </c>
      <c r="E2793" t="inlineStr">
        <is>
          <t>Night</t>
        </is>
      </c>
      <c r="F2793" t="inlineStr">
        <is>
          <t>Sep</t>
        </is>
      </c>
      <c r="G2793" s="18">
        <f>IF(D2793&lt;C2793,D2793+1-C2793,D2793-C2793)*24</f>
        <v/>
      </c>
      <c r="H2793" s="18">
        <f>MAX(0,G2793-8)</f>
        <v/>
      </c>
    </row>
    <row r="2794">
      <c r="A2794" t="n">
        <v>1120</v>
      </c>
      <c r="B2794" s="14" t="n">
        <v>46279</v>
      </c>
      <c r="C2794" s="17" t="n">
        <v>0.9375</v>
      </c>
      <c r="D2794" s="17" t="n">
        <v>0.375</v>
      </c>
      <c r="E2794" t="inlineStr">
        <is>
          <t>Night</t>
        </is>
      </c>
      <c r="F2794" t="inlineStr">
        <is>
          <t>Sep</t>
        </is>
      </c>
      <c r="G2794" s="18">
        <f>IF(D2794&lt;C2794,D2794+1-C2794,D2794-C2794)*24</f>
        <v/>
      </c>
      <c r="H2794" s="18">
        <f>MAX(0,G2794-8)</f>
        <v/>
      </c>
    </row>
    <row r="2795">
      <c r="A2795" t="n">
        <v>1121</v>
      </c>
      <c r="B2795" s="14" t="n">
        <v>46279</v>
      </c>
      <c r="C2795" s="17" t="n">
        <v>0.9166666666666666</v>
      </c>
      <c r="D2795" s="17" t="n">
        <v>0.25</v>
      </c>
      <c r="E2795" t="inlineStr">
        <is>
          <t>Night</t>
        </is>
      </c>
      <c r="F2795" t="inlineStr">
        <is>
          <t>Sep</t>
        </is>
      </c>
      <c r="G2795" s="18">
        <f>IF(D2795&lt;C2795,D2795+1-C2795,D2795-C2795)*24</f>
        <v/>
      </c>
      <c r="H2795" s="18">
        <f>MAX(0,G2795-8)</f>
        <v/>
      </c>
    </row>
    <row r="2796">
      <c r="A2796" t="n">
        <v>1122</v>
      </c>
      <c r="B2796" s="14" t="n">
        <v>46279</v>
      </c>
      <c r="C2796" s="17" t="n">
        <v>0.9166666666666666</v>
      </c>
      <c r="D2796" s="17" t="n">
        <v>0.3958333333333333</v>
      </c>
      <c r="E2796" t="inlineStr">
        <is>
          <t>Night</t>
        </is>
      </c>
      <c r="F2796" t="inlineStr">
        <is>
          <t>Sep</t>
        </is>
      </c>
      <c r="G2796" s="18">
        <f>IF(D2796&lt;C2796,D2796+1-C2796,D2796-C2796)*24</f>
        <v/>
      </c>
      <c r="H2796" s="18">
        <f>MAX(0,G2796-8)</f>
        <v/>
      </c>
    </row>
    <row r="2797">
      <c r="A2797" t="n">
        <v>1123</v>
      </c>
      <c r="B2797" s="14" t="n">
        <v>46279</v>
      </c>
      <c r="C2797" s="17" t="n">
        <v>0.9270833333333334</v>
      </c>
      <c r="D2797" s="17" t="n">
        <v>0.3020833333333333</v>
      </c>
      <c r="E2797" t="inlineStr">
        <is>
          <t>Night</t>
        </is>
      </c>
      <c r="F2797" t="inlineStr">
        <is>
          <t>Sep</t>
        </is>
      </c>
      <c r="G2797" s="18">
        <f>IF(D2797&lt;C2797,D2797+1-C2797,D2797-C2797)*24</f>
        <v/>
      </c>
      <c r="H2797" s="18">
        <f>MAX(0,G2797-8)</f>
        <v/>
      </c>
    </row>
    <row r="2798">
      <c r="A2798" t="n">
        <v>1124</v>
      </c>
      <c r="B2798" s="14" t="n">
        <v>46279</v>
      </c>
      <c r="C2798" s="17" t="n">
        <v>0.9375</v>
      </c>
      <c r="D2798" s="17" t="n">
        <v>0.3125</v>
      </c>
      <c r="E2798" t="inlineStr">
        <is>
          <t>Night</t>
        </is>
      </c>
      <c r="F2798" t="inlineStr">
        <is>
          <t>Sep</t>
        </is>
      </c>
      <c r="G2798" s="18">
        <f>IF(D2798&lt;C2798,D2798+1-C2798,D2798-C2798)*24</f>
        <v/>
      </c>
      <c r="H2798" s="18">
        <f>MAX(0,G2798-8)</f>
        <v/>
      </c>
    </row>
    <row r="2799">
      <c r="A2799" t="n">
        <v>1125</v>
      </c>
      <c r="B2799" s="14" t="n">
        <v>46279</v>
      </c>
      <c r="C2799" s="17" t="n">
        <v>0.9166666666666666</v>
      </c>
      <c r="D2799" s="17" t="n">
        <v>0.3958333333333333</v>
      </c>
      <c r="E2799" t="inlineStr">
        <is>
          <t>Night</t>
        </is>
      </c>
      <c r="F2799" t="inlineStr">
        <is>
          <t>Sep</t>
        </is>
      </c>
      <c r="G2799" s="18">
        <f>IF(D2799&lt;C2799,D2799+1-C2799,D2799-C2799)*24</f>
        <v/>
      </c>
      <c r="H2799" s="18">
        <f>MAX(0,G2799-8)</f>
        <v/>
      </c>
    </row>
    <row r="2800">
      <c r="A2800" t="n">
        <v>1127</v>
      </c>
      <c r="B2800" s="14" t="n">
        <v>46279</v>
      </c>
      <c r="C2800" s="17" t="n">
        <v>0.9375</v>
      </c>
      <c r="D2800" s="17" t="n">
        <v>0.375</v>
      </c>
      <c r="E2800" t="inlineStr">
        <is>
          <t>Night</t>
        </is>
      </c>
      <c r="F2800" t="inlineStr">
        <is>
          <t>Sep</t>
        </is>
      </c>
      <c r="G2800" s="18">
        <f>IF(D2800&lt;C2800,D2800+1-C2800,D2800-C2800)*24</f>
        <v/>
      </c>
      <c r="H2800" s="18">
        <f>MAX(0,G2800-8)</f>
        <v/>
      </c>
    </row>
    <row r="2801">
      <c r="A2801" t="n">
        <v>1128</v>
      </c>
      <c r="B2801" s="14" t="n">
        <v>46279</v>
      </c>
      <c r="C2801" s="17" t="n">
        <v>0.9166666666666666</v>
      </c>
      <c r="D2801" s="17" t="n">
        <v>0.375</v>
      </c>
      <c r="E2801" t="inlineStr">
        <is>
          <t>Night</t>
        </is>
      </c>
      <c r="F2801" t="inlineStr">
        <is>
          <t>Sep</t>
        </is>
      </c>
      <c r="G2801" s="18">
        <f>IF(D2801&lt;C2801,D2801+1-C2801,D2801-C2801)*24</f>
        <v/>
      </c>
      <c r="H2801" s="18">
        <f>MAX(0,G2801-8)</f>
        <v/>
      </c>
    </row>
    <row r="2802">
      <c r="A2802" t="n">
        <v>1130</v>
      </c>
      <c r="B2802" s="14" t="n">
        <v>46279</v>
      </c>
      <c r="C2802" s="17" t="n">
        <v>0.9166666666666666</v>
      </c>
      <c r="D2802" s="17" t="n">
        <v>0.25</v>
      </c>
      <c r="E2802" t="inlineStr">
        <is>
          <t>Night</t>
        </is>
      </c>
      <c r="F2802" t="inlineStr">
        <is>
          <t>Sep</t>
        </is>
      </c>
      <c r="G2802" s="18">
        <f>IF(D2802&lt;C2802,D2802+1-C2802,D2802-C2802)*24</f>
        <v/>
      </c>
      <c r="H2802" s="18">
        <f>MAX(0,G2802-8)</f>
        <v/>
      </c>
    </row>
    <row r="2803">
      <c r="A2803" t="n">
        <v>1132</v>
      </c>
      <c r="B2803" s="14" t="n">
        <v>46279</v>
      </c>
      <c r="C2803" s="17" t="n">
        <v>0.9270833333333334</v>
      </c>
      <c r="D2803" s="17" t="n">
        <v>0.28125</v>
      </c>
      <c r="E2803" t="inlineStr">
        <is>
          <t>Night</t>
        </is>
      </c>
      <c r="F2803" t="inlineStr">
        <is>
          <t>Sep</t>
        </is>
      </c>
      <c r="G2803" s="18">
        <f>IF(D2803&lt;C2803,D2803+1-C2803,D2803-C2803)*24</f>
        <v/>
      </c>
      <c r="H2803" s="18">
        <f>MAX(0,G2803-8)</f>
        <v/>
      </c>
    </row>
    <row r="2804">
      <c r="A2804" t="n">
        <v>1133</v>
      </c>
      <c r="B2804" s="14" t="n">
        <v>46279</v>
      </c>
      <c r="C2804" s="17" t="n">
        <v>0.9166666666666666</v>
      </c>
      <c r="D2804" s="17" t="n">
        <v>0.2708333333333333</v>
      </c>
      <c r="E2804" t="inlineStr">
        <is>
          <t>Night</t>
        </is>
      </c>
      <c r="F2804" t="inlineStr">
        <is>
          <t>Sep</t>
        </is>
      </c>
      <c r="G2804" s="18">
        <f>IF(D2804&lt;C2804,D2804+1-C2804,D2804-C2804)*24</f>
        <v/>
      </c>
      <c r="H2804" s="18">
        <f>MAX(0,G2804-8)</f>
        <v/>
      </c>
    </row>
    <row r="2805">
      <c r="A2805" t="n">
        <v>1134</v>
      </c>
      <c r="B2805" s="14" t="n">
        <v>46279</v>
      </c>
      <c r="C2805" s="17" t="n">
        <v>0.9166666666666666</v>
      </c>
      <c r="D2805" s="17" t="n">
        <v>0.25</v>
      </c>
      <c r="E2805" t="inlineStr">
        <is>
          <t>Night</t>
        </is>
      </c>
      <c r="F2805" t="inlineStr">
        <is>
          <t>Sep</t>
        </is>
      </c>
      <c r="G2805" s="18">
        <f>IF(D2805&lt;C2805,D2805+1-C2805,D2805-C2805)*24</f>
        <v/>
      </c>
      <c r="H2805" s="18">
        <f>MAX(0,G2805-8)</f>
        <v/>
      </c>
    </row>
    <row r="2806">
      <c r="A2806" t="n">
        <v>1135</v>
      </c>
      <c r="B2806" s="14" t="n">
        <v>46279</v>
      </c>
      <c r="C2806" s="17" t="n">
        <v>0.9270833333333334</v>
      </c>
      <c r="D2806" s="17" t="n">
        <v>0.28125</v>
      </c>
      <c r="E2806" t="inlineStr">
        <is>
          <t>Night</t>
        </is>
      </c>
      <c r="F2806" t="inlineStr">
        <is>
          <t>Sep</t>
        </is>
      </c>
      <c r="G2806" s="18">
        <f>IF(D2806&lt;C2806,D2806+1-C2806,D2806-C2806)*24</f>
        <v/>
      </c>
      <c r="H2806" s="18">
        <f>MAX(0,G2806-8)</f>
        <v/>
      </c>
    </row>
    <row r="2807">
      <c r="A2807" t="n">
        <v>1136</v>
      </c>
      <c r="B2807" s="14" t="n">
        <v>46279</v>
      </c>
      <c r="C2807" s="17" t="n">
        <v>0.9375</v>
      </c>
      <c r="D2807" s="17" t="n">
        <v>0.2708333333333333</v>
      </c>
      <c r="E2807" t="inlineStr">
        <is>
          <t>Night</t>
        </is>
      </c>
      <c r="F2807" t="inlineStr">
        <is>
          <t>Sep</t>
        </is>
      </c>
      <c r="G2807" s="18">
        <f>IF(D2807&lt;C2807,D2807+1-C2807,D2807-C2807)*24</f>
        <v/>
      </c>
      <c r="H2807" s="18">
        <f>MAX(0,G2807-8)</f>
        <v/>
      </c>
    </row>
    <row r="2808">
      <c r="A2808" t="n">
        <v>1147</v>
      </c>
      <c r="B2808" s="14" t="n">
        <v>46279</v>
      </c>
      <c r="C2808" s="17" t="n">
        <v>0.9166666666666666</v>
      </c>
      <c r="D2808" s="17" t="n">
        <v>0.25</v>
      </c>
      <c r="E2808" t="inlineStr">
        <is>
          <t>Night</t>
        </is>
      </c>
      <c r="F2808" t="inlineStr">
        <is>
          <t>Sep</t>
        </is>
      </c>
      <c r="G2808" s="18">
        <f>IF(D2808&lt;C2808,D2808+1-C2808,D2808-C2808)*24</f>
        <v/>
      </c>
      <c r="H2808" s="18">
        <f>MAX(0,G2808-8)</f>
        <v/>
      </c>
    </row>
    <row r="2809">
      <c r="A2809" t="n">
        <v>1106</v>
      </c>
      <c r="B2809" s="14" t="n">
        <v>46279</v>
      </c>
      <c r="C2809" s="17" t="n">
        <v>0.01041666666666667</v>
      </c>
      <c r="D2809" s="17" t="n">
        <v>0.46875</v>
      </c>
      <c r="E2809" t="inlineStr">
        <is>
          <t>Night</t>
        </is>
      </c>
      <c r="F2809" t="inlineStr">
        <is>
          <t>Sep</t>
        </is>
      </c>
      <c r="G2809" s="18">
        <f>IF(D2809&lt;C2809,D2809+1-C2809,D2809-C2809)*24</f>
        <v/>
      </c>
      <c r="H2809" s="18">
        <f>MAX(0,G2809-8)</f>
        <v/>
      </c>
    </row>
    <row r="2810">
      <c r="A2810" t="n">
        <v>1117</v>
      </c>
      <c r="B2810" s="14" t="n">
        <v>46279</v>
      </c>
      <c r="C2810" s="17" t="n">
        <v>0.01041666666666667</v>
      </c>
      <c r="D2810" s="17" t="n">
        <v>0.46875</v>
      </c>
      <c r="E2810" t="inlineStr">
        <is>
          <t>Night</t>
        </is>
      </c>
      <c r="F2810" t="inlineStr">
        <is>
          <t>Sep</t>
        </is>
      </c>
      <c r="G2810" s="18">
        <f>IF(D2810&lt;C2810,D2810+1-C2810,D2810-C2810)*24</f>
        <v/>
      </c>
      <c r="H2810" s="18">
        <f>MAX(0,G2810-8)</f>
        <v/>
      </c>
    </row>
    <row r="2811">
      <c r="A2811" t="n">
        <v>1119</v>
      </c>
      <c r="B2811" s="14" t="n">
        <v>46279</v>
      </c>
      <c r="C2811" s="17" t="n">
        <v>0.02083333333333333</v>
      </c>
      <c r="D2811" s="17" t="n">
        <v>0.3541666666666667</v>
      </c>
      <c r="E2811" t="inlineStr">
        <is>
          <t>Night</t>
        </is>
      </c>
      <c r="F2811" t="inlineStr">
        <is>
          <t>Sep</t>
        </is>
      </c>
      <c r="G2811" s="18">
        <f>IF(D2811&lt;C2811,D2811+1-C2811,D2811-C2811)*24</f>
        <v/>
      </c>
      <c r="H2811" s="18">
        <f>MAX(0,G2811-8)</f>
        <v/>
      </c>
    </row>
    <row r="2812">
      <c r="A2812" t="n">
        <v>1126</v>
      </c>
      <c r="B2812" s="14" t="n">
        <v>46279</v>
      </c>
      <c r="C2812" s="17" t="n">
        <v>0.02083333333333333</v>
      </c>
      <c r="D2812" s="17" t="n">
        <v>0.4583333333333333</v>
      </c>
      <c r="E2812" t="inlineStr">
        <is>
          <t>Night</t>
        </is>
      </c>
      <c r="F2812" t="inlineStr">
        <is>
          <t>Sep</t>
        </is>
      </c>
      <c r="G2812" s="18">
        <f>IF(D2812&lt;C2812,D2812+1-C2812,D2812-C2812)*24</f>
        <v/>
      </c>
      <c r="H2812" s="18">
        <f>MAX(0,G2812-8)</f>
        <v/>
      </c>
    </row>
    <row r="2813">
      <c r="A2813" t="n">
        <v>1137</v>
      </c>
      <c r="B2813" s="14" t="n">
        <v>46279</v>
      </c>
      <c r="C2813" s="17" t="n">
        <v>0.01041666666666667</v>
      </c>
      <c r="D2813" s="17" t="n">
        <v>0.3645833333333333</v>
      </c>
      <c r="E2813" t="inlineStr">
        <is>
          <t>Night</t>
        </is>
      </c>
      <c r="F2813" t="inlineStr">
        <is>
          <t>Sep</t>
        </is>
      </c>
      <c r="G2813" s="18">
        <f>IF(D2813&lt;C2813,D2813+1-C2813,D2813-C2813)*24</f>
        <v/>
      </c>
      <c r="H2813" s="18">
        <f>MAX(0,G2813-8)</f>
        <v/>
      </c>
    </row>
    <row r="2814">
      <c r="A2814" t="n">
        <v>1201</v>
      </c>
      <c r="B2814" s="14" t="n">
        <v>46279</v>
      </c>
      <c r="C2814" s="17" t="n">
        <v>0.2708333333333333</v>
      </c>
      <c r="D2814" s="17" t="n">
        <v>0.6041666666666666</v>
      </c>
      <c r="E2814" t="inlineStr">
        <is>
          <t>Day</t>
        </is>
      </c>
      <c r="F2814" t="inlineStr">
        <is>
          <t>Sep</t>
        </is>
      </c>
      <c r="G2814" s="18">
        <f>IF(D2814&lt;C2814,D2814+1-C2814,D2814-C2814)*24</f>
        <v/>
      </c>
      <c r="H2814" s="18">
        <f>MAX(0,G2814-8)</f>
        <v/>
      </c>
    </row>
    <row r="2815">
      <c r="A2815" t="n">
        <v>1203</v>
      </c>
      <c r="B2815" s="14" t="n">
        <v>46279</v>
      </c>
      <c r="C2815" s="17" t="n">
        <v>0.2708333333333333</v>
      </c>
      <c r="D2815" s="17" t="n">
        <v>0.6458333333333334</v>
      </c>
      <c r="E2815" t="inlineStr">
        <is>
          <t>Day</t>
        </is>
      </c>
      <c r="F2815" t="inlineStr">
        <is>
          <t>Sep</t>
        </is>
      </c>
      <c r="G2815" s="18">
        <f>IF(D2815&lt;C2815,D2815+1-C2815,D2815-C2815)*24</f>
        <v/>
      </c>
      <c r="H2815" s="18">
        <f>MAX(0,G2815-8)</f>
        <v/>
      </c>
    </row>
    <row r="2816">
      <c r="A2816" t="n">
        <v>1204</v>
      </c>
      <c r="B2816" s="14" t="n">
        <v>46279</v>
      </c>
      <c r="C2816" s="17" t="n">
        <v>0.25</v>
      </c>
      <c r="D2816" s="17" t="n">
        <v>0.6041666666666666</v>
      </c>
      <c r="E2816" t="inlineStr">
        <is>
          <t>Day</t>
        </is>
      </c>
      <c r="F2816" t="inlineStr">
        <is>
          <t>Sep</t>
        </is>
      </c>
      <c r="G2816" s="18">
        <f>IF(D2816&lt;C2816,D2816+1-C2816,D2816-C2816)*24</f>
        <v/>
      </c>
      <c r="H2816" s="18">
        <f>MAX(0,G2816-8)</f>
        <v/>
      </c>
    </row>
    <row r="2817">
      <c r="A2817" t="n">
        <v>1205</v>
      </c>
      <c r="B2817" s="14" t="n">
        <v>46279</v>
      </c>
      <c r="C2817" s="17" t="n">
        <v>0.25</v>
      </c>
      <c r="D2817" s="17" t="n">
        <v>0.5833333333333334</v>
      </c>
      <c r="E2817" t="inlineStr">
        <is>
          <t>Day</t>
        </is>
      </c>
      <c r="F2817" t="inlineStr">
        <is>
          <t>Sep</t>
        </is>
      </c>
      <c r="G2817" s="18">
        <f>IF(D2817&lt;C2817,D2817+1-C2817,D2817-C2817)*24</f>
        <v/>
      </c>
      <c r="H2817" s="18">
        <f>MAX(0,G2817-8)</f>
        <v/>
      </c>
    </row>
    <row r="2818">
      <c r="A2818" t="n">
        <v>1207</v>
      </c>
      <c r="B2818" s="14" t="n">
        <v>46279</v>
      </c>
      <c r="C2818" s="17" t="n">
        <v>0.25</v>
      </c>
      <c r="D2818" s="17" t="n">
        <v>0.625</v>
      </c>
      <c r="E2818" t="inlineStr">
        <is>
          <t>Day</t>
        </is>
      </c>
      <c r="F2818" t="inlineStr">
        <is>
          <t>Sep</t>
        </is>
      </c>
      <c r="G2818" s="18">
        <f>IF(D2818&lt;C2818,D2818+1-C2818,D2818-C2818)*24</f>
        <v/>
      </c>
      <c r="H2818" s="18">
        <f>MAX(0,G2818-8)</f>
        <v/>
      </c>
    </row>
    <row r="2819">
      <c r="A2819" t="n">
        <v>1208</v>
      </c>
      <c r="B2819" s="14" t="n">
        <v>46279</v>
      </c>
      <c r="C2819" s="17" t="n">
        <v>0.25</v>
      </c>
      <c r="D2819" s="17" t="n">
        <v>0.6666666666666666</v>
      </c>
      <c r="E2819" t="inlineStr">
        <is>
          <t>Day</t>
        </is>
      </c>
      <c r="F2819" t="inlineStr">
        <is>
          <t>Sep</t>
        </is>
      </c>
      <c r="G2819" s="18">
        <f>IF(D2819&lt;C2819,D2819+1-C2819,D2819-C2819)*24</f>
        <v/>
      </c>
      <c r="H2819" s="18">
        <f>MAX(0,G2819-8)</f>
        <v/>
      </c>
    </row>
    <row r="2820">
      <c r="A2820" t="n">
        <v>1209</v>
      </c>
      <c r="B2820" s="14" t="n">
        <v>46279</v>
      </c>
      <c r="C2820" s="17" t="n">
        <v>0.2708333333333333</v>
      </c>
      <c r="D2820" s="17" t="n">
        <v>0.6458333333333334</v>
      </c>
      <c r="E2820" t="inlineStr">
        <is>
          <t>Day</t>
        </is>
      </c>
      <c r="F2820" t="inlineStr">
        <is>
          <t>Sep</t>
        </is>
      </c>
      <c r="G2820" s="18">
        <f>IF(D2820&lt;C2820,D2820+1-C2820,D2820-C2820)*24</f>
        <v/>
      </c>
      <c r="H2820" s="18">
        <f>MAX(0,G2820-8)</f>
        <v/>
      </c>
    </row>
    <row r="2821">
      <c r="A2821" t="n">
        <v>1210</v>
      </c>
      <c r="B2821" s="14" t="n">
        <v>46279</v>
      </c>
      <c r="C2821" s="17" t="n">
        <v>0.2708333333333333</v>
      </c>
      <c r="D2821" s="17" t="n">
        <v>0.6041666666666666</v>
      </c>
      <c r="E2821" t="inlineStr">
        <is>
          <t>Day</t>
        </is>
      </c>
      <c r="F2821" t="inlineStr">
        <is>
          <t>Sep</t>
        </is>
      </c>
      <c r="G2821" s="18">
        <f>IF(D2821&lt;C2821,D2821+1-C2821,D2821-C2821)*24</f>
        <v/>
      </c>
      <c r="H2821" s="18">
        <f>MAX(0,G2821-8)</f>
        <v/>
      </c>
    </row>
    <row r="2822">
      <c r="A2822" t="n">
        <v>1211</v>
      </c>
      <c r="B2822" s="14" t="n">
        <v>46279</v>
      </c>
      <c r="C2822" s="17" t="n">
        <v>0.25</v>
      </c>
      <c r="D2822" s="17" t="n">
        <v>0.5833333333333334</v>
      </c>
      <c r="E2822" t="inlineStr">
        <is>
          <t>Day</t>
        </is>
      </c>
      <c r="F2822" t="inlineStr">
        <is>
          <t>Sep</t>
        </is>
      </c>
      <c r="G2822" s="18">
        <f>IF(D2822&lt;C2822,D2822+1-C2822,D2822-C2822)*24</f>
        <v/>
      </c>
      <c r="H2822" s="18">
        <f>MAX(0,G2822-8)</f>
        <v/>
      </c>
    </row>
    <row r="2823">
      <c r="A2823" t="n">
        <v>1212</v>
      </c>
      <c r="B2823" s="14" t="n">
        <v>46279</v>
      </c>
      <c r="C2823" s="17" t="n">
        <v>0.25</v>
      </c>
      <c r="D2823" s="17" t="n">
        <v>0.625</v>
      </c>
      <c r="E2823" t="inlineStr">
        <is>
          <t>Day</t>
        </is>
      </c>
      <c r="F2823" t="inlineStr">
        <is>
          <t>Sep</t>
        </is>
      </c>
      <c r="G2823" s="18">
        <f>IF(D2823&lt;C2823,D2823+1-C2823,D2823-C2823)*24</f>
        <v/>
      </c>
      <c r="H2823" s="18">
        <f>MAX(0,G2823-8)</f>
        <v/>
      </c>
    </row>
    <row r="2824">
      <c r="A2824" t="n">
        <v>1213</v>
      </c>
      <c r="B2824" s="14" t="n">
        <v>46279</v>
      </c>
      <c r="C2824" s="17" t="n">
        <v>0.25</v>
      </c>
      <c r="D2824" s="17" t="n">
        <v>0.6666666666666666</v>
      </c>
      <c r="E2824" t="inlineStr">
        <is>
          <t>Day</t>
        </is>
      </c>
      <c r="F2824" t="inlineStr">
        <is>
          <t>Sep</t>
        </is>
      </c>
      <c r="G2824" s="18">
        <f>IF(D2824&lt;C2824,D2824+1-C2824,D2824-C2824)*24</f>
        <v/>
      </c>
      <c r="H2824" s="18">
        <f>MAX(0,G2824-8)</f>
        <v/>
      </c>
    </row>
    <row r="2825">
      <c r="A2825" t="n">
        <v>1214</v>
      </c>
      <c r="B2825" s="14" t="n">
        <v>46279</v>
      </c>
      <c r="C2825" s="17" t="n">
        <v>0.2708333333333333</v>
      </c>
      <c r="D2825" s="17" t="n">
        <v>0.6458333333333334</v>
      </c>
      <c r="E2825" t="inlineStr">
        <is>
          <t>Day</t>
        </is>
      </c>
      <c r="F2825" t="inlineStr">
        <is>
          <t>Sep</t>
        </is>
      </c>
      <c r="G2825" s="18">
        <f>IF(D2825&lt;C2825,D2825+1-C2825,D2825-C2825)*24</f>
        <v/>
      </c>
      <c r="H2825" s="18">
        <f>MAX(0,G2825-8)</f>
        <v/>
      </c>
    </row>
    <row r="2826">
      <c r="A2826" t="n">
        <v>1215</v>
      </c>
      <c r="B2826" s="14" t="n">
        <v>46279</v>
      </c>
      <c r="C2826" s="17" t="n">
        <v>0.25</v>
      </c>
      <c r="D2826" s="17" t="n">
        <v>0.6666666666666666</v>
      </c>
      <c r="E2826" t="inlineStr">
        <is>
          <t>Day</t>
        </is>
      </c>
      <c r="F2826" t="inlineStr">
        <is>
          <t>Sep</t>
        </is>
      </c>
      <c r="G2826" s="18">
        <f>IF(D2826&lt;C2826,D2826+1-C2826,D2826-C2826)*24</f>
        <v/>
      </c>
      <c r="H2826" s="18">
        <f>MAX(0,G2826-8)</f>
        <v/>
      </c>
    </row>
    <row r="2827">
      <c r="A2827" t="n">
        <v>1216</v>
      </c>
      <c r="B2827" s="14" t="n">
        <v>46279</v>
      </c>
      <c r="C2827" s="17" t="n">
        <v>0.25</v>
      </c>
      <c r="D2827" s="17" t="n">
        <v>0.5833333333333334</v>
      </c>
      <c r="E2827" t="inlineStr">
        <is>
          <t>Day</t>
        </is>
      </c>
      <c r="F2827" t="inlineStr">
        <is>
          <t>Sep</t>
        </is>
      </c>
      <c r="G2827" s="18">
        <f>IF(D2827&lt;C2827,D2827+1-C2827,D2827-C2827)*24</f>
        <v/>
      </c>
      <c r="H2827" s="18">
        <f>MAX(0,G2827-8)</f>
        <v/>
      </c>
    </row>
    <row r="2828">
      <c r="A2828" t="n">
        <v>1217</v>
      </c>
      <c r="B2828" s="14" t="n">
        <v>46279</v>
      </c>
      <c r="C2828" s="17" t="n">
        <v>0.2708333333333333</v>
      </c>
      <c r="D2828" s="17" t="n">
        <v>0.6041666666666666</v>
      </c>
      <c r="E2828" t="inlineStr">
        <is>
          <t>Day</t>
        </is>
      </c>
      <c r="F2828" t="inlineStr">
        <is>
          <t>Sep</t>
        </is>
      </c>
      <c r="G2828" s="18">
        <f>IF(D2828&lt;C2828,D2828+1-C2828,D2828-C2828)*24</f>
        <v/>
      </c>
      <c r="H2828" s="18">
        <f>MAX(0,G2828-8)</f>
        <v/>
      </c>
    </row>
    <row r="2829">
      <c r="A2829" t="n">
        <v>1218</v>
      </c>
      <c r="B2829" s="14" t="n">
        <v>46279</v>
      </c>
      <c r="C2829" s="17" t="n">
        <v>0.25</v>
      </c>
      <c r="D2829" s="17" t="n">
        <v>0.5833333333333334</v>
      </c>
      <c r="E2829" t="inlineStr">
        <is>
          <t>Day</t>
        </is>
      </c>
      <c r="F2829" t="inlineStr">
        <is>
          <t>Sep</t>
        </is>
      </c>
      <c r="G2829" s="18">
        <f>IF(D2829&lt;C2829,D2829+1-C2829,D2829-C2829)*24</f>
        <v/>
      </c>
      <c r="H2829" s="18">
        <f>MAX(0,G2829-8)</f>
        <v/>
      </c>
    </row>
    <row r="2830">
      <c r="A2830" t="n">
        <v>1219</v>
      </c>
      <c r="B2830" s="14" t="n">
        <v>46279</v>
      </c>
      <c r="C2830" s="17" t="n">
        <v>0.2708333333333333</v>
      </c>
      <c r="D2830" s="17" t="n">
        <v>0.6041666666666666</v>
      </c>
      <c r="E2830" t="inlineStr">
        <is>
          <t>Day</t>
        </is>
      </c>
      <c r="F2830" t="inlineStr">
        <is>
          <t>Sep</t>
        </is>
      </c>
      <c r="G2830" s="18">
        <f>IF(D2830&lt;C2830,D2830+1-C2830,D2830-C2830)*24</f>
        <v/>
      </c>
      <c r="H2830" s="18">
        <f>MAX(0,G2830-8)</f>
        <v/>
      </c>
    </row>
    <row r="2831">
      <c r="A2831" t="n">
        <v>1220</v>
      </c>
      <c r="B2831" s="14" t="n">
        <v>46279</v>
      </c>
      <c r="C2831" s="17" t="n">
        <v>0.25</v>
      </c>
      <c r="D2831" s="17" t="n">
        <v>0.5833333333333334</v>
      </c>
      <c r="E2831" t="inlineStr">
        <is>
          <t>Day</t>
        </is>
      </c>
      <c r="F2831" t="inlineStr">
        <is>
          <t>Sep</t>
        </is>
      </c>
      <c r="G2831" s="18">
        <f>IF(D2831&lt;C2831,D2831+1-C2831,D2831-C2831)*24</f>
        <v/>
      </c>
      <c r="H2831" s="18">
        <f>MAX(0,G2831-8)</f>
        <v/>
      </c>
    </row>
    <row r="2832">
      <c r="A2832" t="n">
        <v>1101</v>
      </c>
      <c r="B2832" s="14" t="n">
        <v>46280</v>
      </c>
      <c r="C2832" s="17" t="n">
        <v>0.9270833333333334</v>
      </c>
      <c r="D2832" s="17" t="n">
        <v>0.28125</v>
      </c>
      <c r="E2832" t="inlineStr">
        <is>
          <t>Night</t>
        </is>
      </c>
      <c r="F2832" t="inlineStr">
        <is>
          <t>Sep</t>
        </is>
      </c>
      <c r="G2832" s="18">
        <f>IF(D2832&lt;C2832,D2832+1-C2832,D2832-C2832)*24</f>
        <v/>
      </c>
      <c r="H2832" s="18">
        <f>MAX(0,G2832-8)</f>
        <v/>
      </c>
    </row>
    <row r="2833">
      <c r="A2833" t="n">
        <v>1103</v>
      </c>
      <c r="B2833" s="14" t="n">
        <v>46280</v>
      </c>
      <c r="C2833" s="17" t="n">
        <v>0.9375</v>
      </c>
      <c r="D2833" s="17" t="n">
        <v>0.2916666666666667</v>
      </c>
      <c r="E2833" t="inlineStr">
        <is>
          <t>Night</t>
        </is>
      </c>
      <c r="F2833" t="inlineStr">
        <is>
          <t>Sep</t>
        </is>
      </c>
      <c r="G2833" s="18">
        <f>IF(D2833&lt;C2833,D2833+1-C2833,D2833-C2833)*24</f>
        <v/>
      </c>
      <c r="H2833" s="18">
        <f>MAX(0,G2833-8)</f>
        <v/>
      </c>
    </row>
    <row r="2834">
      <c r="A2834" t="n">
        <v>1104</v>
      </c>
      <c r="B2834" s="14" t="n">
        <v>46280</v>
      </c>
      <c r="C2834" s="17" t="n">
        <v>0.9270833333333334</v>
      </c>
      <c r="D2834" s="17" t="n">
        <v>0.3020833333333333</v>
      </c>
      <c r="E2834" t="inlineStr">
        <is>
          <t>Night</t>
        </is>
      </c>
      <c r="F2834" t="inlineStr">
        <is>
          <t>Sep</t>
        </is>
      </c>
      <c r="G2834" s="18">
        <f>IF(D2834&lt;C2834,D2834+1-C2834,D2834-C2834)*24</f>
        <v/>
      </c>
      <c r="H2834" s="18">
        <f>MAX(0,G2834-8)</f>
        <v/>
      </c>
    </row>
    <row r="2835">
      <c r="A2835" t="n">
        <v>1106</v>
      </c>
      <c r="B2835" s="14" t="n">
        <v>46280</v>
      </c>
      <c r="C2835" s="17" t="n">
        <v>0.9166666666666666</v>
      </c>
      <c r="D2835" s="17" t="n">
        <v>0.2708333333333333</v>
      </c>
      <c r="E2835" t="inlineStr">
        <is>
          <t>Night</t>
        </is>
      </c>
      <c r="F2835" t="inlineStr">
        <is>
          <t>Sep</t>
        </is>
      </c>
      <c r="G2835" s="18">
        <f>IF(D2835&lt;C2835,D2835+1-C2835,D2835-C2835)*24</f>
        <v/>
      </c>
      <c r="H2835" s="18">
        <f>MAX(0,G2835-8)</f>
        <v/>
      </c>
    </row>
    <row r="2836">
      <c r="A2836" t="n">
        <v>1107</v>
      </c>
      <c r="B2836" s="14" t="n">
        <v>46280</v>
      </c>
      <c r="C2836" s="17" t="n">
        <v>0.9166666666666666</v>
      </c>
      <c r="D2836" s="17" t="n">
        <v>0.375</v>
      </c>
      <c r="E2836" t="inlineStr">
        <is>
          <t>Night</t>
        </is>
      </c>
      <c r="F2836" t="inlineStr">
        <is>
          <t>Sep</t>
        </is>
      </c>
      <c r="G2836" s="18">
        <f>IF(D2836&lt;C2836,D2836+1-C2836,D2836-C2836)*24</f>
        <v/>
      </c>
      <c r="H2836" s="18">
        <f>MAX(0,G2836-8)</f>
        <v/>
      </c>
    </row>
    <row r="2837">
      <c r="A2837" t="n">
        <v>1108</v>
      </c>
      <c r="B2837" s="14" t="n">
        <v>46280</v>
      </c>
      <c r="C2837" s="17" t="n">
        <v>0.9166666666666666</v>
      </c>
      <c r="D2837" s="17" t="n">
        <v>0.25</v>
      </c>
      <c r="E2837" t="inlineStr">
        <is>
          <t>Night</t>
        </is>
      </c>
      <c r="F2837" t="inlineStr">
        <is>
          <t>Sep</t>
        </is>
      </c>
      <c r="G2837" s="18">
        <f>IF(D2837&lt;C2837,D2837+1-C2837,D2837-C2837)*24</f>
        <v/>
      </c>
      <c r="H2837" s="18">
        <f>MAX(0,G2837-8)</f>
        <v/>
      </c>
    </row>
    <row r="2838">
      <c r="A2838" t="n">
        <v>1109</v>
      </c>
      <c r="B2838" s="14" t="n">
        <v>46280</v>
      </c>
      <c r="C2838" s="17" t="n">
        <v>0.9166666666666666</v>
      </c>
      <c r="D2838" s="17" t="n">
        <v>0.2708333333333333</v>
      </c>
      <c r="E2838" t="inlineStr">
        <is>
          <t>Night</t>
        </is>
      </c>
      <c r="F2838" t="inlineStr">
        <is>
          <t>Sep</t>
        </is>
      </c>
      <c r="G2838" s="18">
        <f>IF(D2838&lt;C2838,D2838+1-C2838,D2838-C2838)*24</f>
        <v/>
      </c>
      <c r="H2838" s="18">
        <f>MAX(0,G2838-8)</f>
        <v/>
      </c>
    </row>
    <row r="2839">
      <c r="A2839" t="n">
        <v>1111</v>
      </c>
      <c r="B2839" s="14" t="n">
        <v>46280</v>
      </c>
      <c r="C2839" s="17" t="n">
        <v>0.9166666666666666</v>
      </c>
      <c r="D2839" s="17" t="n">
        <v>0.3125</v>
      </c>
      <c r="E2839" t="inlineStr">
        <is>
          <t>Night</t>
        </is>
      </c>
      <c r="F2839" t="inlineStr">
        <is>
          <t>Sep</t>
        </is>
      </c>
      <c r="G2839" s="18">
        <f>IF(D2839&lt;C2839,D2839+1-C2839,D2839-C2839)*24</f>
        <v/>
      </c>
      <c r="H2839" s="18">
        <f>MAX(0,G2839-8)</f>
        <v/>
      </c>
    </row>
    <row r="2840">
      <c r="A2840" t="n">
        <v>1112</v>
      </c>
      <c r="B2840" s="14" t="n">
        <v>46280</v>
      </c>
      <c r="C2840" s="17" t="n">
        <v>0.9166666666666666</v>
      </c>
      <c r="D2840" s="17" t="n">
        <v>0.2708333333333333</v>
      </c>
      <c r="E2840" t="inlineStr">
        <is>
          <t>Night</t>
        </is>
      </c>
      <c r="F2840" t="inlineStr">
        <is>
          <t>Sep</t>
        </is>
      </c>
      <c r="G2840" s="18">
        <f>IF(D2840&lt;C2840,D2840+1-C2840,D2840-C2840)*24</f>
        <v/>
      </c>
      <c r="H2840" s="18">
        <f>MAX(0,G2840-8)</f>
        <v/>
      </c>
    </row>
    <row r="2841">
      <c r="A2841" t="n">
        <v>1113</v>
      </c>
      <c r="B2841" s="14" t="n">
        <v>46280</v>
      </c>
      <c r="C2841" s="17" t="n">
        <v>0.9166666666666666</v>
      </c>
      <c r="D2841" s="17" t="n">
        <v>0.2916666666666667</v>
      </c>
      <c r="E2841" t="inlineStr">
        <is>
          <t>Night</t>
        </is>
      </c>
      <c r="F2841" t="inlineStr">
        <is>
          <t>Sep</t>
        </is>
      </c>
      <c r="G2841" s="18">
        <f>IF(D2841&lt;C2841,D2841+1-C2841,D2841-C2841)*24</f>
        <v/>
      </c>
      <c r="H2841" s="18">
        <f>MAX(0,G2841-8)</f>
        <v/>
      </c>
    </row>
    <row r="2842">
      <c r="A2842" t="n">
        <v>1114</v>
      </c>
      <c r="B2842" s="14" t="n">
        <v>46280</v>
      </c>
      <c r="C2842" s="17" t="n">
        <v>0.9166666666666666</v>
      </c>
      <c r="D2842" s="17" t="n">
        <v>0.3958333333333333</v>
      </c>
      <c r="E2842" t="inlineStr">
        <is>
          <t>Night</t>
        </is>
      </c>
      <c r="F2842" t="inlineStr">
        <is>
          <t>Sep</t>
        </is>
      </c>
      <c r="G2842" s="18">
        <f>IF(D2842&lt;C2842,D2842+1-C2842,D2842-C2842)*24</f>
        <v/>
      </c>
      <c r="H2842" s="18">
        <f>MAX(0,G2842-8)</f>
        <v/>
      </c>
    </row>
    <row r="2843">
      <c r="A2843" t="n">
        <v>1115</v>
      </c>
      <c r="B2843" s="14" t="n">
        <v>46280</v>
      </c>
      <c r="C2843" s="17" t="n">
        <v>0.9375</v>
      </c>
      <c r="D2843" s="17" t="n">
        <v>0.3541666666666667</v>
      </c>
      <c r="E2843" t="inlineStr">
        <is>
          <t>Night</t>
        </is>
      </c>
      <c r="F2843" t="inlineStr">
        <is>
          <t>Sep</t>
        </is>
      </c>
      <c r="G2843" s="18">
        <f>IF(D2843&lt;C2843,D2843+1-C2843,D2843-C2843)*24</f>
        <v/>
      </c>
      <c r="H2843" s="18">
        <f>MAX(0,G2843-8)</f>
        <v/>
      </c>
    </row>
    <row r="2844">
      <c r="A2844" t="n">
        <v>1116</v>
      </c>
      <c r="B2844" s="14" t="n">
        <v>46280</v>
      </c>
      <c r="C2844" s="17" t="n">
        <v>0.9166666666666666</v>
      </c>
      <c r="D2844" s="17" t="n">
        <v>0.375</v>
      </c>
      <c r="E2844" t="inlineStr">
        <is>
          <t>Night</t>
        </is>
      </c>
      <c r="F2844" t="inlineStr">
        <is>
          <t>Sep</t>
        </is>
      </c>
      <c r="G2844" s="18">
        <f>IF(D2844&lt;C2844,D2844+1-C2844,D2844-C2844)*24</f>
        <v/>
      </c>
      <c r="H2844" s="18">
        <f>MAX(0,G2844-8)</f>
        <v/>
      </c>
    </row>
    <row r="2845">
      <c r="A2845" t="n">
        <v>1117</v>
      </c>
      <c r="B2845" s="14" t="n">
        <v>46280</v>
      </c>
      <c r="C2845" s="17" t="n">
        <v>0.9166666666666666</v>
      </c>
      <c r="D2845" s="17" t="n">
        <v>0.2916666666666667</v>
      </c>
      <c r="E2845" t="inlineStr">
        <is>
          <t>Night</t>
        </is>
      </c>
      <c r="F2845" t="inlineStr">
        <is>
          <t>Sep</t>
        </is>
      </c>
      <c r="G2845" s="18">
        <f>IF(D2845&lt;C2845,D2845+1-C2845,D2845-C2845)*24</f>
        <v/>
      </c>
      <c r="H2845" s="18">
        <f>MAX(0,G2845-8)</f>
        <v/>
      </c>
    </row>
    <row r="2846">
      <c r="A2846" t="n">
        <v>1119</v>
      </c>
      <c r="B2846" s="14" t="n">
        <v>46280</v>
      </c>
      <c r="C2846" s="17" t="n">
        <v>0.9375</v>
      </c>
      <c r="D2846" s="17" t="n">
        <v>0.2708333333333333</v>
      </c>
      <c r="E2846" t="inlineStr">
        <is>
          <t>Night</t>
        </is>
      </c>
      <c r="F2846" t="inlineStr">
        <is>
          <t>Sep</t>
        </is>
      </c>
      <c r="G2846" s="18">
        <f>IF(D2846&lt;C2846,D2846+1-C2846,D2846-C2846)*24</f>
        <v/>
      </c>
      <c r="H2846" s="18">
        <f>MAX(0,G2846-8)</f>
        <v/>
      </c>
    </row>
    <row r="2847">
      <c r="A2847" t="n">
        <v>1120</v>
      </c>
      <c r="B2847" s="14" t="n">
        <v>46280</v>
      </c>
      <c r="C2847" s="17" t="n">
        <v>0.9166666666666666</v>
      </c>
      <c r="D2847" s="17" t="n">
        <v>0.375</v>
      </c>
      <c r="E2847" t="inlineStr">
        <is>
          <t>Night</t>
        </is>
      </c>
      <c r="F2847" t="inlineStr">
        <is>
          <t>Sep</t>
        </is>
      </c>
      <c r="G2847" s="18">
        <f>IF(D2847&lt;C2847,D2847+1-C2847,D2847-C2847)*24</f>
        <v/>
      </c>
      <c r="H2847" s="18">
        <f>MAX(0,G2847-8)</f>
        <v/>
      </c>
    </row>
    <row r="2848">
      <c r="A2848" t="n">
        <v>1121</v>
      </c>
      <c r="B2848" s="14" t="n">
        <v>46280</v>
      </c>
      <c r="C2848" s="17" t="n">
        <v>0.9166666666666666</v>
      </c>
      <c r="D2848" s="17" t="n">
        <v>0.3958333333333333</v>
      </c>
      <c r="E2848" t="inlineStr">
        <is>
          <t>Night</t>
        </is>
      </c>
      <c r="F2848" t="inlineStr">
        <is>
          <t>Sep</t>
        </is>
      </c>
      <c r="G2848" s="18">
        <f>IF(D2848&lt;C2848,D2848+1-C2848,D2848-C2848)*24</f>
        <v/>
      </c>
      <c r="H2848" s="18">
        <f>MAX(0,G2848-8)</f>
        <v/>
      </c>
    </row>
    <row r="2849">
      <c r="A2849" t="n">
        <v>1122</v>
      </c>
      <c r="B2849" s="14" t="n">
        <v>46280</v>
      </c>
      <c r="C2849" s="17" t="n">
        <v>0.9166666666666666</v>
      </c>
      <c r="D2849" s="17" t="n">
        <v>0.2708333333333333</v>
      </c>
      <c r="E2849" t="inlineStr">
        <is>
          <t>Night</t>
        </is>
      </c>
      <c r="F2849" t="inlineStr">
        <is>
          <t>Sep</t>
        </is>
      </c>
      <c r="G2849" s="18">
        <f>IF(D2849&lt;C2849,D2849+1-C2849,D2849-C2849)*24</f>
        <v/>
      </c>
      <c r="H2849" s="18">
        <f>MAX(0,G2849-8)</f>
        <v/>
      </c>
    </row>
    <row r="2850">
      <c r="A2850" t="n">
        <v>1124</v>
      </c>
      <c r="B2850" s="14" t="n">
        <v>46280</v>
      </c>
      <c r="C2850" s="17" t="n">
        <v>0.9166666666666666</v>
      </c>
      <c r="D2850" s="17" t="n">
        <v>0.3125</v>
      </c>
      <c r="E2850" t="inlineStr">
        <is>
          <t>Night</t>
        </is>
      </c>
      <c r="F2850" t="inlineStr">
        <is>
          <t>Sep</t>
        </is>
      </c>
      <c r="G2850" s="18">
        <f>IF(D2850&lt;C2850,D2850+1-C2850,D2850-C2850)*24</f>
        <v/>
      </c>
      <c r="H2850" s="18">
        <f>MAX(0,G2850-8)</f>
        <v/>
      </c>
    </row>
    <row r="2851">
      <c r="A2851" t="n">
        <v>1125</v>
      </c>
      <c r="B2851" s="14" t="n">
        <v>46280</v>
      </c>
      <c r="C2851" s="17" t="n">
        <v>0.9375</v>
      </c>
      <c r="D2851" s="17" t="n">
        <v>0.4166666666666667</v>
      </c>
      <c r="E2851" t="inlineStr">
        <is>
          <t>Night</t>
        </is>
      </c>
      <c r="F2851" t="inlineStr">
        <is>
          <t>Sep</t>
        </is>
      </c>
      <c r="G2851" s="18">
        <f>IF(D2851&lt;C2851,D2851+1-C2851,D2851-C2851)*24</f>
        <v/>
      </c>
      <c r="H2851" s="18">
        <f>MAX(0,G2851-8)</f>
        <v/>
      </c>
    </row>
    <row r="2852">
      <c r="A2852" t="n">
        <v>1126</v>
      </c>
      <c r="B2852" s="14" t="n">
        <v>46280</v>
      </c>
      <c r="C2852" s="17" t="n">
        <v>0.9166666666666666</v>
      </c>
      <c r="D2852" s="17" t="n">
        <v>0.2708333333333333</v>
      </c>
      <c r="E2852" t="inlineStr">
        <is>
          <t>Night</t>
        </is>
      </c>
      <c r="F2852" t="inlineStr">
        <is>
          <t>Sep</t>
        </is>
      </c>
      <c r="G2852" s="18">
        <f>IF(D2852&lt;C2852,D2852+1-C2852,D2852-C2852)*24</f>
        <v/>
      </c>
      <c r="H2852" s="18">
        <f>MAX(0,G2852-8)</f>
        <v/>
      </c>
    </row>
    <row r="2853">
      <c r="A2853" t="n">
        <v>1127</v>
      </c>
      <c r="B2853" s="14" t="n">
        <v>46280</v>
      </c>
      <c r="C2853" s="17" t="n">
        <v>0.9166666666666666</v>
      </c>
      <c r="D2853" s="17" t="n">
        <v>0.3958333333333333</v>
      </c>
      <c r="E2853" t="inlineStr">
        <is>
          <t>Night</t>
        </is>
      </c>
      <c r="F2853" t="inlineStr">
        <is>
          <t>Sep</t>
        </is>
      </c>
      <c r="G2853" s="18">
        <f>IF(D2853&lt;C2853,D2853+1-C2853,D2853-C2853)*24</f>
        <v/>
      </c>
      <c r="H2853" s="18">
        <f>MAX(0,G2853-8)</f>
        <v/>
      </c>
    </row>
    <row r="2854">
      <c r="A2854" t="n">
        <v>1128</v>
      </c>
      <c r="B2854" s="14" t="n">
        <v>46280</v>
      </c>
      <c r="C2854" s="17" t="n">
        <v>0.9166666666666666</v>
      </c>
      <c r="D2854" s="17" t="n">
        <v>0.3541666666666667</v>
      </c>
      <c r="E2854" t="inlineStr">
        <is>
          <t>Night</t>
        </is>
      </c>
      <c r="F2854" t="inlineStr">
        <is>
          <t>Sep</t>
        </is>
      </c>
      <c r="G2854" s="18">
        <f>IF(D2854&lt;C2854,D2854+1-C2854,D2854-C2854)*24</f>
        <v/>
      </c>
      <c r="H2854" s="18">
        <f>MAX(0,G2854-8)</f>
        <v/>
      </c>
    </row>
    <row r="2855">
      <c r="A2855" t="n">
        <v>1129</v>
      </c>
      <c r="B2855" s="14" t="n">
        <v>46280</v>
      </c>
      <c r="C2855" s="17" t="n">
        <v>0.9270833333333334</v>
      </c>
      <c r="D2855" s="17" t="n">
        <v>0.3229166666666667</v>
      </c>
      <c r="E2855" t="inlineStr">
        <is>
          <t>Night</t>
        </is>
      </c>
      <c r="F2855" t="inlineStr">
        <is>
          <t>Sep</t>
        </is>
      </c>
      <c r="G2855" s="18">
        <f>IF(D2855&lt;C2855,D2855+1-C2855,D2855-C2855)*24</f>
        <v/>
      </c>
      <c r="H2855" s="18">
        <f>MAX(0,G2855-8)</f>
        <v/>
      </c>
    </row>
    <row r="2856">
      <c r="A2856" t="n">
        <v>1130</v>
      </c>
      <c r="B2856" s="14" t="n">
        <v>46280</v>
      </c>
      <c r="C2856" s="17" t="n">
        <v>0.9166666666666666</v>
      </c>
      <c r="D2856" s="17" t="n">
        <v>0.3541666666666667</v>
      </c>
      <c r="E2856" t="inlineStr">
        <is>
          <t>Night</t>
        </is>
      </c>
      <c r="F2856" t="inlineStr">
        <is>
          <t>Sep</t>
        </is>
      </c>
      <c r="G2856" s="18">
        <f>IF(D2856&lt;C2856,D2856+1-C2856,D2856-C2856)*24</f>
        <v/>
      </c>
      <c r="H2856" s="18">
        <f>MAX(0,G2856-8)</f>
        <v/>
      </c>
    </row>
    <row r="2857">
      <c r="A2857" t="n">
        <v>1131</v>
      </c>
      <c r="B2857" s="14" t="n">
        <v>46280</v>
      </c>
      <c r="C2857" s="17" t="n">
        <v>0.9166666666666666</v>
      </c>
      <c r="D2857" s="17" t="n">
        <v>0.3541666666666667</v>
      </c>
      <c r="E2857" t="inlineStr">
        <is>
          <t>Night</t>
        </is>
      </c>
      <c r="F2857" t="inlineStr">
        <is>
          <t>Sep</t>
        </is>
      </c>
      <c r="G2857" s="18">
        <f>IF(D2857&lt;C2857,D2857+1-C2857,D2857-C2857)*24</f>
        <v/>
      </c>
      <c r="H2857" s="18">
        <f>MAX(0,G2857-8)</f>
        <v/>
      </c>
    </row>
    <row r="2858">
      <c r="A2858" t="n">
        <v>1133</v>
      </c>
      <c r="B2858" s="14" t="n">
        <v>46280</v>
      </c>
      <c r="C2858" s="17" t="n">
        <v>0.9166666666666666</v>
      </c>
      <c r="D2858" s="17" t="n">
        <v>0.25</v>
      </c>
      <c r="E2858" t="inlineStr">
        <is>
          <t>Night</t>
        </is>
      </c>
      <c r="F2858" t="inlineStr">
        <is>
          <t>Sep</t>
        </is>
      </c>
      <c r="G2858" s="18">
        <f>IF(D2858&lt;C2858,D2858+1-C2858,D2858-C2858)*24</f>
        <v/>
      </c>
      <c r="H2858" s="18">
        <f>MAX(0,G2858-8)</f>
        <v/>
      </c>
    </row>
    <row r="2859">
      <c r="A2859" t="n">
        <v>1134</v>
      </c>
      <c r="B2859" s="14" t="n">
        <v>46280</v>
      </c>
      <c r="C2859" s="17" t="n">
        <v>0.9270833333333334</v>
      </c>
      <c r="D2859" s="17" t="n">
        <v>0.3020833333333333</v>
      </c>
      <c r="E2859" t="inlineStr">
        <is>
          <t>Night</t>
        </is>
      </c>
      <c r="F2859" t="inlineStr">
        <is>
          <t>Sep</t>
        </is>
      </c>
      <c r="G2859" s="18">
        <f>IF(D2859&lt;C2859,D2859+1-C2859,D2859-C2859)*24</f>
        <v/>
      </c>
      <c r="H2859" s="18">
        <f>MAX(0,G2859-8)</f>
        <v/>
      </c>
    </row>
    <row r="2860">
      <c r="A2860" t="n">
        <v>1135</v>
      </c>
      <c r="B2860" s="14" t="n">
        <v>46280</v>
      </c>
      <c r="C2860" s="17" t="n">
        <v>0.9166666666666666</v>
      </c>
      <c r="D2860" s="17" t="n">
        <v>0.2708333333333333</v>
      </c>
      <c r="E2860" t="inlineStr">
        <is>
          <t>Night</t>
        </is>
      </c>
      <c r="F2860" t="inlineStr">
        <is>
          <t>Sep</t>
        </is>
      </c>
      <c r="G2860" s="18">
        <f>IF(D2860&lt;C2860,D2860+1-C2860,D2860-C2860)*24</f>
        <v/>
      </c>
      <c r="H2860" s="18">
        <f>MAX(0,G2860-8)</f>
        <v/>
      </c>
    </row>
    <row r="2861">
      <c r="A2861" t="n">
        <v>1137</v>
      </c>
      <c r="B2861" s="14" t="n">
        <v>46280</v>
      </c>
      <c r="C2861" s="17" t="n">
        <v>0.9375</v>
      </c>
      <c r="D2861" s="17" t="n">
        <v>0.2708333333333333</v>
      </c>
      <c r="E2861" t="inlineStr">
        <is>
          <t>Night</t>
        </is>
      </c>
      <c r="F2861" t="inlineStr">
        <is>
          <t>Sep</t>
        </is>
      </c>
      <c r="G2861" s="18">
        <f>IF(D2861&lt;C2861,D2861+1-C2861,D2861-C2861)*24</f>
        <v/>
      </c>
      <c r="H2861" s="18">
        <f>MAX(0,G2861-8)</f>
        <v/>
      </c>
    </row>
    <row r="2862">
      <c r="A2862" t="n">
        <v>1147</v>
      </c>
      <c r="B2862" s="14" t="n">
        <v>46280</v>
      </c>
      <c r="C2862" s="17" t="n">
        <v>0.9166666666666666</v>
      </c>
      <c r="D2862" s="17" t="n">
        <v>0.375</v>
      </c>
      <c r="E2862" t="inlineStr">
        <is>
          <t>Night</t>
        </is>
      </c>
      <c r="F2862" t="inlineStr">
        <is>
          <t>Sep</t>
        </is>
      </c>
      <c r="G2862" s="18">
        <f>IF(D2862&lt;C2862,D2862+1-C2862,D2862-C2862)*24</f>
        <v/>
      </c>
      <c r="H2862" s="18">
        <f>MAX(0,G2862-8)</f>
        <v/>
      </c>
    </row>
    <row r="2863">
      <c r="A2863" t="n">
        <v>1102</v>
      </c>
      <c r="B2863" s="14" t="n">
        <v>46280</v>
      </c>
      <c r="C2863" s="17" t="n">
        <v>0.02083333333333333</v>
      </c>
      <c r="D2863" s="17" t="n">
        <v>0.375</v>
      </c>
      <c r="E2863" t="inlineStr">
        <is>
          <t>Night</t>
        </is>
      </c>
      <c r="F2863" t="inlineStr">
        <is>
          <t>Sep</t>
        </is>
      </c>
      <c r="G2863" s="18">
        <f>IF(D2863&lt;C2863,D2863+1-C2863,D2863-C2863)*24</f>
        <v/>
      </c>
      <c r="H2863" s="18">
        <f>MAX(0,G2863-8)</f>
        <v/>
      </c>
    </row>
    <row r="2864">
      <c r="A2864" t="n">
        <v>1110</v>
      </c>
      <c r="B2864" s="14" t="n">
        <v>46280</v>
      </c>
      <c r="C2864" s="17" t="n">
        <v>0.01041666666666667</v>
      </c>
      <c r="D2864" s="17" t="n">
        <v>0.4479166666666667</v>
      </c>
      <c r="E2864" t="inlineStr">
        <is>
          <t>Night</t>
        </is>
      </c>
      <c r="F2864" t="inlineStr">
        <is>
          <t>Sep</t>
        </is>
      </c>
      <c r="G2864" s="18">
        <f>IF(D2864&lt;C2864,D2864+1-C2864,D2864-C2864)*24</f>
        <v/>
      </c>
      <c r="H2864" s="18">
        <f>MAX(0,G2864-8)</f>
        <v/>
      </c>
    </row>
    <row r="2865">
      <c r="A2865" t="n">
        <v>1118</v>
      </c>
      <c r="B2865" s="14" t="n">
        <v>46280</v>
      </c>
      <c r="C2865" s="17" t="n">
        <v>0.02083333333333333</v>
      </c>
      <c r="D2865" s="17" t="n">
        <v>0.3541666666666667</v>
      </c>
      <c r="E2865" t="inlineStr">
        <is>
          <t>Night</t>
        </is>
      </c>
      <c r="F2865" t="inlineStr">
        <is>
          <t>Sep</t>
        </is>
      </c>
      <c r="G2865" s="18">
        <f>IF(D2865&lt;C2865,D2865+1-C2865,D2865-C2865)*24</f>
        <v/>
      </c>
      <c r="H2865" s="18">
        <f>MAX(0,G2865-8)</f>
        <v/>
      </c>
    </row>
    <row r="2866">
      <c r="A2866" t="n">
        <v>1136</v>
      </c>
      <c r="B2866" s="14" t="n">
        <v>46280</v>
      </c>
      <c r="C2866" s="17" t="n">
        <v>0.02083333333333333</v>
      </c>
      <c r="D2866" s="17" t="n">
        <v>0.3541666666666667</v>
      </c>
      <c r="E2866" t="inlineStr">
        <is>
          <t>Night</t>
        </is>
      </c>
      <c r="F2866" t="inlineStr">
        <is>
          <t>Sep</t>
        </is>
      </c>
      <c r="G2866" s="18">
        <f>IF(D2866&lt;C2866,D2866+1-C2866,D2866-C2866)*24</f>
        <v/>
      </c>
      <c r="H2866" s="18">
        <f>MAX(0,G2866-8)</f>
        <v/>
      </c>
    </row>
    <row r="2867">
      <c r="A2867" t="n">
        <v>1201</v>
      </c>
      <c r="B2867" s="14" t="n">
        <v>46280</v>
      </c>
      <c r="C2867" s="17" t="n">
        <v>0.2708333333333333</v>
      </c>
      <c r="D2867" s="17" t="n">
        <v>0.6875</v>
      </c>
      <c r="E2867" t="inlineStr">
        <is>
          <t>Day</t>
        </is>
      </c>
      <c r="F2867" t="inlineStr">
        <is>
          <t>Sep</t>
        </is>
      </c>
      <c r="G2867" s="18">
        <f>IF(D2867&lt;C2867,D2867+1-C2867,D2867-C2867)*24</f>
        <v/>
      </c>
      <c r="H2867" s="18">
        <f>MAX(0,G2867-8)</f>
        <v/>
      </c>
    </row>
    <row r="2868">
      <c r="A2868" t="n">
        <v>1202</v>
      </c>
      <c r="B2868" s="14" t="n">
        <v>46280</v>
      </c>
      <c r="C2868" s="17" t="n">
        <v>0.25</v>
      </c>
      <c r="D2868" s="17" t="n">
        <v>0.625</v>
      </c>
      <c r="E2868" t="inlineStr">
        <is>
          <t>Day</t>
        </is>
      </c>
      <c r="F2868" t="inlineStr">
        <is>
          <t>Sep</t>
        </is>
      </c>
      <c r="G2868" s="18">
        <f>IF(D2868&lt;C2868,D2868+1-C2868,D2868-C2868)*24</f>
        <v/>
      </c>
      <c r="H2868" s="18">
        <f>MAX(0,G2868-8)</f>
        <v/>
      </c>
    </row>
    <row r="2869">
      <c r="A2869" t="n">
        <v>1203</v>
      </c>
      <c r="B2869" s="14" t="n">
        <v>46280</v>
      </c>
      <c r="C2869" s="17" t="n">
        <v>0.25</v>
      </c>
      <c r="D2869" s="17" t="n">
        <v>0.6666666666666666</v>
      </c>
      <c r="E2869" t="inlineStr">
        <is>
          <t>Day</t>
        </is>
      </c>
      <c r="F2869" t="inlineStr">
        <is>
          <t>Sep</t>
        </is>
      </c>
      <c r="G2869" s="18">
        <f>IF(D2869&lt;C2869,D2869+1-C2869,D2869-C2869)*24</f>
        <v/>
      </c>
      <c r="H2869" s="18">
        <f>MAX(0,G2869-8)</f>
        <v/>
      </c>
    </row>
    <row r="2870">
      <c r="A2870" t="n">
        <v>1204</v>
      </c>
      <c r="B2870" s="14" t="n">
        <v>46280</v>
      </c>
      <c r="C2870" s="17" t="n">
        <v>0.25</v>
      </c>
      <c r="D2870" s="17" t="n">
        <v>0.625</v>
      </c>
      <c r="E2870" t="inlineStr">
        <is>
          <t>Day</t>
        </is>
      </c>
      <c r="F2870" t="inlineStr">
        <is>
          <t>Sep</t>
        </is>
      </c>
      <c r="G2870" s="18">
        <f>IF(D2870&lt;C2870,D2870+1-C2870,D2870-C2870)*24</f>
        <v/>
      </c>
      <c r="H2870" s="18">
        <f>MAX(0,G2870-8)</f>
        <v/>
      </c>
    </row>
    <row r="2871">
      <c r="A2871" t="n">
        <v>1205</v>
      </c>
      <c r="B2871" s="14" t="n">
        <v>46280</v>
      </c>
      <c r="C2871" s="17" t="n">
        <v>0.25</v>
      </c>
      <c r="D2871" s="17" t="n">
        <v>0.5833333333333334</v>
      </c>
      <c r="E2871" t="inlineStr">
        <is>
          <t>Day</t>
        </is>
      </c>
      <c r="F2871" t="inlineStr">
        <is>
          <t>Sep</t>
        </is>
      </c>
      <c r="G2871" s="18">
        <f>IF(D2871&lt;C2871,D2871+1-C2871,D2871-C2871)*24</f>
        <v/>
      </c>
      <c r="H2871" s="18">
        <f>MAX(0,G2871-8)</f>
        <v/>
      </c>
    </row>
    <row r="2872">
      <c r="A2872" t="n">
        <v>1206</v>
      </c>
      <c r="B2872" s="14" t="n">
        <v>46280</v>
      </c>
      <c r="C2872" s="17" t="n">
        <v>0.2708333333333333</v>
      </c>
      <c r="D2872" s="17" t="n">
        <v>0.6875</v>
      </c>
      <c r="E2872" t="inlineStr">
        <is>
          <t>Day</t>
        </is>
      </c>
      <c r="F2872" t="inlineStr">
        <is>
          <t>Sep</t>
        </is>
      </c>
      <c r="G2872" s="18">
        <f>IF(D2872&lt;C2872,D2872+1-C2872,D2872-C2872)*24</f>
        <v/>
      </c>
      <c r="H2872" s="18">
        <f>MAX(0,G2872-8)</f>
        <v/>
      </c>
    </row>
    <row r="2873">
      <c r="A2873" t="n">
        <v>1208</v>
      </c>
      <c r="B2873" s="14" t="n">
        <v>46280</v>
      </c>
      <c r="C2873" s="17" t="n">
        <v>0.2708333333333333</v>
      </c>
      <c r="D2873" s="17" t="n">
        <v>0.6041666666666666</v>
      </c>
      <c r="E2873" t="inlineStr">
        <is>
          <t>Day</t>
        </is>
      </c>
      <c r="F2873" t="inlineStr">
        <is>
          <t>Sep</t>
        </is>
      </c>
      <c r="G2873" s="18">
        <f>IF(D2873&lt;C2873,D2873+1-C2873,D2873-C2873)*24</f>
        <v/>
      </c>
      <c r="H2873" s="18">
        <f>MAX(0,G2873-8)</f>
        <v/>
      </c>
    </row>
    <row r="2874">
      <c r="A2874" t="n">
        <v>1209</v>
      </c>
      <c r="B2874" s="14" t="n">
        <v>46280</v>
      </c>
      <c r="C2874" s="17" t="n">
        <v>0.2708333333333333</v>
      </c>
      <c r="D2874" s="17" t="n">
        <v>0.6875</v>
      </c>
      <c r="E2874" t="inlineStr">
        <is>
          <t>Day</t>
        </is>
      </c>
      <c r="F2874" t="inlineStr">
        <is>
          <t>Sep</t>
        </is>
      </c>
      <c r="G2874" s="18">
        <f>IF(D2874&lt;C2874,D2874+1-C2874,D2874-C2874)*24</f>
        <v/>
      </c>
      <c r="H2874" s="18">
        <f>MAX(0,G2874-8)</f>
        <v/>
      </c>
    </row>
    <row r="2875">
      <c r="A2875" t="n">
        <v>1211</v>
      </c>
      <c r="B2875" s="14" t="n">
        <v>46280</v>
      </c>
      <c r="C2875" s="17" t="n">
        <v>0.2708333333333333</v>
      </c>
      <c r="D2875" s="17" t="n">
        <v>0.6041666666666666</v>
      </c>
      <c r="E2875" t="inlineStr">
        <is>
          <t>Day</t>
        </is>
      </c>
      <c r="F2875" t="inlineStr">
        <is>
          <t>Sep</t>
        </is>
      </c>
      <c r="G2875" s="18">
        <f>IF(D2875&lt;C2875,D2875+1-C2875,D2875-C2875)*24</f>
        <v/>
      </c>
      <c r="H2875" s="18">
        <f>MAX(0,G2875-8)</f>
        <v/>
      </c>
    </row>
    <row r="2876">
      <c r="A2876" t="n">
        <v>1213</v>
      </c>
      <c r="B2876" s="14" t="n">
        <v>46280</v>
      </c>
      <c r="C2876" s="17" t="n">
        <v>0.25</v>
      </c>
      <c r="D2876" s="17" t="n">
        <v>0.5833333333333334</v>
      </c>
      <c r="E2876" t="inlineStr">
        <is>
          <t>Day</t>
        </is>
      </c>
      <c r="F2876" t="inlineStr">
        <is>
          <t>Sep</t>
        </is>
      </c>
      <c r="G2876" s="18">
        <f>IF(D2876&lt;C2876,D2876+1-C2876,D2876-C2876)*24</f>
        <v/>
      </c>
      <c r="H2876" s="18">
        <f>MAX(0,G2876-8)</f>
        <v/>
      </c>
    </row>
    <row r="2877">
      <c r="A2877" t="n">
        <v>1214</v>
      </c>
      <c r="B2877" s="14" t="n">
        <v>46280</v>
      </c>
      <c r="C2877" s="17" t="n">
        <v>0.25</v>
      </c>
      <c r="D2877" s="17" t="n">
        <v>0.625</v>
      </c>
      <c r="E2877" t="inlineStr">
        <is>
          <t>Day</t>
        </is>
      </c>
      <c r="F2877" t="inlineStr">
        <is>
          <t>Sep</t>
        </is>
      </c>
      <c r="G2877" s="18">
        <f>IF(D2877&lt;C2877,D2877+1-C2877,D2877-C2877)*24</f>
        <v/>
      </c>
      <c r="H2877" s="18">
        <f>MAX(0,G2877-8)</f>
        <v/>
      </c>
    </row>
    <row r="2878">
      <c r="A2878" t="n">
        <v>1215</v>
      </c>
      <c r="B2878" s="14" t="n">
        <v>46280</v>
      </c>
      <c r="C2878" s="17" t="n">
        <v>0.25</v>
      </c>
      <c r="D2878" s="17" t="n">
        <v>0.6041666666666666</v>
      </c>
      <c r="E2878" t="inlineStr">
        <is>
          <t>Day</t>
        </is>
      </c>
      <c r="F2878" t="inlineStr">
        <is>
          <t>Sep</t>
        </is>
      </c>
      <c r="G2878" s="18">
        <f>IF(D2878&lt;C2878,D2878+1-C2878,D2878-C2878)*24</f>
        <v/>
      </c>
      <c r="H2878" s="18">
        <f>MAX(0,G2878-8)</f>
        <v/>
      </c>
    </row>
    <row r="2879">
      <c r="A2879" t="n">
        <v>1216</v>
      </c>
      <c r="B2879" s="14" t="n">
        <v>46280</v>
      </c>
      <c r="C2879" s="17" t="n">
        <v>0.25</v>
      </c>
      <c r="D2879" s="17" t="n">
        <v>0.5833333333333334</v>
      </c>
      <c r="E2879" t="inlineStr">
        <is>
          <t>Day</t>
        </is>
      </c>
      <c r="F2879" t="inlineStr">
        <is>
          <t>Sep</t>
        </is>
      </c>
      <c r="G2879" s="18">
        <f>IF(D2879&lt;C2879,D2879+1-C2879,D2879-C2879)*24</f>
        <v/>
      </c>
      <c r="H2879" s="18">
        <f>MAX(0,G2879-8)</f>
        <v/>
      </c>
    </row>
    <row r="2880">
      <c r="A2880" t="n">
        <v>1217</v>
      </c>
      <c r="B2880" s="14" t="n">
        <v>46280</v>
      </c>
      <c r="C2880" s="17" t="n">
        <v>0.2708333333333333</v>
      </c>
      <c r="D2880" s="17" t="n">
        <v>0.6458333333333334</v>
      </c>
      <c r="E2880" t="inlineStr">
        <is>
          <t>Day</t>
        </is>
      </c>
      <c r="F2880" t="inlineStr">
        <is>
          <t>Sep</t>
        </is>
      </c>
      <c r="G2880" s="18">
        <f>IF(D2880&lt;C2880,D2880+1-C2880,D2880-C2880)*24</f>
        <v/>
      </c>
      <c r="H2880" s="18">
        <f>MAX(0,G2880-8)</f>
        <v/>
      </c>
    </row>
    <row r="2881">
      <c r="A2881" t="n">
        <v>1218</v>
      </c>
      <c r="B2881" s="14" t="n">
        <v>46280</v>
      </c>
      <c r="C2881" s="17" t="n">
        <v>0.25</v>
      </c>
      <c r="D2881" s="17" t="n">
        <v>0.6041666666666666</v>
      </c>
      <c r="E2881" t="inlineStr">
        <is>
          <t>Day</t>
        </is>
      </c>
      <c r="F2881" t="inlineStr">
        <is>
          <t>Sep</t>
        </is>
      </c>
      <c r="G2881" s="18">
        <f>IF(D2881&lt;C2881,D2881+1-C2881,D2881-C2881)*24</f>
        <v/>
      </c>
      <c r="H2881" s="18">
        <f>MAX(0,G2881-8)</f>
        <v/>
      </c>
    </row>
    <row r="2882">
      <c r="A2882" t="n">
        <v>1219</v>
      </c>
      <c r="B2882" s="14" t="n">
        <v>46280</v>
      </c>
      <c r="C2882" s="17" t="n">
        <v>0.2708333333333333</v>
      </c>
      <c r="D2882" s="17" t="n">
        <v>0.6041666666666666</v>
      </c>
      <c r="E2882" t="inlineStr">
        <is>
          <t>Day</t>
        </is>
      </c>
      <c r="F2882" t="inlineStr">
        <is>
          <t>Sep</t>
        </is>
      </c>
      <c r="G2882" s="18">
        <f>IF(D2882&lt;C2882,D2882+1-C2882,D2882-C2882)*24</f>
        <v/>
      </c>
      <c r="H2882" s="18">
        <f>MAX(0,G2882-8)</f>
        <v/>
      </c>
    </row>
    <row r="2883">
      <c r="A2883" t="n">
        <v>1220</v>
      </c>
      <c r="B2883" s="14" t="n">
        <v>46280</v>
      </c>
      <c r="C2883" s="17" t="n">
        <v>0.2708333333333333</v>
      </c>
      <c r="D2883" s="17" t="n">
        <v>0.625</v>
      </c>
      <c r="E2883" t="inlineStr">
        <is>
          <t>Day</t>
        </is>
      </c>
      <c r="F2883" t="inlineStr">
        <is>
          <t>Sep</t>
        </is>
      </c>
      <c r="G2883" s="18">
        <f>IF(D2883&lt;C2883,D2883+1-C2883,D2883-C2883)*24</f>
        <v/>
      </c>
      <c r="H2883" s="18">
        <f>MAX(0,G2883-8)</f>
        <v/>
      </c>
    </row>
    <row r="2884">
      <c r="A2884" t="n">
        <v>1101</v>
      </c>
      <c r="B2884" s="14" t="n">
        <v>46281</v>
      </c>
      <c r="C2884" s="17" t="n">
        <v>0.9270833333333334</v>
      </c>
      <c r="D2884" s="17" t="n">
        <v>0.3229166666666667</v>
      </c>
      <c r="E2884" t="inlineStr">
        <is>
          <t>Night</t>
        </is>
      </c>
      <c r="F2884" t="inlineStr">
        <is>
          <t>Sep</t>
        </is>
      </c>
      <c r="G2884" s="18">
        <f>IF(D2884&lt;C2884,D2884+1-C2884,D2884-C2884)*24</f>
        <v/>
      </c>
      <c r="H2884" s="18">
        <f>MAX(0,G2884-8)</f>
        <v/>
      </c>
    </row>
    <row r="2885">
      <c r="A2885" t="n">
        <v>1102</v>
      </c>
      <c r="B2885" s="14" t="n">
        <v>46281</v>
      </c>
      <c r="C2885" s="17" t="n">
        <v>0.9375</v>
      </c>
      <c r="D2885" s="17" t="n">
        <v>0.2916666666666667</v>
      </c>
      <c r="E2885" t="inlineStr">
        <is>
          <t>Night</t>
        </is>
      </c>
      <c r="F2885" t="inlineStr">
        <is>
          <t>Sep</t>
        </is>
      </c>
      <c r="G2885" s="18">
        <f>IF(D2885&lt;C2885,D2885+1-C2885,D2885-C2885)*24</f>
        <v/>
      </c>
      <c r="H2885" s="18">
        <f>MAX(0,G2885-8)</f>
        <v/>
      </c>
    </row>
    <row r="2886">
      <c r="A2886" t="n">
        <v>1103</v>
      </c>
      <c r="B2886" s="14" t="n">
        <v>46281</v>
      </c>
      <c r="C2886" s="17" t="n">
        <v>0.9270833333333334</v>
      </c>
      <c r="D2886" s="17" t="n">
        <v>0.28125</v>
      </c>
      <c r="E2886" t="inlineStr">
        <is>
          <t>Night</t>
        </is>
      </c>
      <c r="F2886" t="inlineStr">
        <is>
          <t>Sep</t>
        </is>
      </c>
      <c r="G2886" s="18">
        <f>IF(D2886&lt;C2886,D2886+1-C2886,D2886-C2886)*24</f>
        <v/>
      </c>
      <c r="H2886" s="18">
        <f>MAX(0,G2886-8)</f>
        <v/>
      </c>
    </row>
    <row r="2887">
      <c r="A2887" t="n">
        <v>1104</v>
      </c>
      <c r="B2887" s="14" t="n">
        <v>46281</v>
      </c>
      <c r="C2887" s="17" t="n">
        <v>0.9166666666666666</v>
      </c>
      <c r="D2887" s="17" t="n">
        <v>0.3541666666666667</v>
      </c>
      <c r="E2887" t="inlineStr">
        <is>
          <t>Night</t>
        </is>
      </c>
      <c r="F2887" t="inlineStr">
        <is>
          <t>Sep</t>
        </is>
      </c>
      <c r="G2887" s="18">
        <f>IF(D2887&lt;C2887,D2887+1-C2887,D2887-C2887)*24</f>
        <v/>
      </c>
      <c r="H2887" s="18">
        <f>MAX(0,G2887-8)</f>
        <v/>
      </c>
    </row>
    <row r="2888">
      <c r="A2888" t="n">
        <v>1106</v>
      </c>
      <c r="B2888" s="14" t="n">
        <v>46281</v>
      </c>
      <c r="C2888" s="17" t="n">
        <v>0.9270833333333334</v>
      </c>
      <c r="D2888" s="17" t="n">
        <v>0.3645833333333333</v>
      </c>
      <c r="E2888" t="inlineStr">
        <is>
          <t>Night</t>
        </is>
      </c>
      <c r="F2888" t="inlineStr">
        <is>
          <t>Sep</t>
        </is>
      </c>
      <c r="G2888" s="18">
        <f>IF(D2888&lt;C2888,D2888+1-C2888,D2888-C2888)*24</f>
        <v/>
      </c>
      <c r="H2888" s="18">
        <f>MAX(0,G2888-8)</f>
        <v/>
      </c>
    </row>
    <row r="2889">
      <c r="A2889" t="n">
        <v>1108</v>
      </c>
      <c r="B2889" s="14" t="n">
        <v>46281</v>
      </c>
      <c r="C2889" s="17" t="n">
        <v>0.9166666666666666</v>
      </c>
      <c r="D2889" s="17" t="n">
        <v>0.25</v>
      </c>
      <c r="E2889" t="inlineStr">
        <is>
          <t>Night</t>
        </is>
      </c>
      <c r="F2889" t="inlineStr">
        <is>
          <t>Sep</t>
        </is>
      </c>
      <c r="G2889" s="18">
        <f>IF(D2889&lt;C2889,D2889+1-C2889,D2889-C2889)*24</f>
        <v/>
      </c>
      <c r="H2889" s="18">
        <f>MAX(0,G2889-8)</f>
        <v/>
      </c>
    </row>
    <row r="2890">
      <c r="A2890" t="n">
        <v>1109</v>
      </c>
      <c r="B2890" s="14" t="n">
        <v>46281</v>
      </c>
      <c r="C2890" s="17" t="n">
        <v>0.9166666666666666</v>
      </c>
      <c r="D2890" s="17" t="n">
        <v>0.2916666666666667</v>
      </c>
      <c r="E2890" t="inlineStr">
        <is>
          <t>Night</t>
        </is>
      </c>
      <c r="F2890" t="inlineStr">
        <is>
          <t>Sep</t>
        </is>
      </c>
      <c r="G2890" s="18">
        <f>IF(D2890&lt;C2890,D2890+1-C2890,D2890-C2890)*24</f>
        <v/>
      </c>
      <c r="H2890" s="18">
        <f>MAX(0,G2890-8)</f>
        <v/>
      </c>
    </row>
    <row r="2891">
      <c r="A2891" t="n">
        <v>1110</v>
      </c>
      <c r="B2891" s="14" t="n">
        <v>46281</v>
      </c>
      <c r="C2891" s="17" t="n">
        <v>0.9166666666666666</v>
      </c>
      <c r="D2891" s="17" t="n">
        <v>0.3333333333333333</v>
      </c>
      <c r="E2891" t="inlineStr">
        <is>
          <t>Night</t>
        </is>
      </c>
      <c r="F2891" t="inlineStr">
        <is>
          <t>Sep</t>
        </is>
      </c>
      <c r="G2891" s="18">
        <f>IF(D2891&lt;C2891,D2891+1-C2891,D2891-C2891)*24</f>
        <v/>
      </c>
      <c r="H2891" s="18">
        <f>MAX(0,G2891-8)</f>
        <v/>
      </c>
    </row>
    <row r="2892">
      <c r="A2892" t="n">
        <v>1111</v>
      </c>
      <c r="B2892" s="14" t="n">
        <v>46281</v>
      </c>
      <c r="C2892" s="17" t="n">
        <v>0.9375</v>
      </c>
      <c r="D2892" s="17" t="n">
        <v>0.2916666666666667</v>
      </c>
      <c r="E2892" t="inlineStr">
        <is>
          <t>Night</t>
        </is>
      </c>
      <c r="F2892" t="inlineStr">
        <is>
          <t>Sep</t>
        </is>
      </c>
      <c r="G2892" s="18">
        <f>IF(D2892&lt;C2892,D2892+1-C2892,D2892-C2892)*24</f>
        <v/>
      </c>
      <c r="H2892" s="18">
        <f>MAX(0,G2892-8)</f>
        <v/>
      </c>
    </row>
    <row r="2893">
      <c r="A2893" t="n">
        <v>1112</v>
      </c>
      <c r="B2893" s="14" t="n">
        <v>46281</v>
      </c>
      <c r="C2893" s="17" t="n">
        <v>0.9270833333333334</v>
      </c>
      <c r="D2893" s="17" t="n">
        <v>0.28125</v>
      </c>
      <c r="E2893" t="inlineStr">
        <is>
          <t>Night</t>
        </is>
      </c>
      <c r="F2893" t="inlineStr">
        <is>
          <t>Sep</t>
        </is>
      </c>
      <c r="G2893" s="18">
        <f>IF(D2893&lt;C2893,D2893+1-C2893,D2893-C2893)*24</f>
        <v/>
      </c>
      <c r="H2893" s="18">
        <f>MAX(0,G2893-8)</f>
        <v/>
      </c>
    </row>
    <row r="2894">
      <c r="A2894" t="n">
        <v>1113</v>
      </c>
      <c r="B2894" s="14" t="n">
        <v>46281</v>
      </c>
      <c r="C2894" s="17" t="n">
        <v>0.9166666666666666</v>
      </c>
      <c r="D2894" s="17" t="n">
        <v>0.3125</v>
      </c>
      <c r="E2894" t="inlineStr">
        <is>
          <t>Night</t>
        </is>
      </c>
      <c r="F2894" t="inlineStr">
        <is>
          <t>Sep</t>
        </is>
      </c>
      <c r="G2894" s="18">
        <f>IF(D2894&lt;C2894,D2894+1-C2894,D2894-C2894)*24</f>
        <v/>
      </c>
      <c r="H2894" s="18">
        <f>MAX(0,G2894-8)</f>
        <v/>
      </c>
    </row>
    <row r="2895">
      <c r="A2895" t="n">
        <v>1114</v>
      </c>
      <c r="B2895" s="14" t="n">
        <v>46281</v>
      </c>
      <c r="C2895" s="17" t="n">
        <v>0.9270833333333334</v>
      </c>
      <c r="D2895" s="17" t="n">
        <v>0.34375</v>
      </c>
      <c r="E2895" t="inlineStr">
        <is>
          <t>Night</t>
        </is>
      </c>
      <c r="F2895" t="inlineStr">
        <is>
          <t>Sep</t>
        </is>
      </c>
      <c r="G2895" s="18">
        <f>IF(D2895&lt;C2895,D2895+1-C2895,D2895-C2895)*24</f>
        <v/>
      </c>
      <c r="H2895" s="18">
        <f>MAX(0,G2895-8)</f>
        <v/>
      </c>
    </row>
    <row r="2896">
      <c r="A2896" t="n">
        <v>1115</v>
      </c>
      <c r="B2896" s="14" t="n">
        <v>46281</v>
      </c>
      <c r="C2896" s="17" t="n">
        <v>0.9375</v>
      </c>
      <c r="D2896" s="17" t="n">
        <v>0.3333333333333333</v>
      </c>
      <c r="E2896" t="inlineStr">
        <is>
          <t>Night</t>
        </is>
      </c>
      <c r="F2896" t="inlineStr">
        <is>
          <t>Sep</t>
        </is>
      </c>
      <c r="G2896" s="18">
        <f>IF(D2896&lt;C2896,D2896+1-C2896,D2896-C2896)*24</f>
        <v/>
      </c>
      <c r="H2896" s="18">
        <f>MAX(0,G2896-8)</f>
        <v/>
      </c>
    </row>
    <row r="2897">
      <c r="A2897" t="n">
        <v>1116</v>
      </c>
      <c r="B2897" s="14" t="n">
        <v>46281</v>
      </c>
      <c r="C2897" s="17" t="n">
        <v>0.9270833333333334</v>
      </c>
      <c r="D2897" s="17" t="n">
        <v>0.34375</v>
      </c>
      <c r="E2897" t="inlineStr">
        <is>
          <t>Night</t>
        </is>
      </c>
      <c r="F2897" t="inlineStr">
        <is>
          <t>Sep</t>
        </is>
      </c>
      <c r="G2897" s="18">
        <f>IF(D2897&lt;C2897,D2897+1-C2897,D2897-C2897)*24</f>
        <v/>
      </c>
      <c r="H2897" s="18">
        <f>MAX(0,G2897-8)</f>
        <v/>
      </c>
    </row>
    <row r="2898">
      <c r="A2898" t="n">
        <v>1117</v>
      </c>
      <c r="B2898" s="14" t="n">
        <v>46281</v>
      </c>
      <c r="C2898" s="17" t="n">
        <v>0.9166666666666666</v>
      </c>
      <c r="D2898" s="17" t="n">
        <v>0.3125</v>
      </c>
      <c r="E2898" t="inlineStr">
        <is>
          <t>Night</t>
        </is>
      </c>
      <c r="F2898" t="inlineStr">
        <is>
          <t>Sep</t>
        </is>
      </c>
      <c r="G2898" s="18">
        <f>IF(D2898&lt;C2898,D2898+1-C2898,D2898-C2898)*24</f>
        <v/>
      </c>
      <c r="H2898" s="18">
        <f>MAX(0,G2898-8)</f>
        <v/>
      </c>
    </row>
    <row r="2899">
      <c r="A2899" t="n">
        <v>1118</v>
      </c>
      <c r="B2899" s="14" t="n">
        <v>46281</v>
      </c>
      <c r="C2899" s="17" t="n">
        <v>0.9166666666666666</v>
      </c>
      <c r="D2899" s="17" t="n">
        <v>0.2708333333333333</v>
      </c>
      <c r="E2899" t="inlineStr">
        <is>
          <t>Night</t>
        </is>
      </c>
      <c r="F2899" t="inlineStr">
        <is>
          <t>Sep</t>
        </is>
      </c>
      <c r="G2899" s="18">
        <f>IF(D2899&lt;C2899,D2899+1-C2899,D2899-C2899)*24</f>
        <v/>
      </c>
      <c r="H2899" s="18">
        <f>MAX(0,G2899-8)</f>
        <v/>
      </c>
    </row>
    <row r="2900">
      <c r="A2900" t="n">
        <v>1119</v>
      </c>
      <c r="B2900" s="14" t="n">
        <v>46281</v>
      </c>
      <c r="C2900" s="17" t="n">
        <v>0.9166666666666666</v>
      </c>
      <c r="D2900" s="17" t="n">
        <v>0.2708333333333333</v>
      </c>
      <c r="E2900" t="inlineStr">
        <is>
          <t>Night</t>
        </is>
      </c>
      <c r="F2900" t="inlineStr">
        <is>
          <t>Sep</t>
        </is>
      </c>
      <c r="G2900" s="18">
        <f>IF(D2900&lt;C2900,D2900+1-C2900,D2900-C2900)*24</f>
        <v/>
      </c>
      <c r="H2900" s="18">
        <f>MAX(0,G2900-8)</f>
        <v/>
      </c>
    </row>
    <row r="2901">
      <c r="A2901" t="n">
        <v>1120</v>
      </c>
      <c r="B2901" s="14" t="n">
        <v>46281</v>
      </c>
      <c r="C2901" s="17" t="n">
        <v>0.9166666666666666</v>
      </c>
      <c r="D2901" s="17" t="n">
        <v>0.3333333333333333</v>
      </c>
      <c r="E2901" t="inlineStr">
        <is>
          <t>Night</t>
        </is>
      </c>
      <c r="F2901" t="inlineStr">
        <is>
          <t>Sep</t>
        </is>
      </c>
      <c r="G2901" s="18">
        <f>IF(D2901&lt;C2901,D2901+1-C2901,D2901-C2901)*24</f>
        <v/>
      </c>
      <c r="H2901" s="18">
        <f>MAX(0,G2901-8)</f>
        <v/>
      </c>
    </row>
    <row r="2902">
      <c r="A2902" t="n">
        <v>1121</v>
      </c>
      <c r="B2902" s="14" t="n">
        <v>46281</v>
      </c>
      <c r="C2902" s="17" t="n">
        <v>0.9270833333333334</v>
      </c>
      <c r="D2902" s="17" t="n">
        <v>0.3229166666666667</v>
      </c>
      <c r="E2902" t="inlineStr">
        <is>
          <t>Night</t>
        </is>
      </c>
      <c r="F2902" t="inlineStr">
        <is>
          <t>Sep</t>
        </is>
      </c>
      <c r="G2902" s="18">
        <f>IF(D2902&lt;C2902,D2902+1-C2902,D2902-C2902)*24</f>
        <v/>
      </c>
      <c r="H2902" s="18">
        <f>MAX(0,G2902-8)</f>
        <v/>
      </c>
    </row>
    <row r="2903">
      <c r="A2903" t="n">
        <v>1122</v>
      </c>
      <c r="B2903" s="14" t="n">
        <v>46281</v>
      </c>
      <c r="C2903" s="17" t="n">
        <v>0.9166666666666666</v>
      </c>
      <c r="D2903" s="17" t="n">
        <v>0.3541666666666667</v>
      </c>
      <c r="E2903" t="inlineStr">
        <is>
          <t>Night</t>
        </is>
      </c>
      <c r="F2903" t="inlineStr">
        <is>
          <t>Sep</t>
        </is>
      </c>
      <c r="G2903" s="18">
        <f>IF(D2903&lt;C2903,D2903+1-C2903,D2903-C2903)*24</f>
        <v/>
      </c>
      <c r="H2903" s="18">
        <f>MAX(0,G2903-8)</f>
        <v/>
      </c>
    </row>
    <row r="2904">
      <c r="A2904" t="n">
        <v>1125</v>
      </c>
      <c r="B2904" s="14" t="n">
        <v>46281</v>
      </c>
      <c r="C2904" s="17" t="n">
        <v>0.9375</v>
      </c>
      <c r="D2904" s="17" t="n">
        <v>0.2916666666666667</v>
      </c>
      <c r="E2904" t="inlineStr">
        <is>
          <t>Night</t>
        </is>
      </c>
      <c r="F2904" t="inlineStr">
        <is>
          <t>Sep</t>
        </is>
      </c>
      <c r="G2904" s="18">
        <f>IF(D2904&lt;C2904,D2904+1-C2904,D2904-C2904)*24</f>
        <v/>
      </c>
      <c r="H2904" s="18">
        <f>MAX(0,G2904-8)</f>
        <v/>
      </c>
    </row>
    <row r="2905">
      <c r="A2905" t="n">
        <v>1127</v>
      </c>
      <c r="B2905" s="14" t="n">
        <v>46281</v>
      </c>
      <c r="C2905" s="17" t="n">
        <v>0.9166666666666666</v>
      </c>
      <c r="D2905" s="17" t="n">
        <v>0.25</v>
      </c>
      <c r="E2905" t="inlineStr">
        <is>
          <t>Night</t>
        </is>
      </c>
      <c r="F2905" t="inlineStr">
        <is>
          <t>Sep</t>
        </is>
      </c>
      <c r="G2905" s="18">
        <f>IF(D2905&lt;C2905,D2905+1-C2905,D2905-C2905)*24</f>
        <v/>
      </c>
      <c r="H2905" s="18">
        <f>MAX(0,G2905-8)</f>
        <v/>
      </c>
    </row>
    <row r="2906">
      <c r="A2906" t="n">
        <v>1128</v>
      </c>
      <c r="B2906" s="14" t="n">
        <v>46281</v>
      </c>
      <c r="C2906" s="17" t="n">
        <v>0.9166666666666666</v>
      </c>
      <c r="D2906" s="17" t="n">
        <v>0.375</v>
      </c>
      <c r="E2906" t="inlineStr">
        <is>
          <t>Night</t>
        </is>
      </c>
      <c r="F2906" t="inlineStr">
        <is>
          <t>Sep</t>
        </is>
      </c>
      <c r="G2906" s="18">
        <f>IF(D2906&lt;C2906,D2906+1-C2906,D2906-C2906)*24</f>
        <v/>
      </c>
      <c r="H2906" s="18">
        <f>MAX(0,G2906-8)</f>
        <v/>
      </c>
    </row>
    <row r="2907">
      <c r="A2907" t="n">
        <v>1129</v>
      </c>
      <c r="B2907" s="14" t="n">
        <v>46281</v>
      </c>
      <c r="C2907" s="17" t="n">
        <v>0.9375</v>
      </c>
      <c r="D2907" s="17" t="n">
        <v>0.375</v>
      </c>
      <c r="E2907" t="inlineStr">
        <is>
          <t>Night</t>
        </is>
      </c>
      <c r="F2907" t="inlineStr">
        <is>
          <t>Sep</t>
        </is>
      </c>
      <c r="G2907" s="18">
        <f>IF(D2907&lt;C2907,D2907+1-C2907,D2907-C2907)*24</f>
        <v/>
      </c>
      <c r="H2907" s="18">
        <f>MAX(0,G2907-8)</f>
        <v/>
      </c>
    </row>
    <row r="2908">
      <c r="A2908" t="n">
        <v>1131</v>
      </c>
      <c r="B2908" s="14" t="n">
        <v>46281</v>
      </c>
      <c r="C2908" s="17" t="n">
        <v>0.9166666666666666</v>
      </c>
      <c r="D2908" s="17" t="n">
        <v>0.2708333333333333</v>
      </c>
      <c r="E2908" t="inlineStr">
        <is>
          <t>Night</t>
        </is>
      </c>
      <c r="F2908" t="inlineStr">
        <is>
          <t>Sep</t>
        </is>
      </c>
      <c r="G2908" s="18">
        <f>IF(D2908&lt;C2908,D2908+1-C2908,D2908-C2908)*24</f>
        <v/>
      </c>
      <c r="H2908" s="18">
        <f>MAX(0,G2908-8)</f>
        <v/>
      </c>
    </row>
    <row r="2909">
      <c r="A2909" t="n">
        <v>1132</v>
      </c>
      <c r="B2909" s="14" t="n">
        <v>46281</v>
      </c>
      <c r="C2909" s="17" t="n">
        <v>0.9166666666666666</v>
      </c>
      <c r="D2909" s="17" t="n">
        <v>0.25</v>
      </c>
      <c r="E2909" t="inlineStr">
        <is>
          <t>Night</t>
        </is>
      </c>
      <c r="F2909" t="inlineStr">
        <is>
          <t>Sep</t>
        </is>
      </c>
      <c r="G2909" s="18">
        <f>IF(D2909&lt;C2909,D2909+1-C2909,D2909-C2909)*24</f>
        <v/>
      </c>
      <c r="H2909" s="18">
        <f>MAX(0,G2909-8)</f>
        <v/>
      </c>
    </row>
    <row r="2910">
      <c r="A2910" t="n">
        <v>1133</v>
      </c>
      <c r="B2910" s="14" t="n">
        <v>46281</v>
      </c>
      <c r="C2910" s="17" t="n">
        <v>0.9166666666666666</v>
      </c>
      <c r="D2910" s="17" t="n">
        <v>0.3958333333333333</v>
      </c>
      <c r="E2910" t="inlineStr">
        <is>
          <t>Night</t>
        </is>
      </c>
      <c r="F2910" t="inlineStr">
        <is>
          <t>Sep</t>
        </is>
      </c>
      <c r="G2910" s="18">
        <f>IF(D2910&lt;C2910,D2910+1-C2910,D2910-C2910)*24</f>
        <v/>
      </c>
      <c r="H2910" s="18">
        <f>MAX(0,G2910-8)</f>
        <v/>
      </c>
    </row>
    <row r="2911">
      <c r="A2911" t="n">
        <v>1134</v>
      </c>
      <c r="B2911" s="14" t="n">
        <v>46281</v>
      </c>
      <c r="C2911" s="17" t="n">
        <v>0.9375</v>
      </c>
      <c r="D2911" s="17" t="n">
        <v>0.2916666666666667</v>
      </c>
      <c r="E2911" t="inlineStr">
        <is>
          <t>Night</t>
        </is>
      </c>
      <c r="F2911" t="inlineStr">
        <is>
          <t>Sep</t>
        </is>
      </c>
      <c r="G2911" s="18">
        <f>IF(D2911&lt;C2911,D2911+1-C2911,D2911-C2911)*24</f>
        <v/>
      </c>
      <c r="H2911" s="18">
        <f>MAX(0,G2911-8)</f>
        <v/>
      </c>
    </row>
    <row r="2912">
      <c r="A2912" t="n">
        <v>1136</v>
      </c>
      <c r="B2912" s="14" t="n">
        <v>46281</v>
      </c>
      <c r="C2912" s="17" t="n">
        <v>0.9375</v>
      </c>
      <c r="D2912" s="17" t="n">
        <v>0.375</v>
      </c>
      <c r="E2912" t="inlineStr">
        <is>
          <t>Night</t>
        </is>
      </c>
      <c r="F2912" t="inlineStr">
        <is>
          <t>Sep</t>
        </is>
      </c>
      <c r="G2912" s="18">
        <f>IF(D2912&lt;C2912,D2912+1-C2912,D2912-C2912)*24</f>
        <v/>
      </c>
      <c r="H2912" s="18">
        <f>MAX(0,G2912-8)</f>
        <v/>
      </c>
    </row>
    <row r="2913">
      <c r="A2913" t="n">
        <v>1137</v>
      </c>
      <c r="B2913" s="14" t="n">
        <v>46281</v>
      </c>
      <c r="C2913" s="17" t="n">
        <v>0.9375</v>
      </c>
      <c r="D2913" s="17" t="n">
        <v>0.3958333333333333</v>
      </c>
      <c r="E2913" t="inlineStr">
        <is>
          <t>Night</t>
        </is>
      </c>
      <c r="F2913" t="inlineStr">
        <is>
          <t>Sep</t>
        </is>
      </c>
      <c r="G2913" s="18">
        <f>IF(D2913&lt;C2913,D2913+1-C2913,D2913-C2913)*24</f>
        <v/>
      </c>
      <c r="H2913" s="18">
        <f>MAX(0,G2913-8)</f>
        <v/>
      </c>
    </row>
    <row r="2914">
      <c r="A2914" t="n">
        <v>1147</v>
      </c>
      <c r="B2914" s="14" t="n">
        <v>46281</v>
      </c>
      <c r="C2914" s="17" t="n">
        <v>0.9270833333333334</v>
      </c>
      <c r="D2914" s="17" t="n">
        <v>0.2604166666666667</v>
      </c>
      <c r="E2914" t="inlineStr">
        <is>
          <t>Night</t>
        </is>
      </c>
      <c r="F2914" t="inlineStr">
        <is>
          <t>Sep</t>
        </is>
      </c>
      <c r="G2914" s="18">
        <f>IF(D2914&lt;C2914,D2914+1-C2914,D2914-C2914)*24</f>
        <v/>
      </c>
      <c r="H2914" s="18">
        <f>MAX(0,G2914-8)</f>
        <v/>
      </c>
    </row>
    <row r="2915">
      <c r="A2915" t="n">
        <v>1123</v>
      </c>
      <c r="B2915" s="14" t="n">
        <v>46281</v>
      </c>
      <c r="C2915" s="17" t="n">
        <v>0.01041666666666667</v>
      </c>
      <c r="D2915" s="17" t="n">
        <v>0.4895833333333333</v>
      </c>
      <c r="E2915" t="inlineStr">
        <is>
          <t>Night</t>
        </is>
      </c>
      <c r="F2915" t="inlineStr">
        <is>
          <t>Sep</t>
        </is>
      </c>
      <c r="G2915" s="18">
        <f>IF(D2915&lt;C2915,D2915+1-C2915,D2915-C2915)*24</f>
        <v/>
      </c>
      <c r="H2915" s="18">
        <f>MAX(0,G2915-8)</f>
        <v/>
      </c>
    </row>
    <row r="2916">
      <c r="A2916" t="n">
        <v>1124</v>
      </c>
      <c r="B2916" s="14" t="n">
        <v>46281</v>
      </c>
      <c r="C2916" s="17" t="n">
        <v>0.01041666666666667</v>
      </c>
      <c r="D2916" s="17" t="n">
        <v>0.3645833333333333</v>
      </c>
      <c r="E2916" t="inlineStr">
        <is>
          <t>Night</t>
        </is>
      </c>
      <c r="F2916" t="inlineStr">
        <is>
          <t>Sep</t>
        </is>
      </c>
      <c r="G2916" s="18">
        <f>IF(D2916&lt;C2916,D2916+1-C2916,D2916-C2916)*24</f>
        <v/>
      </c>
      <c r="H2916" s="18">
        <f>MAX(0,G2916-8)</f>
        <v/>
      </c>
    </row>
    <row r="2917">
      <c r="A2917" t="n">
        <v>1135</v>
      </c>
      <c r="B2917" s="14" t="n">
        <v>46281</v>
      </c>
      <c r="C2917" s="17" t="n">
        <v>0.02083333333333333</v>
      </c>
      <c r="D2917" s="17" t="n">
        <v>0.4583333333333333</v>
      </c>
      <c r="E2917" t="inlineStr">
        <is>
          <t>Night</t>
        </is>
      </c>
      <c r="F2917" t="inlineStr">
        <is>
          <t>Sep</t>
        </is>
      </c>
      <c r="G2917" s="18">
        <f>IF(D2917&lt;C2917,D2917+1-C2917,D2917-C2917)*24</f>
        <v/>
      </c>
      <c r="H2917" s="18">
        <f>MAX(0,G2917-8)</f>
        <v/>
      </c>
    </row>
    <row r="2918">
      <c r="A2918" t="n">
        <v>1201</v>
      </c>
      <c r="B2918" s="14" t="n">
        <v>46281</v>
      </c>
      <c r="C2918" s="17" t="n">
        <v>0.25</v>
      </c>
      <c r="D2918" s="17" t="n">
        <v>0.6666666666666666</v>
      </c>
      <c r="E2918" t="inlineStr">
        <is>
          <t>Day</t>
        </is>
      </c>
      <c r="F2918" t="inlineStr">
        <is>
          <t>Sep</t>
        </is>
      </c>
      <c r="G2918" s="18">
        <f>IF(D2918&lt;C2918,D2918+1-C2918,D2918-C2918)*24</f>
        <v/>
      </c>
      <c r="H2918" s="18">
        <f>MAX(0,G2918-8)</f>
        <v/>
      </c>
    </row>
    <row r="2919">
      <c r="A2919" t="n">
        <v>1202</v>
      </c>
      <c r="B2919" s="14" t="n">
        <v>46281</v>
      </c>
      <c r="C2919" s="17" t="n">
        <v>0.25</v>
      </c>
      <c r="D2919" s="17" t="n">
        <v>0.6666666666666666</v>
      </c>
      <c r="E2919" t="inlineStr">
        <is>
          <t>Day</t>
        </is>
      </c>
      <c r="F2919" t="inlineStr">
        <is>
          <t>Sep</t>
        </is>
      </c>
      <c r="G2919" s="18">
        <f>IF(D2919&lt;C2919,D2919+1-C2919,D2919-C2919)*24</f>
        <v/>
      </c>
      <c r="H2919" s="18">
        <f>MAX(0,G2919-8)</f>
        <v/>
      </c>
    </row>
    <row r="2920">
      <c r="A2920" t="n">
        <v>1203</v>
      </c>
      <c r="B2920" s="14" t="n">
        <v>46281</v>
      </c>
      <c r="C2920" s="17" t="n">
        <v>0.25</v>
      </c>
      <c r="D2920" s="17" t="n">
        <v>0.5833333333333334</v>
      </c>
      <c r="E2920" t="inlineStr">
        <is>
          <t>Day</t>
        </is>
      </c>
      <c r="F2920" t="inlineStr">
        <is>
          <t>Sep</t>
        </is>
      </c>
      <c r="G2920" s="18">
        <f>IF(D2920&lt;C2920,D2920+1-C2920,D2920-C2920)*24</f>
        <v/>
      </c>
      <c r="H2920" s="18">
        <f>MAX(0,G2920-8)</f>
        <v/>
      </c>
    </row>
    <row r="2921">
      <c r="A2921" t="n">
        <v>1204</v>
      </c>
      <c r="B2921" s="14" t="n">
        <v>46281</v>
      </c>
      <c r="C2921" s="17" t="n">
        <v>0.2708333333333333</v>
      </c>
      <c r="D2921" s="17" t="n">
        <v>0.6875</v>
      </c>
      <c r="E2921" t="inlineStr">
        <is>
          <t>Day</t>
        </is>
      </c>
      <c r="F2921" t="inlineStr">
        <is>
          <t>Sep</t>
        </is>
      </c>
      <c r="G2921" s="18">
        <f>IF(D2921&lt;C2921,D2921+1-C2921,D2921-C2921)*24</f>
        <v/>
      </c>
      <c r="H2921" s="18">
        <f>MAX(0,G2921-8)</f>
        <v/>
      </c>
    </row>
    <row r="2922">
      <c r="A2922" t="n">
        <v>1205</v>
      </c>
      <c r="B2922" s="14" t="n">
        <v>46281</v>
      </c>
      <c r="C2922" s="17" t="n">
        <v>0.25</v>
      </c>
      <c r="D2922" s="17" t="n">
        <v>0.6041666666666666</v>
      </c>
      <c r="E2922" t="inlineStr">
        <is>
          <t>Day</t>
        </is>
      </c>
      <c r="F2922" t="inlineStr">
        <is>
          <t>Sep</t>
        </is>
      </c>
      <c r="G2922" s="18">
        <f>IF(D2922&lt;C2922,D2922+1-C2922,D2922-C2922)*24</f>
        <v/>
      </c>
      <c r="H2922" s="18">
        <f>MAX(0,G2922-8)</f>
        <v/>
      </c>
    </row>
    <row r="2923">
      <c r="A2923" t="n">
        <v>1206</v>
      </c>
      <c r="B2923" s="14" t="n">
        <v>46281</v>
      </c>
      <c r="C2923" s="17" t="n">
        <v>0.25</v>
      </c>
      <c r="D2923" s="17" t="n">
        <v>0.625</v>
      </c>
      <c r="E2923" t="inlineStr">
        <is>
          <t>Day</t>
        </is>
      </c>
      <c r="F2923" t="inlineStr">
        <is>
          <t>Sep</t>
        </is>
      </c>
      <c r="G2923" s="18">
        <f>IF(D2923&lt;C2923,D2923+1-C2923,D2923-C2923)*24</f>
        <v/>
      </c>
      <c r="H2923" s="18">
        <f>MAX(0,G2923-8)</f>
        <v/>
      </c>
    </row>
    <row r="2924">
      <c r="A2924" t="n">
        <v>1210</v>
      </c>
      <c r="B2924" s="14" t="n">
        <v>46281</v>
      </c>
      <c r="C2924" s="17" t="n">
        <v>0.25</v>
      </c>
      <c r="D2924" s="17" t="n">
        <v>0.6666666666666666</v>
      </c>
      <c r="E2924" t="inlineStr">
        <is>
          <t>Day</t>
        </is>
      </c>
      <c r="F2924" t="inlineStr">
        <is>
          <t>Sep</t>
        </is>
      </c>
      <c r="G2924" s="18">
        <f>IF(D2924&lt;C2924,D2924+1-C2924,D2924-C2924)*24</f>
        <v/>
      </c>
      <c r="H2924" s="18">
        <f>MAX(0,G2924-8)</f>
        <v/>
      </c>
    </row>
    <row r="2925">
      <c r="A2925" t="n">
        <v>1211</v>
      </c>
      <c r="B2925" s="14" t="n">
        <v>46281</v>
      </c>
      <c r="C2925" s="17" t="n">
        <v>0.25</v>
      </c>
      <c r="D2925" s="17" t="n">
        <v>0.6666666666666666</v>
      </c>
      <c r="E2925" t="inlineStr">
        <is>
          <t>Day</t>
        </is>
      </c>
      <c r="F2925" t="inlineStr">
        <is>
          <t>Sep</t>
        </is>
      </c>
      <c r="G2925" s="18">
        <f>IF(D2925&lt;C2925,D2925+1-C2925,D2925-C2925)*24</f>
        <v/>
      </c>
      <c r="H2925" s="18">
        <f>MAX(0,G2925-8)</f>
        <v/>
      </c>
    </row>
    <row r="2926">
      <c r="A2926" t="n">
        <v>1212</v>
      </c>
      <c r="B2926" s="14" t="n">
        <v>46281</v>
      </c>
      <c r="C2926" s="17" t="n">
        <v>0.2708333333333333</v>
      </c>
      <c r="D2926" s="17" t="n">
        <v>0.6041666666666666</v>
      </c>
      <c r="E2926" t="inlineStr">
        <is>
          <t>Day</t>
        </is>
      </c>
      <c r="F2926" t="inlineStr">
        <is>
          <t>Sep</t>
        </is>
      </c>
      <c r="G2926" s="18">
        <f>IF(D2926&lt;C2926,D2926+1-C2926,D2926-C2926)*24</f>
        <v/>
      </c>
      <c r="H2926" s="18">
        <f>MAX(0,G2926-8)</f>
        <v/>
      </c>
    </row>
    <row r="2927">
      <c r="A2927" t="n">
        <v>1213</v>
      </c>
      <c r="B2927" s="14" t="n">
        <v>46281</v>
      </c>
      <c r="C2927" s="17" t="n">
        <v>0.2708333333333333</v>
      </c>
      <c r="D2927" s="17" t="n">
        <v>0.6458333333333334</v>
      </c>
      <c r="E2927" t="inlineStr">
        <is>
          <t>Day</t>
        </is>
      </c>
      <c r="F2927" t="inlineStr">
        <is>
          <t>Sep</t>
        </is>
      </c>
      <c r="G2927" s="18">
        <f>IF(D2927&lt;C2927,D2927+1-C2927,D2927-C2927)*24</f>
        <v/>
      </c>
      <c r="H2927" s="18">
        <f>MAX(0,G2927-8)</f>
        <v/>
      </c>
    </row>
    <row r="2928">
      <c r="A2928" t="n">
        <v>1214</v>
      </c>
      <c r="B2928" s="14" t="n">
        <v>46281</v>
      </c>
      <c r="C2928" s="17" t="n">
        <v>0.25</v>
      </c>
      <c r="D2928" s="17" t="n">
        <v>0.5833333333333334</v>
      </c>
      <c r="E2928" t="inlineStr">
        <is>
          <t>Day</t>
        </is>
      </c>
      <c r="F2928" t="inlineStr">
        <is>
          <t>Sep</t>
        </is>
      </c>
      <c r="G2928" s="18">
        <f>IF(D2928&lt;C2928,D2928+1-C2928,D2928-C2928)*24</f>
        <v/>
      </c>
      <c r="H2928" s="18">
        <f>MAX(0,G2928-8)</f>
        <v/>
      </c>
    </row>
    <row r="2929">
      <c r="A2929" t="n">
        <v>1215</v>
      </c>
      <c r="B2929" s="14" t="n">
        <v>46281</v>
      </c>
      <c r="C2929" s="17" t="n">
        <v>0.25</v>
      </c>
      <c r="D2929" s="17" t="n">
        <v>0.6666666666666666</v>
      </c>
      <c r="E2929" t="inlineStr">
        <is>
          <t>Day</t>
        </is>
      </c>
      <c r="F2929" t="inlineStr">
        <is>
          <t>Sep</t>
        </is>
      </c>
      <c r="G2929" s="18">
        <f>IF(D2929&lt;C2929,D2929+1-C2929,D2929-C2929)*24</f>
        <v/>
      </c>
      <c r="H2929" s="18">
        <f>MAX(0,G2929-8)</f>
        <v/>
      </c>
    </row>
    <row r="2930">
      <c r="A2930" t="n">
        <v>1216</v>
      </c>
      <c r="B2930" s="14" t="n">
        <v>46281</v>
      </c>
      <c r="C2930" s="17" t="n">
        <v>0.2708333333333333</v>
      </c>
      <c r="D2930" s="17" t="n">
        <v>0.6458333333333334</v>
      </c>
      <c r="E2930" t="inlineStr">
        <is>
          <t>Day</t>
        </is>
      </c>
      <c r="F2930" t="inlineStr">
        <is>
          <t>Sep</t>
        </is>
      </c>
      <c r="G2930" s="18">
        <f>IF(D2930&lt;C2930,D2930+1-C2930,D2930-C2930)*24</f>
        <v/>
      </c>
      <c r="H2930" s="18">
        <f>MAX(0,G2930-8)</f>
        <v/>
      </c>
    </row>
    <row r="2931">
      <c r="A2931" t="n">
        <v>1217</v>
      </c>
      <c r="B2931" s="14" t="n">
        <v>46281</v>
      </c>
      <c r="C2931" s="17" t="n">
        <v>0.25</v>
      </c>
      <c r="D2931" s="17" t="n">
        <v>0.5833333333333334</v>
      </c>
      <c r="E2931" t="inlineStr">
        <is>
          <t>Day</t>
        </is>
      </c>
      <c r="F2931" t="inlineStr">
        <is>
          <t>Sep</t>
        </is>
      </c>
      <c r="G2931" s="18">
        <f>IF(D2931&lt;C2931,D2931+1-C2931,D2931-C2931)*24</f>
        <v/>
      </c>
      <c r="H2931" s="18">
        <f>MAX(0,G2931-8)</f>
        <v/>
      </c>
    </row>
    <row r="2932">
      <c r="A2932" t="n">
        <v>1218</v>
      </c>
      <c r="B2932" s="14" t="n">
        <v>46281</v>
      </c>
      <c r="C2932" s="17" t="n">
        <v>0.25</v>
      </c>
      <c r="D2932" s="17" t="n">
        <v>0.6666666666666666</v>
      </c>
      <c r="E2932" t="inlineStr">
        <is>
          <t>Day</t>
        </is>
      </c>
      <c r="F2932" t="inlineStr">
        <is>
          <t>Sep</t>
        </is>
      </c>
      <c r="G2932" s="18">
        <f>IF(D2932&lt;C2932,D2932+1-C2932,D2932-C2932)*24</f>
        <v/>
      </c>
      <c r="H2932" s="18">
        <f>MAX(0,G2932-8)</f>
        <v/>
      </c>
    </row>
    <row r="2933">
      <c r="A2933" t="n">
        <v>1219</v>
      </c>
      <c r="B2933" s="14" t="n">
        <v>46281</v>
      </c>
      <c r="C2933" s="17" t="n">
        <v>0.25</v>
      </c>
      <c r="D2933" s="17" t="n">
        <v>0.6041666666666666</v>
      </c>
      <c r="E2933" t="inlineStr">
        <is>
          <t>Day</t>
        </is>
      </c>
      <c r="F2933" t="inlineStr">
        <is>
          <t>Sep</t>
        </is>
      </c>
      <c r="G2933" s="18">
        <f>IF(D2933&lt;C2933,D2933+1-C2933,D2933-C2933)*24</f>
        <v/>
      </c>
      <c r="H2933" s="18">
        <f>MAX(0,G2933-8)</f>
        <v/>
      </c>
    </row>
    <row r="2934">
      <c r="A2934" t="n">
        <v>1220</v>
      </c>
      <c r="B2934" s="14" t="n">
        <v>46281</v>
      </c>
      <c r="C2934" s="17" t="n">
        <v>0.25</v>
      </c>
      <c r="D2934" s="17" t="n">
        <v>0.6041666666666666</v>
      </c>
      <c r="E2934" t="inlineStr">
        <is>
          <t>Day</t>
        </is>
      </c>
      <c r="F2934" t="inlineStr">
        <is>
          <t>Sep</t>
        </is>
      </c>
      <c r="G2934" s="18">
        <f>IF(D2934&lt;C2934,D2934+1-C2934,D2934-C2934)*24</f>
        <v/>
      </c>
      <c r="H2934" s="18">
        <f>MAX(0,G2934-8)</f>
        <v/>
      </c>
    </row>
    <row r="2935">
      <c r="A2935" t="n">
        <v>1102</v>
      </c>
      <c r="B2935" s="14" t="n">
        <v>46282</v>
      </c>
      <c r="C2935" s="17" t="n">
        <v>0.9166666666666666</v>
      </c>
      <c r="D2935" s="17" t="n">
        <v>0.25</v>
      </c>
      <c r="E2935" t="inlineStr">
        <is>
          <t>Night</t>
        </is>
      </c>
      <c r="F2935" t="inlineStr">
        <is>
          <t>Sep</t>
        </is>
      </c>
      <c r="G2935" s="18">
        <f>IF(D2935&lt;C2935,D2935+1-C2935,D2935-C2935)*24</f>
        <v/>
      </c>
      <c r="H2935" s="18">
        <f>MAX(0,G2935-8)</f>
        <v/>
      </c>
    </row>
    <row r="2936">
      <c r="A2936" t="n">
        <v>1103</v>
      </c>
      <c r="B2936" s="14" t="n">
        <v>46282</v>
      </c>
      <c r="C2936" s="17" t="n">
        <v>0.9166666666666666</v>
      </c>
      <c r="D2936" s="17" t="n">
        <v>0.375</v>
      </c>
      <c r="E2936" t="inlineStr">
        <is>
          <t>Night</t>
        </is>
      </c>
      <c r="F2936" t="inlineStr">
        <is>
          <t>Sep</t>
        </is>
      </c>
      <c r="G2936" s="18">
        <f>IF(D2936&lt;C2936,D2936+1-C2936,D2936-C2936)*24</f>
        <v/>
      </c>
      <c r="H2936" s="18">
        <f>MAX(0,G2936-8)</f>
        <v/>
      </c>
    </row>
    <row r="2937">
      <c r="A2937" t="n">
        <v>1104</v>
      </c>
      <c r="B2937" s="14" t="n">
        <v>46282</v>
      </c>
      <c r="C2937" s="17" t="n">
        <v>0.9166666666666666</v>
      </c>
      <c r="D2937" s="17" t="n">
        <v>0.3333333333333333</v>
      </c>
      <c r="E2937" t="inlineStr">
        <is>
          <t>Night</t>
        </is>
      </c>
      <c r="F2937" t="inlineStr">
        <is>
          <t>Sep</t>
        </is>
      </c>
      <c r="G2937" s="18">
        <f>IF(D2937&lt;C2937,D2937+1-C2937,D2937-C2937)*24</f>
        <v/>
      </c>
      <c r="H2937" s="18">
        <f>MAX(0,G2937-8)</f>
        <v/>
      </c>
    </row>
    <row r="2938">
      <c r="A2938" t="n">
        <v>1106</v>
      </c>
      <c r="B2938" s="14" t="n">
        <v>46282</v>
      </c>
      <c r="C2938" s="17" t="n">
        <v>0.9166666666666666</v>
      </c>
      <c r="D2938" s="17" t="n">
        <v>0.2708333333333333</v>
      </c>
      <c r="E2938" t="inlineStr">
        <is>
          <t>Night</t>
        </is>
      </c>
      <c r="F2938" t="inlineStr">
        <is>
          <t>Sep</t>
        </is>
      </c>
      <c r="G2938" s="18">
        <f>IF(D2938&lt;C2938,D2938+1-C2938,D2938-C2938)*24</f>
        <v/>
      </c>
      <c r="H2938" s="18">
        <f>MAX(0,G2938-8)</f>
        <v/>
      </c>
    </row>
    <row r="2939">
      <c r="A2939" t="n">
        <v>1107</v>
      </c>
      <c r="B2939" s="14" t="n">
        <v>46282</v>
      </c>
      <c r="C2939" s="17" t="n">
        <v>0.9166666666666666</v>
      </c>
      <c r="D2939" s="17" t="n">
        <v>0.3125</v>
      </c>
      <c r="E2939" t="inlineStr">
        <is>
          <t>Night</t>
        </is>
      </c>
      <c r="F2939" t="inlineStr">
        <is>
          <t>Sep</t>
        </is>
      </c>
      <c r="G2939" s="18">
        <f>IF(D2939&lt;C2939,D2939+1-C2939,D2939-C2939)*24</f>
        <v/>
      </c>
      <c r="H2939" s="18">
        <f>MAX(0,G2939-8)</f>
        <v/>
      </c>
    </row>
    <row r="2940">
      <c r="A2940" t="n">
        <v>1108</v>
      </c>
      <c r="B2940" s="14" t="n">
        <v>46282</v>
      </c>
      <c r="C2940" s="17" t="n">
        <v>0.9166666666666666</v>
      </c>
      <c r="D2940" s="17" t="n">
        <v>0.3958333333333333</v>
      </c>
      <c r="E2940" t="inlineStr">
        <is>
          <t>Night</t>
        </is>
      </c>
      <c r="F2940" t="inlineStr">
        <is>
          <t>Sep</t>
        </is>
      </c>
      <c r="G2940" s="18">
        <f>IF(D2940&lt;C2940,D2940+1-C2940,D2940-C2940)*24</f>
        <v/>
      </c>
      <c r="H2940" s="18">
        <f>MAX(0,G2940-8)</f>
        <v/>
      </c>
    </row>
    <row r="2941">
      <c r="A2941" t="n">
        <v>1110</v>
      </c>
      <c r="B2941" s="14" t="n">
        <v>46282</v>
      </c>
      <c r="C2941" s="17" t="n">
        <v>0.9166666666666666</v>
      </c>
      <c r="D2941" s="17" t="n">
        <v>0.2708333333333333</v>
      </c>
      <c r="E2941" t="inlineStr">
        <is>
          <t>Night</t>
        </is>
      </c>
      <c r="F2941" t="inlineStr">
        <is>
          <t>Sep</t>
        </is>
      </c>
      <c r="G2941" s="18">
        <f>IF(D2941&lt;C2941,D2941+1-C2941,D2941-C2941)*24</f>
        <v/>
      </c>
      <c r="H2941" s="18">
        <f>MAX(0,G2941-8)</f>
        <v/>
      </c>
    </row>
    <row r="2942">
      <c r="A2942" t="n">
        <v>1111</v>
      </c>
      <c r="B2942" s="14" t="n">
        <v>46282</v>
      </c>
      <c r="C2942" s="17" t="n">
        <v>0.9166666666666666</v>
      </c>
      <c r="D2942" s="17" t="n">
        <v>0.2708333333333333</v>
      </c>
      <c r="E2942" t="inlineStr">
        <is>
          <t>Night</t>
        </is>
      </c>
      <c r="F2942" t="inlineStr">
        <is>
          <t>Sep</t>
        </is>
      </c>
      <c r="G2942" s="18">
        <f>IF(D2942&lt;C2942,D2942+1-C2942,D2942-C2942)*24</f>
        <v/>
      </c>
      <c r="H2942" s="18">
        <f>MAX(0,G2942-8)</f>
        <v/>
      </c>
    </row>
    <row r="2943">
      <c r="A2943" t="n">
        <v>1112</v>
      </c>
      <c r="B2943" s="14" t="n">
        <v>46282</v>
      </c>
      <c r="C2943" s="17" t="n">
        <v>0.9375</v>
      </c>
      <c r="D2943" s="17" t="n">
        <v>0.3125</v>
      </c>
      <c r="E2943" t="inlineStr">
        <is>
          <t>Night</t>
        </is>
      </c>
      <c r="F2943" t="inlineStr">
        <is>
          <t>Sep</t>
        </is>
      </c>
      <c r="G2943" s="18">
        <f>IF(D2943&lt;C2943,D2943+1-C2943,D2943-C2943)*24</f>
        <v/>
      </c>
      <c r="H2943" s="18">
        <f>MAX(0,G2943-8)</f>
        <v/>
      </c>
    </row>
    <row r="2944">
      <c r="A2944" t="n">
        <v>1113</v>
      </c>
      <c r="B2944" s="14" t="n">
        <v>46282</v>
      </c>
      <c r="C2944" s="17" t="n">
        <v>0.9375</v>
      </c>
      <c r="D2944" s="17" t="n">
        <v>0.2708333333333333</v>
      </c>
      <c r="E2944" t="inlineStr">
        <is>
          <t>Night</t>
        </is>
      </c>
      <c r="F2944" t="inlineStr">
        <is>
          <t>Sep</t>
        </is>
      </c>
      <c r="G2944" s="18">
        <f>IF(D2944&lt;C2944,D2944+1-C2944,D2944-C2944)*24</f>
        <v/>
      </c>
      <c r="H2944" s="18">
        <f>MAX(0,G2944-8)</f>
        <v/>
      </c>
    </row>
    <row r="2945">
      <c r="A2945" t="n">
        <v>1114</v>
      </c>
      <c r="B2945" s="14" t="n">
        <v>46282</v>
      </c>
      <c r="C2945" s="17" t="n">
        <v>0.9166666666666666</v>
      </c>
      <c r="D2945" s="17" t="n">
        <v>0.3958333333333333</v>
      </c>
      <c r="E2945" t="inlineStr">
        <is>
          <t>Night</t>
        </is>
      </c>
      <c r="F2945" t="inlineStr">
        <is>
          <t>Sep</t>
        </is>
      </c>
      <c r="G2945" s="18">
        <f>IF(D2945&lt;C2945,D2945+1-C2945,D2945-C2945)*24</f>
        <v/>
      </c>
      <c r="H2945" s="18">
        <f>MAX(0,G2945-8)</f>
        <v/>
      </c>
    </row>
    <row r="2946">
      <c r="A2946" t="n">
        <v>1115</v>
      </c>
      <c r="B2946" s="14" t="n">
        <v>46282</v>
      </c>
      <c r="C2946" s="17" t="n">
        <v>0.9270833333333334</v>
      </c>
      <c r="D2946" s="17" t="n">
        <v>0.28125</v>
      </c>
      <c r="E2946" t="inlineStr">
        <is>
          <t>Night</t>
        </is>
      </c>
      <c r="F2946" t="inlineStr">
        <is>
          <t>Sep</t>
        </is>
      </c>
      <c r="G2946" s="18">
        <f>IF(D2946&lt;C2946,D2946+1-C2946,D2946-C2946)*24</f>
        <v/>
      </c>
      <c r="H2946" s="18">
        <f>MAX(0,G2946-8)</f>
        <v/>
      </c>
    </row>
    <row r="2947">
      <c r="A2947" t="n">
        <v>1117</v>
      </c>
      <c r="B2947" s="14" t="n">
        <v>46282</v>
      </c>
      <c r="C2947" s="17" t="n">
        <v>0.9166666666666666</v>
      </c>
      <c r="D2947" s="17" t="n">
        <v>0.3333333333333333</v>
      </c>
      <c r="E2947" t="inlineStr">
        <is>
          <t>Night</t>
        </is>
      </c>
      <c r="F2947" t="inlineStr">
        <is>
          <t>Sep</t>
        </is>
      </c>
      <c r="G2947" s="18">
        <f>IF(D2947&lt;C2947,D2947+1-C2947,D2947-C2947)*24</f>
        <v/>
      </c>
      <c r="H2947" s="18">
        <f>MAX(0,G2947-8)</f>
        <v/>
      </c>
    </row>
    <row r="2948">
      <c r="A2948" t="n">
        <v>1118</v>
      </c>
      <c r="B2948" s="14" t="n">
        <v>46282</v>
      </c>
      <c r="C2948" s="17" t="n">
        <v>0.9166666666666666</v>
      </c>
      <c r="D2948" s="17" t="n">
        <v>0.3125</v>
      </c>
      <c r="E2948" t="inlineStr">
        <is>
          <t>Night</t>
        </is>
      </c>
      <c r="F2948" t="inlineStr">
        <is>
          <t>Sep</t>
        </is>
      </c>
      <c r="G2948" s="18">
        <f>IF(D2948&lt;C2948,D2948+1-C2948,D2948-C2948)*24</f>
        <v/>
      </c>
      <c r="H2948" s="18">
        <f>MAX(0,G2948-8)</f>
        <v/>
      </c>
    </row>
    <row r="2949">
      <c r="A2949" t="n">
        <v>1120</v>
      </c>
      <c r="B2949" s="14" t="n">
        <v>46282</v>
      </c>
      <c r="C2949" s="17" t="n">
        <v>0.9166666666666666</v>
      </c>
      <c r="D2949" s="17" t="n">
        <v>0.375</v>
      </c>
      <c r="E2949" t="inlineStr">
        <is>
          <t>Night</t>
        </is>
      </c>
      <c r="F2949" t="inlineStr">
        <is>
          <t>Sep</t>
        </is>
      </c>
      <c r="G2949" s="18">
        <f>IF(D2949&lt;C2949,D2949+1-C2949,D2949-C2949)*24</f>
        <v/>
      </c>
      <c r="H2949" s="18">
        <f>MAX(0,G2949-8)</f>
        <v/>
      </c>
    </row>
    <row r="2950">
      <c r="A2950" t="n">
        <v>1121</v>
      </c>
      <c r="B2950" s="14" t="n">
        <v>46282</v>
      </c>
      <c r="C2950" s="17" t="n">
        <v>0.9166666666666666</v>
      </c>
      <c r="D2950" s="17" t="n">
        <v>0.3541666666666667</v>
      </c>
      <c r="E2950" t="inlineStr">
        <is>
          <t>Night</t>
        </is>
      </c>
      <c r="F2950" t="inlineStr">
        <is>
          <t>Sep</t>
        </is>
      </c>
      <c r="G2950" s="18">
        <f>IF(D2950&lt;C2950,D2950+1-C2950,D2950-C2950)*24</f>
        <v/>
      </c>
      <c r="H2950" s="18">
        <f>MAX(0,G2950-8)</f>
        <v/>
      </c>
    </row>
    <row r="2951">
      <c r="A2951" t="n">
        <v>1122</v>
      </c>
      <c r="B2951" s="14" t="n">
        <v>46282</v>
      </c>
      <c r="C2951" s="17" t="n">
        <v>0.9166666666666666</v>
      </c>
      <c r="D2951" s="17" t="n">
        <v>0.2708333333333333</v>
      </c>
      <c r="E2951" t="inlineStr">
        <is>
          <t>Night</t>
        </is>
      </c>
      <c r="F2951" t="inlineStr">
        <is>
          <t>Sep</t>
        </is>
      </c>
      <c r="G2951" s="18">
        <f>IF(D2951&lt;C2951,D2951+1-C2951,D2951-C2951)*24</f>
        <v/>
      </c>
      <c r="H2951" s="18">
        <f>MAX(0,G2951-8)</f>
        <v/>
      </c>
    </row>
    <row r="2952">
      <c r="A2952" t="n">
        <v>1123</v>
      </c>
      <c r="B2952" s="14" t="n">
        <v>46282</v>
      </c>
      <c r="C2952" s="17" t="n">
        <v>0.9270833333333334</v>
      </c>
      <c r="D2952" s="17" t="n">
        <v>0.2604166666666667</v>
      </c>
      <c r="E2952" t="inlineStr">
        <is>
          <t>Night</t>
        </is>
      </c>
      <c r="F2952" t="inlineStr">
        <is>
          <t>Sep</t>
        </is>
      </c>
      <c r="G2952" s="18">
        <f>IF(D2952&lt;C2952,D2952+1-C2952,D2952-C2952)*24</f>
        <v/>
      </c>
      <c r="H2952" s="18">
        <f>MAX(0,G2952-8)</f>
        <v/>
      </c>
    </row>
    <row r="2953">
      <c r="A2953" t="n">
        <v>1124</v>
      </c>
      <c r="B2953" s="14" t="n">
        <v>46282</v>
      </c>
      <c r="C2953" s="17" t="n">
        <v>0.9166666666666666</v>
      </c>
      <c r="D2953" s="17" t="n">
        <v>0.375</v>
      </c>
      <c r="E2953" t="inlineStr">
        <is>
          <t>Night</t>
        </is>
      </c>
      <c r="F2953" t="inlineStr">
        <is>
          <t>Sep</t>
        </is>
      </c>
      <c r="G2953" s="18">
        <f>IF(D2953&lt;C2953,D2953+1-C2953,D2953-C2953)*24</f>
        <v/>
      </c>
      <c r="H2953" s="18">
        <f>MAX(0,G2953-8)</f>
        <v/>
      </c>
    </row>
    <row r="2954">
      <c r="A2954" t="n">
        <v>1125</v>
      </c>
      <c r="B2954" s="14" t="n">
        <v>46282</v>
      </c>
      <c r="C2954" s="17" t="n">
        <v>0.9166666666666666</v>
      </c>
      <c r="D2954" s="17" t="n">
        <v>0.2916666666666667</v>
      </c>
      <c r="E2954" t="inlineStr">
        <is>
          <t>Night</t>
        </is>
      </c>
      <c r="F2954" t="inlineStr">
        <is>
          <t>Sep</t>
        </is>
      </c>
      <c r="G2954" s="18">
        <f>IF(D2954&lt;C2954,D2954+1-C2954,D2954-C2954)*24</f>
        <v/>
      </c>
      <c r="H2954" s="18">
        <f>MAX(0,G2954-8)</f>
        <v/>
      </c>
    </row>
    <row r="2955">
      <c r="A2955" t="n">
        <v>1126</v>
      </c>
      <c r="B2955" s="14" t="n">
        <v>46282</v>
      </c>
      <c r="C2955" s="17" t="n">
        <v>0.9166666666666666</v>
      </c>
      <c r="D2955" s="17" t="n">
        <v>0.3333333333333333</v>
      </c>
      <c r="E2955" t="inlineStr">
        <is>
          <t>Night</t>
        </is>
      </c>
      <c r="F2955" t="inlineStr">
        <is>
          <t>Sep</t>
        </is>
      </c>
      <c r="G2955" s="18">
        <f>IF(D2955&lt;C2955,D2955+1-C2955,D2955-C2955)*24</f>
        <v/>
      </c>
      <c r="H2955" s="18">
        <f>MAX(0,G2955-8)</f>
        <v/>
      </c>
    </row>
    <row r="2956">
      <c r="A2956" t="n">
        <v>1127</v>
      </c>
      <c r="B2956" s="14" t="n">
        <v>46282</v>
      </c>
      <c r="C2956" s="17" t="n">
        <v>0.9166666666666666</v>
      </c>
      <c r="D2956" s="17" t="n">
        <v>0.25</v>
      </c>
      <c r="E2956" t="inlineStr">
        <is>
          <t>Night</t>
        </is>
      </c>
      <c r="F2956" t="inlineStr">
        <is>
          <t>Sep</t>
        </is>
      </c>
      <c r="G2956" s="18">
        <f>IF(D2956&lt;C2956,D2956+1-C2956,D2956-C2956)*24</f>
        <v/>
      </c>
      <c r="H2956" s="18">
        <f>MAX(0,G2956-8)</f>
        <v/>
      </c>
    </row>
    <row r="2957">
      <c r="A2957" t="n">
        <v>1128</v>
      </c>
      <c r="B2957" s="14" t="n">
        <v>46282</v>
      </c>
      <c r="C2957" s="17" t="n">
        <v>0.9166666666666666</v>
      </c>
      <c r="D2957" s="17" t="n">
        <v>0.3333333333333333</v>
      </c>
      <c r="E2957" t="inlineStr">
        <is>
          <t>Night</t>
        </is>
      </c>
      <c r="F2957" t="inlineStr">
        <is>
          <t>Sep</t>
        </is>
      </c>
      <c r="G2957" s="18">
        <f>IF(D2957&lt;C2957,D2957+1-C2957,D2957-C2957)*24</f>
        <v/>
      </c>
      <c r="H2957" s="18">
        <f>MAX(0,G2957-8)</f>
        <v/>
      </c>
    </row>
    <row r="2958">
      <c r="A2958" t="n">
        <v>1130</v>
      </c>
      <c r="B2958" s="14" t="n">
        <v>46282</v>
      </c>
      <c r="C2958" s="17" t="n">
        <v>0.9166666666666666</v>
      </c>
      <c r="D2958" s="17" t="n">
        <v>0.3541666666666667</v>
      </c>
      <c r="E2958" t="inlineStr">
        <is>
          <t>Night</t>
        </is>
      </c>
      <c r="F2958" t="inlineStr">
        <is>
          <t>Sep</t>
        </is>
      </c>
      <c r="G2958" s="18">
        <f>IF(D2958&lt;C2958,D2958+1-C2958,D2958-C2958)*24</f>
        <v/>
      </c>
      <c r="H2958" s="18">
        <f>MAX(0,G2958-8)</f>
        <v/>
      </c>
    </row>
    <row r="2959">
      <c r="A2959" t="n">
        <v>1133</v>
      </c>
      <c r="B2959" s="14" t="n">
        <v>46282</v>
      </c>
      <c r="C2959" s="17" t="n">
        <v>0.9166666666666666</v>
      </c>
      <c r="D2959" s="17" t="n">
        <v>0.3125</v>
      </c>
      <c r="E2959" t="inlineStr">
        <is>
          <t>Night</t>
        </is>
      </c>
      <c r="F2959" t="inlineStr">
        <is>
          <t>Sep</t>
        </is>
      </c>
      <c r="G2959" s="18">
        <f>IF(D2959&lt;C2959,D2959+1-C2959,D2959-C2959)*24</f>
        <v/>
      </c>
      <c r="H2959" s="18">
        <f>MAX(0,G2959-8)</f>
        <v/>
      </c>
    </row>
    <row r="2960">
      <c r="A2960" t="n">
        <v>1134</v>
      </c>
      <c r="B2960" s="14" t="n">
        <v>46282</v>
      </c>
      <c r="C2960" s="17" t="n">
        <v>0.9166666666666666</v>
      </c>
      <c r="D2960" s="17" t="n">
        <v>0.2708333333333333</v>
      </c>
      <c r="E2960" t="inlineStr">
        <is>
          <t>Night</t>
        </is>
      </c>
      <c r="F2960" t="inlineStr">
        <is>
          <t>Sep</t>
        </is>
      </c>
      <c r="G2960" s="18">
        <f>IF(D2960&lt;C2960,D2960+1-C2960,D2960-C2960)*24</f>
        <v/>
      </c>
      <c r="H2960" s="18">
        <f>MAX(0,G2960-8)</f>
        <v/>
      </c>
    </row>
    <row r="2961">
      <c r="A2961" t="n">
        <v>1135</v>
      </c>
      <c r="B2961" s="14" t="n">
        <v>46282</v>
      </c>
      <c r="C2961" s="17" t="n">
        <v>0.9375</v>
      </c>
      <c r="D2961" s="17" t="n">
        <v>0.3541666666666667</v>
      </c>
      <c r="E2961" t="inlineStr">
        <is>
          <t>Night</t>
        </is>
      </c>
      <c r="F2961" t="inlineStr">
        <is>
          <t>Sep</t>
        </is>
      </c>
      <c r="G2961" s="18">
        <f>IF(D2961&lt;C2961,D2961+1-C2961,D2961-C2961)*24</f>
        <v/>
      </c>
      <c r="H2961" s="18">
        <f>MAX(0,G2961-8)</f>
        <v/>
      </c>
    </row>
    <row r="2962">
      <c r="A2962" t="n">
        <v>1136</v>
      </c>
      <c r="B2962" s="14" t="n">
        <v>46282</v>
      </c>
      <c r="C2962" s="17" t="n">
        <v>0.9166666666666666</v>
      </c>
      <c r="D2962" s="17" t="n">
        <v>0.3958333333333333</v>
      </c>
      <c r="E2962" t="inlineStr">
        <is>
          <t>Night</t>
        </is>
      </c>
      <c r="F2962" t="inlineStr">
        <is>
          <t>Sep</t>
        </is>
      </c>
      <c r="G2962" s="18">
        <f>IF(D2962&lt;C2962,D2962+1-C2962,D2962-C2962)*24</f>
        <v/>
      </c>
      <c r="H2962" s="18">
        <f>MAX(0,G2962-8)</f>
        <v/>
      </c>
    </row>
    <row r="2963">
      <c r="A2963" t="n">
        <v>1137</v>
      </c>
      <c r="B2963" s="14" t="n">
        <v>46282</v>
      </c>
      <c r="C2963" s="17" t="n">
        <v>0.9270833333333334</v>
      </c>
      <c r="D2963" s="17" t="n">
        <v>0.3229166666666667</v>
      </c>
      <c r="E2963" t="inlineStr">
        <is>
          <t>Night</t>
        </is>
      </c>
      <c r="F2963" t="inlineStr">
        <is>
          <t>Sep</t>
        </is>
      </c>
      <c r="G2963" s="18">
        <f>IF(D2963&lt;C2963,D2963+1-C2963,D2963-C2963)*24</f>
        <v/>
      </c>
      <c r="H2963" s="18">
        <f>MAX(0,G2963-8)</f>
        <v/>
      </c>
    </row>
    <row r="2964">
      <c r="A2964" t="n">
        <v>1147</v>
      </c>
      <c r="B2964" s="14" t="n">
        <v>46282</v>
      </c>
      <c r="C2964" s="17" t="n">
        <v>0.9166666666666666</v>
      </c>
      <c r="D2964" s="17" t="n">
        <v>0.3333333333333333</v>
      </c>
      <c r="E2964" t="inlineStr">
        <is>
          <t>Night</t>
        </is>
      </c>
      <c r="F2964" t="inlineStr">
        <is>
          <t>Sep</t>
        </is>
      </c>
      <c r="G2964" s="18">
        <f>IF(D2964&lt;C2964,D2964+1-C2964,D2964-C2964)*24</f>
        <v/>
      </c>
      <c r="H2964" s="18">
        <f>MAX(0,G2964-8)</f>
        <v/>
      </c>
    </row>
    <row r="2965">
      <c r="A2965" t="n">
        <v>1101</v>
      </c>
      <c r="B2965" s="14" t="n">
        <v>46282</v>
      </c>
      <c r="C2965" s="17" t="n">
        <v>0.01041666666666667</v>
      </c>
      <c r="D2965" s="17" t="n">
        <v>0.34375</v>
      </c>
      <c r="E2965" t="inlineStr">
        <is>
          <t>Night</t>
        </is>
      </c>
      <c r="F2965" t="inlineStr">
        <is>
          <t>Sep</t>
        </is>
      </c>
      <c r="G2965" s="18">
        <f>IF(D2965&lt;C2965,D2965+1-C2965,D2965-C2965)*24</f>
        <v/>
      </c>
      <c r="H2965" s="18">
        <f>MAX(0,G2965-8)</f>
        <v/>
      </c>
    </row>
    <row r="2966">
      <c r="A2966" t="n">
        <v>1119</v>
      </c>
      <c r="B2966" s="14" t="n">
        <v>46282</v>
      </c>
      <c r="C2966" s="17" t="n">
        <v>0.02083333333333333</v>
      </c>
      <c r="D2966" s="17" t="n">
        <v>0.3541666666666667</v>
      </c>
      <c r="E2966" t="inlineStr">
        <is>
          <t>Night</t>
        </is>
      </c>
      <c r="F2966" t="inlineStr">
        <is>
          <t>Sep</t>
        </is>
      </c>
      <c r="G2966" s="18">
        <f>IF(D2966&lt;C2966,D2966+1-C2966,D2966-C2966)*24</f>
        <v/>
      </c>
      <c r="H2966" s="18">
        <f>MAX(0,G2966-8)</f>
        <v/>
      </c>
    </row>
    <row r="2967">
      <c r="A2967" t="n">
        <v>1129</v>
      </c>
      <c r="B2967" s="14" t="n">
        <v>46282</v>
      </c>
      <c r="C2967" s="17" t="n">
        <v>0.01041666666666667</v>
      </c>
      <c r="D2967" s="17" t="n">
        <v>0.3854166666666667</v>
      </c>
      <c r="E2967" t="inlineStr">
        <is>
          <t>Night</t>
        </is>
      </c>
      <c r="F2967" t="inlineStr">
        <is>
          <t>Sep</t>
        </is>
      </c>
      <c r="G2967" s="18">
        <f>IF(D2967&lt;C2967,D2967+1-C2967,D2967-C2967)*24</f>
        <v/>
      </c>
      <c r="H2967" s="18">
        <f>MAX(0,G2967-8)</f>
        <v/>
      </c>
    </row>
    <row r="2968">
      <c r="A2968" t="n">
        <v>1132</v>
      </c>
      <c r="B2968" s="14" t="n">
        <v>46282</v>
      </c>
      <c r="C2968" s="17" t="n">
        <v>0.02083333333333333</v>
      </c>
      <c r="D2968" s="17" t="n">
        <v>0.3541666666666667</v>
      </c>
      <c r="E2968" t="inlineStr">
        <is>
          <t>Night</t>
        </is>
      </c>
      <c r="F2968" t="inlineStr">
        <is>
          <t>Sep</t>
        </is>
      </c>
      <c r="G2968" s="18">
        <f>IF(D2968&lt;C2968,D2968+1-C2968,D2968-C2968)*24</f>
        <v/>
      </c>
      <c r="H2968" s="18">
        <f>MAX(0,G2968-8)</f>
        <v/>
      </c>
    </row>
    <row r="2969">
      <c r="A2969" t="n">
        <v>1201</v>
      </c>
      <c r="B2969" s="14" t="n">
        <v>46282</v>
      </c>
      <c r="C2969" s="17" t="n">
        <v>0.25</v>
      </c>
      <c r="D2969" s="17" t="n">
        <v>0.625</v>
      </c>
      <c r="E2969" t="inlineStr">
        <is>
          <t>Day</t>
        </is>
      </c>
      <c r="F2969" t="inlineStr">
        <is>
          <t>Sep</t>
        </is>
      </c>
      <c r="G2969" s="18">
        <f>IF(D2969&lt;C2969,D2969+1-C2969,D2969-C2969)*24</f>
        <v/>
      </c>
      <c r="H2969" s="18">
        <f>MAX(0,G2969-8)</f>
        <v/>
      </c>
    </row>
    <row r="2970">
      <c r="A2970" t="n">
        <v>1202</v>
      </c>
      <c r="B2970" s="14" t="n">
        <v>46282</v>
      </c>
      <c r="C2970" s="17" t="n">
        <v>0.2708333333333333</v>
      </c>
      <c r="D2970" s="17" t="n">
        <v>0.6875</v>
      </c>
      <c r="E2970" t="inlineStr">
        <is>
          <t>Day</t>
        </is>
      </c>
      <c r="F2970" t="inlineStr">
        <is>
          <t>Sep</t>
        </is>
      </c>
      <c r="G2970" s="18">
        <f>IF(D2970&lt;C2970,D2970+1-C2970,D2970-C2970)*24</f>
        <v/>
      </c>
      <c r="H2970" s="18">
        <f>MAX(0,G2970-8)</f>
        <v/>
      </c>
    </row>
    <row r="2971">
      <c r="A2971" t="n">
        <v>1203</v>
      </c>
      <c r="B2971" s="14" t="n">
        <v>46282</v>
      </c>
      <c r="C2971" s="17" t="n">
        <v>0.25</v>
      </c>
      <c r="D2971" s="17" t="n">
        <v>0.625</v>
      </c>
      <c r="E2971" t="inlineStr">
        <is>
          <t>Day</t>
        </is>
      </c>
      <c r="F2971" t="inlineStr">
        <is>
          <t>Sep</t>
        </is>
      </c>
      <c r="G2971" s="18">
        <f>IF(D2971&lt;C2971,D2971+1-C2971,D2971-C2971)*24</f>
        <v/>
      </c>
      <c r="H2971" s="18">
        <f>MAX(0,G2971-8)</f>
        <v/>
      </c>
    </row>
    <row r="2972">
      <c r="A2972" t="n">
        <v>1204</v>
      </c>
      <c r="B2972" s="14" t="n">
        <v>46282</v>
      </c>
      <c r="C2972" s="17" t="n">
        <v>0.2708333333333333</v>
      </c>
      <c r="D2972" s="17" t="n">
        <v>0.6041666666666666</v>
      </c>
      <c r="E2972" t="inlineStr">
        <is>
          <t>Day</t>
        </is>
      </c>
      <c r="F2972" t="inlineStr">
        <is>
          <t>Sep</t>
        </is>
      </c>
      <c r="G2972" s="18">
        <f>IF(D2972&lt;C2972,D2972+1-C2972,D2972-C2972)*24</f>
        <v/>
      </c>
      <c r="H2972" s="18">
        <f>MAX(0,G2972-8)</f>
        <v/>
      </c>
    </row>
    <row r="2973">
      <c r="A2973" t="n">
        <v>1206</v>
      </c>
      <c r="B2973" s="14" t="n">
        <v>46282</v>
      </c>
      <c r="C2973" s="17" t="n">
        <v>0.25</v>
      </c>
      <c r="D2973" s="17" t="n">
        <v>0.6041666666666666</v>
      </c>
      <c r="E2973" t="inlineStr">
        <is>
          <t>Day</t>
        </is>
      </c>
      <c r="F2973" t="inlineStr">
        <is>
          <t>Sep</t>
        </is>
      </c>
      <c r="G2973" s="18">
        <f>IF(D2973&lt;C2973,D2973+1-C2973,D2973-C2973)*24</f>
        <v/>
      </c>
      <c r="H2973" s="18">
        <f>MAX(0,G2973-8)</f>
        <v/>
      </c>
    </row>
    <row r="2974">
      <c r="A2974" t="n">
        <v>1207</v>
      </c>
      <c r="B2974" s="14" t="n">
        <v>46282</v>
      </c>
      <c r="C2974" s="17" t="n">
        <v>0.25</v>
      </c>
      <c r="D2974" s="17" t="n">
        <v>0.6041666666666666</v>
      </c>
      <c r="E2974" t="inlineStr">
        <is>
          <t>Day</t>
        </is>
      </c>
      <c r="F2974" t="inlineStr">
        <is>
          <t>Sep</t>
        </is>
      </c>
      <c r="G2974" s="18">
        <f>IF(D2974&lt;C2974,D2974+1-C2974,D2974-C2974)*24</f>
        <v/>
      </c>
      <c r="H2974" s="18">
        <f>MAX(0,G2974-8)</f>
        <v/>
      </c>
    </row>
    <row r="2975">
      <c r="A2975" t="n">
        <v>1208</v>
      </c>
      <c r="B2975" s="14" t="n">
        <v>46282</v>
      </c>
      <c r="C2975" s="17" t="n">
        <v>0.2708333333333333</v>
      </c>
      <c r="D2975" s="17" t="n">
        <v>0.625</v>
      </c>
      <c r="E2975" t="inlineStr">
        <is>
          <t>Day</t>
        </is>
      </c>
      <c r="F2975" t="inlineStr">
        <is>
          <t>Sep</t>
        </is>
      </c>
      <c r="G2975" s="18">
        <f>IF(D2975&lt;C2975,D2975+1-C2975,D2975-C2975)*24</f>
        <v/>
      </c>
      <c r="H2975" s="18">
        <f>MAX(0,G2975-8)</f>
        <v/>
      </c>
    </row>
    <row r="2976">
      <c r="A2976" t="n">
        <v>1209</v>
      </c>
      <c r="B2976" s="14" t="n">
        <v>46282</v>
      </c>
      <c r="C2976" s="17" t="n">
        <v>0.2708333333333333</v>
      </c>
      <c r="D2976" s="17" t="n">
        <v>0.6041666666666666</v>
      </c>
      <c r="E2976" t="inlineStr">
        <is>
          <t>Day</t>
        </is>
      </c>
      <c r="F2976" t="inlineStr">
        <is>
          <t>Sep</t>
        </is>
      </c>
      <c r="G2976" s="18">
        <f>IF(D2976&lt;C2976,D2976+1-C2976,D2976-C2976)*24</f>
        <v/>
      </c>
      <c r="H2976" s="18">
        <f>MAX(0,G2976-8)</f>
        <v/>
      </c>
    </row>
    <row r="2977">
      <c r="A2977" t="n">
        <v>1210</v>
      </c>
      <c r="B2977" s="14" t="n">
        <v>46282</v>
      </c>
      <c r="C2977" s="17" t="n">
        <v>0.25</v>
      </c>
      <c r="D2977" s="17" t="n">
        <v>0.5833333333333334</v>
      </c>
      <c r="E2977" t="inlineStr">
        <is>
          <t>Day</t>
        </is>
      </c>
      <c r="F2977" t="inlineStr">
        <is>
          <t>Sep</t>
        </is>
      </c>
      <c r="G2977" s="18">
        <f>IF(D2977&lt;C2977,D2977+1-C2977,D2977-C2977)*24</f>
        <v/>
      </c>
      <c r="H2977" s="18">
        <f>MAX(0,G2977-8)</f>
        <v/>
      </c>
    </row>
    <row r="2978">
      <c r="A2978" t="n">
        <v>1211</v>
      </c>
      <c r="B2978" s="14" t="n">
        <v>46282</v>
      </c>
      <c r="C2978" s="17" t="n">
        <v>0.25</v>
      </c>
      <c r="D2978" s="17" t="n">
        <v>0.6666666666666666</v>
      </c>
      <c r="E2978" t="inlineStr">
        <is>
          <t>Day</t>
        </is>
      </c>
      <c r="F2978" t="inlineStr">
        <is>
          <t>Sep</t>
        </is>
      </c>
      <c r="G2978" s="18">
        <f>IF(D2978&lt;C2978,D2978+1-C2978,D2978-C2978)*24</f>
        <v/>
      </c>
      <c r="H2978" s="18">
        <f>MAX(0,G2978-8)</f>
        <v/>
      </c>
    </row>
    <row r="2979">
      <c r="A2979" t="n">
        <v>1212</v>
      </c>
      <c r="B2979" s="14" t="n">
        <v>46282</v>
      </c>
      <c r="C2979" s="17" t="n">
        <v>0.25</v>
      </c>
      <c r="D2979" s="17" t="n">
        <v>0.6041666666666666</v>
      </c>
      <c r="E2979" t="inlineStr">
        <is>
          <t>Day</t>
        </is>
      </c>
      <c r="F2979" t="inlineStr">
        <is>
          <t>Sep</t>
        </is>
      </c>
      <c r="G2979" s="18">
        <f>IF(D2979&lt;C2979,D2979+1-C2979,D2979-C2979)*24</f>
        <v/>
      </c>
      <c r="H2979" s="18">
        <f>MAX(0,G2979-8)</f>
        <v/>
      </c>
    </row>
    <row r="2980">
      <c r="A2980" t="n">
        <v>1213</v>
      </c>
      <c r="B2980" s="14" t="n">
        <v>46282</v>
      </c>
      <c r="C2980" s="17" t="n">
        <v>0.25</v>
      </c>
      <c r="D2980" s="17" t="n">
        <v>0.6041666666666666</v>
      </c>
      <c r="E2980" t="inlineStr">
        <is>
          <t>Day</t>
        </is>
      </c>
      <c r="F2980" t="inlineStr">
        <is>
          <t>Sep</t>
        </is>
      </c>
      <c r="G2980" s="18">
        <f>IF(D2980&lt;C2980,D2980+1-C2980,D2980-C2980)*24</f>
        <v/>
      </c>
      <c r="H2980" s="18">
        <f>MAX(0,G2980-8)</f>
        <v/>
      </c>
    </row>
    <row r="2981">
      <c r="A2981" t="n">
        <v>1214</v>
      </c>
      <c r="B2981" s="14" t="n">
        <v>46282</v>
      </c>
      <c r="C2981" s="17" t="n">
        <v>0.2708333333333333</v>
      </c>
      <c r="D2981" s="17" t="n">
        <v>0.6041666666666666</v>
      </c>
      <c r="E2981" t="inlineStr">
        <is>
          <t>Day</t>
        </is>
      </c>
      <c r="F2981" t="inlineStr">
        <is>
          <t>Sep</t>
        </is>
      </c>
      <c r="G2981" s="18">
        <f>IF(D2981&lt;C2981,D2981+1-C2981,D2981-C2981)*24</f>
        <v/>
      </c>
      <c r="H2981" s="18">
        <f>MAX(0,G2981-8)</f>
        <v/>
      </c>
    </row>
    <row r="2982">
      <c r="A2982" t="n">
        <v>1215</v>
      </c>
      <c r="B2982" s="14" t="n">
        <v>46282</v>
      </c>
      <c r="C2982" s="17" t="n">
        <v>0.2708333333333333</v>
      </c>
      <c r="D2982" s="17" t="n">
        <v>0.6875</v>
      </c>
      <c r="E2982" t="inlineStr">
        <is>
          <t>Day</t>
        </is>
      </c>
      <c r="F2982" t="inlineStr">
        <is>
          <t>Sep</t>
        </is>
      </c>
      <c r="G2982" s="18">
        <f>IF(D2982&lt;C2982,D2982+1-C2982,D2982-C2982)*24</f>
        <v/>
      </c>
      <c r="H2982" s="18">
        <f>MAX(0,G2982-8)</f>
        <v/>
      </c>
    </row>
    <row r="2983">
      <c r="A2983" t="n">
        <v>1216</v>
      </c>
      <c r="B2983" s="14" t="n">
        <v>46282</v>
      </c>
      <c r="C2983" s="17" t="n">
        <v>0.25</v>
      </c>
      <c r="D2983" s="17" t="n">
        <v>0.5833333333333334</v>
      </c>
      <c r="E2983" t="inlineStr">
        <is>
          <t>Day</t>
        </is>
      </c>
      <c r="F2983" t="inlineStr">
        <is>
          <t>Sep</t>
        </is>
      </c>
      <c r="G2983" s="18">
        <f>IF(D2983&lt;C2983,D2983+1-C2983,D2983-C2983)*24</f>
        <v/>
      </c>
      <c r="H2983" s="18">
        <f>MAX(0,G2983-8)</f>
        <v/>
      </c>
    </row>
    <row r="2984">
      <c r="A2984" t="n">
        <v>1217</v>
      </c>
      <c r="B2984" s="14" t="n">
        <v>46282</v>
      </c>
      <c r="C2984" s="17" t="n">
        <v>0.2708333333333333</v>
      </c>
      <c r="D2984" s="17" t="n">
        <v>0.6458333333333334</v>
      </c>
      <c r="E2984" t="inlineStr">
        <is>
          <t>Day</t>
        </is>
      </c>
      <c r="F2984" t="inlineStr">
        <is>
          <t>Sep</t>
        </is>
      </c>
      <c r="G2984" s="18">
        <f>IF(D2984&lt;C2984,D2984+1-C2984,D2984-C2984)*24</f>
        <v/>
      </c>
      <c r="H2984" s="18">
        <f>MAX(0,G2984-8)</f>
        <v/>
      </c>
    </row>
    <row r="2985">
      <c r="A2985" t="n">
        <v>1218</v>
      </c>
      <c r="B2985" s="14" t="n">
        <v>46282</v>
      </c>
      <c r="C2985" s="17" t="n">
        <v>0.2708333333333333</v>
      </c>
      <c r="D2985" s="17" t="n">
        <v>0.625</v>
      </c>
      <c r="E2985" t="inlineStr">
        <is>
          <t>Day</t>
        </is>
      </c>
      <c r="F2985" t="inlineStr">
        <is>
          <t>Sep</t>
        </is>
      </c>
      <c r="G2985" s="18">
        <f>IF(D2985&lt;C2985,D2985+1-C2985,D2985-C2985)*24</f>
        <v/>
      </c>
      <c r="H2985" s="18">
        <f>MAX(0,G2985-8)</f>
        <v/>
      </c>
    </row>
    <row r="2986">
      <c r="A2986" t="n">
        <v>1219</v>
      </c>
      <c r="B2986" s="14" t="n">
        <v>46282</v>
      </c>
      <c r="C2986" s="17" t="n">
        <v>0.2708333333333333</v>
      </c>
      <c r="D2986" s="17" t="n">
        <v>0.6041666666666666</v>
      </c>
      <c r="E2986" t="inlineStr">
        <is>
          <t>Day</t>
        </is>
      </c>
      <c r="F2986" t="inlineStr">
        <is>
          <t>Sep</t>
        </is>
      </c>
      <c r="G2986" s="18">
        <f>IF(D2986&lt;C2986,D2986+1-C2986,D2986-C2986)*24</f>
        <v/>
      </c>
      <c r="H2986" s="18">
        <f>MAX(0,G2986-8)</f>
        <v/>
      </c>
    </row>
    <row r="2987">
      <c r="A2987" t="n">
        <v>1220</v>
      </c>
      <c r="B2987" s="14" t="n">
        <v>46282</v>
      </c>
      <c r="C2987" s="17" t="n">
        <v>0.2708333333333333</v>
      </c>
      <c r="D2987" s="17" t="n">
        <v>0.6041666666666666</v>
      </c>
      <c r="E2987" t="inlineStr">
        <is>
          <t>Day</t>
        </is>
      </c>
      <c r="F2987" t="inlineStr">
        <is>
          <t>Sep</t>
        </is>
      </c>
      <c r="G2987" s="18">
        <f>IF(D2987&lt;C2987,D2987+1-C2987,D2987-C2987)*24</f>
        <v/>
      </c>
      <c r="H2987" s="18">
        <f>MAX(0,G2987-8)</f>
        <v/>
      </c>
    </row>
    <row r="2988">
      <c r="A2988" t="n">
        <v>1101</v>
      </c>
      <c r="B2988" s="14" t="n">
        <v>46283</v>
      </c>
      <c r="C2988" s="17" t="n">
        <v>0.9375</v>
      </c>
      <c r="D2988" s="17" t="n">
        <v>0.2916666666666667</v>
      </c>
      <c r="E2988" t="inlineStr">
        <is>
          <t>Night</t>
        </is>
      </c>
      <c r="F2988" t="inlineStr">
        <is>
          <t>Sep</t>
        </is>
      </c>
      <c r="G2988" s="18">
        <f>IF(D2988&lt;C2988,D2988+1-C2988,D2988-C2988)*24</f>
        <v/>
      </c>
      <c r="H2988" s="18">
        <f>MAX(0,G2988-8)</f>
        <v/>
      </c>
    </row>
    <row r="2989">
      <c r="A2989" t="n">
        <v>1102</v>
      </c>
      <c r="B2989" s="14" t="n">
        <v>46283</v>
      </c>
      <c r="C2989" s="17" t="n">
        <v>0.9375</v>
      </c>
      <c r="D2989" s="17" t="n">
        <v>0.375</v>
      </c>
      <c r="E2989" t="inlineStr">
        <is>
          <t>Night</t>
        </is>
      </c>
      <c r="F2989" t="inlineStr">
        <is>
          <t>Sep</t>
        </is>
      </c>
      <c r="G2989" s="18">
        <f>IF(D2989&lt;C2989,D2989+1-C2989,D2989-C2989)*24</f>
        <v/>
      </c>
      <c r="H2989" s="18">
        <f>MAX(0,G2989-8)</f>
        <v/>
      </c>
    </row>
    <row r="2990">
      <c r="A2990" t="n">
        <v>1103</v>
      </c>
      <c r="B2990" s="14" t="n">
        <v>46283</v>
      </c>
      <c r="C2990" s="17" t="n">
        <v>0.9166666666666666</v>
      </c>
      <c r="D2990" s="17" t="n">
        <v>0.3958333333333333</v>
      </c>
      <c r="E2990" t="inlineStr">
        <is>
          <t>Night</t>
        </is>
      </c>
      <c r="F2990" t="inlineStr">
        <is>
          <t>Sep</t>
        </is>
      </c>
      <c r="G2990" s="18">
        <f>IF(D2990&lt;C2990,D2990+1-C2990,D2990-C2990)*24</f>
        <v/>
      </c>
      <c r="H2990" s="18">
        <f>MAX(0,G2990-8)</f>
        <v/>
      </c>
    </row>
    <row r="2991">
      <c r="A2991" t="n">
        <v>1104</v>
      </c>
      <c r="B2991" s="14" t="n">
        <v>46283</v>
      </c>
      <c r="C2991" s="17" t="n">
        <v>0.9166666666666666</v>
      </c>
      <c r="D2991" s="17" t="n">
        <v>0.2916666666666667</v>
      </c>
      <c r="E2991" t="inlineStr">
        <is>
          <t>Night</t>
        </is>
      </c>
      <c r="F2991" t="inlineStr">
        <is>
          <t>Sep</t>
        </is>
      </c>
      <c r="G2991" s="18">
        <f>IF(D2991&lt;C2991,D2991+1-C2991,D2991-C2991)*24</f>
        <v/>
      </c>
      <c r="H2991" s="18">
        <f>MAX(0,G2991-8)</f>
        <v/>
      </c>
    </row>
    <row r="2992">
      <c r="A2992" t="n">
        <v>1110</v>
      </c>
      <c r="B2992" s="14" t="n">
        <v>46283</v>
      </c>
      <c r="C2992" s="17" t="n">
        <v>0.9166666666666666</v>
      </c>
      <c r="D2992" s="17" t="n">
        <v>0.2708333333333333</v>
      </c>
      <c r="E2992" t="inlineStr">
        <is>
          <t>Night</t>
        </is>
      </c>
      <c r="F2992" t="inlineStr">
        <is>
          <t>Sep</t>
        </is>
      </c>
      <c r="G2992" s="18">
        <f>IF(D2992&lt;C2992,D2992+1-C2992,D2992-C2992)*24</f>
        <v/>
      </c>
      <c r="H2992" s="18">
        <f>MAX(0,G2992-8)</f>
        <v/>
      </c>
    </row>
    <row r="2993">
      <c r="A2993" t="n">
        <v>1112</v>
      </c>
      <c r="B2993" s="14" t="n">
        <v>46283</v>
      </c>
      <c r="C2993" s="17" t="n">
        <v>0.9375</v>
      </c>
      <c r="D2993" s="17" t="n">
        <v>0.2708333333333333</v>
      </c>
      <c r="E2993" t="inlineStr">
        <is>
          <t>Night</t>
        </is>
      </c>
      <c r="F2993" t="inlineStr">
        <is>
          <t>Sep</t>
        </is>
      </c>
      <c r="G2993" s="18">
        <f>IF(D2993&lt;C2993,D2993+1-C2993,D2993-C2993)*24</f>
        <v/>
      </c>
      <c r="H2993" s="18">
        <f>MAX(0,G2993-8)</f>
        <v/>
      </c>
    </row>
    <row r="2994">
      <c r="A2994" t="n">
        <v>1113</v>
      </c>
      <c r="B2994" s="14" t="n">
        <v>46283</v>
      </c>
      <c r="C2994" s="17" t="n">
        <v>0.9166666666666666</v>
      </c>
      <c r="D2994" s="17" t="n">
        <v>0.3958333333333333</v>
      </c>
      <c r="E2994" t="inlineStr">
        <is>
          <t>Night</t>
        </is>
      </c>
      <c r="F2994" t="inlineStr">
        <is>
          <t>Sep</t>
        </is>
      </c>
      <c r="G2994" s="18">
        <f>IF(D2994&lt;C2994,D2994+1-C2994,D2994-C2994)*24</f>
        <v/>
      </c>
      <c r="H2994" s="18">
        <f>MAX(0,G2994-8)</f>
        <v/>
      </c>
    </row>
    <row r="2995">
      <c r="A2995" t="n">
        <v>1114</v>
      </c>
      <c r="B2995" s="14" t="n">
        <v>46283</v>
      </c>
      <c r="C2995" s="17" t="n">
        <v>0.9270833333333334</v>
      </c>
      <c r="D2995" s="17" t="n">
        <v>0.3229166666666667</v>
      </c>
      <c r="E2995" t="inlineStr">
        <is>
          <t>Night</t>
        </is>
      </c>
      <c r="F2995" t="inlineStr">
        <is>
          <t>Sep</t>
        </is>
      </c>
      <c r="G2995" s="18">
        <f>IF(D2995&lt;C2995,D2995+1-C2995,D2995-C2995)*24</f>
        <v/>
      </c>
      <c r="H2995" s="18">
        <f>MAX(0,G2995-8)</f>
        <v/>
      </c>
    </row>
    <row r="2996">
      <c r="A2996" t="n">
        <v>1115</v>
      </c>
      <c r="B2996" s="14" t="n">
        <v>46283</v>
      </c>
      <c r="C2996" s="17" t="n">
        <v>0.9166666666666666</v>
      </c>
      <c r="D2996" s="17" t="n">
        <v>0.3958333333333333</v>
      </c>
      <c r="E2996" t="inlineStr">
        <is>
          <t>Night</t>
        </is>
      </c>
      <c r="F2996" t="inlineStr">
        <is>
          <t>Sep</t>
        </is>
      </c>
      <c r="G2996" s="18">
        <f>IF(D2996&lt;C2996,D2996+1-C2996,D2996-C2996)*24</f>
        <v/>
      </c>
      <c r="H2996" s="18">
        <f>MAX(0,G2996-8)</f>
        <v/>
      </c>
    </row>
    <row r="2997">
      <c r="A2997" t="n">
        <v>1116</v>
      </c>
      <c r="B2997" s="14" t="n">
        <v>46283</v>
      </c>
      <c r="C2997" s="17" t="n">
        <v>0.9166666666666666</v>
      </c>
      <c r="D2997" s="17" t="n">
        <v>0.2708333333333333</v>
      </c>
      <c r="E2997" t="inlineStr">
        <is>
          <t>Night</t>
        </is>
      </c>
      <c r="F2997" t="inlineStr">
        <is>
          <t>Sep</t>
        </is>
      </c>
      <c r="G2997" s="18">
        <f>IF(D2997&lt;C2997,D2997+1-C2997,D2997-C2997)*24</f>
        <v/>
      </c>
      <c r="H2997" s="18">
        <f>MAX(0,G2997-8)</f>
        <v/>
      </c>
    </row>
    <row r="2998">
      <c r="A2998" t="n">
        <v>1117</v>
      </c>
      <c r="B2998" s="14" t="n">
        <v>46283</v>
      </c>
      <c r="C2998" s="17" t="n">
        <v>0.9270833333333334</v>
      </c>
      <c r="D2998" s="17" t="n">
        <v>0.3229166666666667</v>
      </c>
      <c r="E2998" t="inlineStr">
        <is>
          <t>Night</t>
        </is>
      </c>
      <c r="F2998" t="inlineStr">
        <is>
          <t>Sep</t>
        </is>
      </c>
      <c r="G2998" s="18">
        <f>IF(D2998&lt;C2998,D2998+1-C2998,D2998-C2998)*24</f>
        <v/>
      </c>
      <c r="H2998" s="18">
        <f>MAX(0,G2998-8)</f>
        <v/>
      </c>
    </row>
    <row r="2999">
      <c r="A2999" t="n">
        <v>1118</v>
      </c>
      <c r="B2999" s="14" t="n">
        <v>46283</v>
      </c>
      <c r="C2999" s="17" t="n">
        <v>0.9166666666666666</v>
      </c>
      <c r="D2999" s="17" t="n">
        <v>0.2916666666666667</v>
      </c>
      <c r="E2999" t="inlineStr">
        <is>
          <t>Night</t>
        </is>
      </c>
      <c r="F2999" t="inlineStr">
        <is>
          <t>Sep</t>
        </is>
      </c>
      <c r="G2999" s="18">
        <f>IF(D2999&lt;C2999,D2999+1-C2999,D2999-C2999)*24</f>
        <v/>
      </c>
      <c r="H2999" s="18">
        <f>MAX(0,G2999-8)</f>
        <v/>
      </c>
    </row>
    <row r="3000">
      <c r="A3000" t="n">
        <v>1119</v>
      </c>
      <c r="B3000" s="14" t="n">
        <v>46283</v>
      </c>
      <c r="C3000" s="17" t="n">
        <v>0.9166666666666666</v>
      </c>
      <c r="D3000" s="17" t="n">
        <v>0.3541666666666667</v>
      </c>
      <c r="E3000" t="inlineStr">
        <is>
          <t>Night</t>
        </is>
      </c>
      <c r="F3000" t="inlineStr">
        <is>
          <t>Sep</t>
        </is>
      </c>
      <c r="G3000" s="18">
        <f>IF(D3000&lt;C3000,D3000+1-C3000,D3000-C3000)*24</f>
        <v/>
      </c>
      <c r="H3000" s="18">
        <f>MAX(0,G3000-8)</f>
        <v/>
      </c>
    </row>
    <row r="3001">
      <c r="A3001" t="n">
        <v>1120</v>
      </c>
      <c r="B3001" s="14" t="n">
        <v>46283</v>
      </c>
      <c r="C3001" s="17" t="n">
        <v>0.9166666666666666</v>
      </c>
      <c r="D3001" s="17" t="n">
        <v>0.3541666666666667</v>
      </c>
      <c r="E3001" t="inlineStr">
        <is>
          <t>Night</t>
        </is>
      </c>
      <c r="F3001" t="inlineStr">
        <is>
          <t>Sep</t>
        </is>
      </c>
      <c r="G3001" s="18">
        <f>IF(D3001&lt;C3001,D3001+1-C3001,D3001-C3001)*24</f>
        <v/>
      </c>
      <c r="H3001" s="18">
        <f>MAX(0,G3001-8)</f>
        <v/>
      </c>
    </row>
    <row r="3002">
      <c r="A3002" t="n">
        <v>1121</v>
      </c>
      <c r="B3002" s="14" t="n">
        <v>46283</v>
      </c>
      <c r="C3002" s="17" t="n">
        <v>0.9166666666666666</v>
      </c>
      <c r="D3002" s="17" t="n">
        <v>0.25</v>
      </c>
      <c r="E3002" t="inlineStr">
        <is>
          <t>Night</t>
        </is>
      </c>
      <c r="F3002" t="inlineStr">
        <is>
          <t>Sep</t>
        </is>
      </c>
      <c r="G3002" s="18">
        <f>IF(D3002&lt;C3002,D3002+1-C3002,D3002-C3002)*24</f>
        <v/>
      </c>
      <c r="H3002" s="18">
        <f>MAX(0,G3002-8)</f>
        <v/>
      </c>
    </row>
    <row r="3003">
      <c r="A3003" t="n">
        <v>1122</v>
      </c>
      <c r="B3003" s="14" t="n">
        <v>46283</v>
      </c>
      <c r="C3003" s="17" t="n">
        <v>0.9270833333333334</v>
      </c>
      <c r="D3003" s="17" t="n">
        <v>0.34375</v>
      </c>
      <c r="E3003" t="inlineStr">
        <is>
          <t>Night</t>
        </is>
      </c>
      <c r="F3003" t="inlineStr">
        <is>
          <t>Sep</t>
        </is>
      </c>
      <c r="G3003" s="18">
        <f>IF(D3003&lt;C3003,D3003+1-C3003,D3003-C3003)*24</f>
        <v/>
      </c>
      <c r="H3003" s="18">
        <f>MAX(0,G3003-8)</f>
        <v/>
      </c>
    </row>
    <row r="3004">
      <c r="A3004" t="n">
        <v>1123</v>
      </c>
      <c r="B3004" s="14" t="n">
        <v>46283</v>
      </c>
      <c r="C3004" s="17" t="n">
        <v>0.9166666666666666</v>
      </c>
      <c r="D3004" s="17" t="n">
        <v>0.2916666666666667</v>
      </c>
      <c r="E3004" t="inlineStr">
        <is>
          <t>Night</t>
        </is>
      </c>
      <c r="F3004" t="inlineStr">
        <is>
          <t>Sep</t>
        </is>
      </c>
      <c r="G3004" s="18">
        <f>IF(D3004&lt;C3004,D3004+1-C3004,D3004-C3004)*24</f>
        <v/>
      </c>
      <c r="H3004" s="18">
        <f>MAX(0,G3004-8)</f>
        <v/>
      </c>
    </row>
    <row r="3005">
      <c r="A3005" t="n">
        <v>1124</v>
      </c>
      <c r="B3005" s="14" t="n">
        <v>46283</v>
      </c>
      <c r="C3005" s="17" t="n">
        <v>0.9166666666666666</v>
      </c>
      <c r="D3005" s="17" t="n">
        <v>0.3958333333333333</v>
      </c>
      <c r="E3005" t="inlineStr">
        <is>
          <t>Night</t>
        </is>
      </c>
      <c r="F3005" t="inlineStr">
        <is>
          <t>Sep</t>
        </is>
      </c>
      <c r="G3005" s="18">
        <f>IF(D3005&lt;C3005,D3005+1-C3005,D3005-C3005)*24</f>
        <v/>
      </c>
      <c r="H3005" s="18">
        <f>MAX(0,G3005-8)</f>
        <v/>
      </c>
    </row>
    <row r="3006">
      <c r="A3006" t="n">
        <v>1125</v>
      </c>
      <c r="B3006" s="14" t="n">
        <v>46283</v>
      </c>
      <c r="C3006" s="17" t="n">
        <v>0.9270833333333334</v>
      </c>
      <c r="D3006" s="17" t="n">
        <v>0.40625</v>
      </c>
      <c r="E3006" t="inlineStr">
        <is>
          <t>Night</t>
        </is>
      </c>
      <c r="F3006" t="inlineStr">
        <is>
          <t>Sep</t>
        </is>
      </c>
      <c r="G3006" s="18">
        <f>IF(D3006&lt;C3006,D3006+1-C3006,D3006-C3006)*24</f>
        <v/>
      </c>
      <c r="H3006" s="18">
        <f>MAX(0,G3006-8)</f>
        <v/>
      </c>
    </row>
    <row r="3007">
      <c r="A3007" t="n">
        <v>1126</v>
      </c>
      <c r="B3007" s="14" t="n">
        <v>46283</v>
      </c>
      <c r="C3007" s="17" t="n">
        <v>0.9166666666666666</v>
      </c>
      <c r="D3007" s="17" t="n">
        <v>0.2916666666666667</v>
      </c>
      <c r="E3007" t="inlineStr">
        <is>
          <t>Night</t>
        </is>
      </c>
      <c r="F3007" t="inlineStr">
        <is>
          <t>Sep</t>
        </is>
      </c>
      <c r="G3007" s="18">
        <f>IF(D3007&lt;C3007,D3007+1-C3007,D3007-C3007)*24</f>
        <v/>
      </c>
      <c r="H3007" s="18">
        <f>MAX(0,G3007-8)</f>
        <v/>
      </c>
    </row>
    <row r="3008">
      <c r="A3008" t="n">
        <v>1128</v>
      </c>
      <c r="B3008" s="14" t="n">
        <v>46283</v>
      </c>
      <c r="C3008" s="17" t="n">
        <v>0.9166666666666666</v>
      </c>
      <c r="D3008" s="17" t="n">
        <v>0.3333333333333333</v>
      </c>
      <c r="E3008" t="inlineStr">
        <is>
          <t>Night</t>
        </is>
      </c>
      <c r="F3008" t="inlineStr">
        <is>
          <t>Sep</t>
        </is>
      </c>
      <c r="G3008" s="18">
        <f>IF(D3008&lt;C3008,D3008+1-C3008,D3008-C3008)*24</f>
        <v/>
      </c>
      <c r="H3008" s="18">
        <f>MAX(0,G3008-8)</f>
        <v/>
      </c>
    </row>
    <row r="3009">
      <c r="A3009" t="n">
        <v>1129</v>
      </c>
      <c r="B3009" s="14" t="n">
        <v>46283</v>
      </c>
      <c r="C3009" s="17" t="n">
        <v>0.9375</v>
      </c>
      <c r="D3009" s="17" t="n">
        <v>0.3958333333333333</v>
      </c>
      <c r="E3009" t="inlineStr">
        <is>
          <t>Night</t>
        </is>
      </c>
      <c r="F3009" t="inlineStr">
        <is>
          <t>Sep</t>
        </is>
      </c>
      <c r="G3009" s="18">
        <f>IF(D3009&lt;C3009,D3009+1-C3009,D3009-C3009)*24</f>
        <v/>
      </c>
      <c r="H3009" s="18">
        <f>MAX(0,G3009-8)</f>
        <v/>
      </c>
    </row>
    <row r="3010">
      <c r="A3010" t="n">
        <v>1130</v>
      </c>
      <c r="B3010" s="14" t="n">
        <v>46283</v>
      </c>
      <c r="C3010" s="17" t="n">
        <v>0.9166666666666666</v>
      </c>
      <c r="D3010" s="17" t="n">
        <v>0.3333333333333333</v>
      </c>
      <c r="E3010" t="inlineStr">
        <is>
          <t>Night</t>
        </is>
      </c>
      <c r="F3010" t="inlineStr">
        <is>
          <t>Sep</t>
        </is>
      </c>
      <c r="G3010" s="18">
        <f>IF(D3010&lt;C3010,D3010+1-C3010,D3010-C3010)*24</f>
        <v/>
      </c>
      <c r="H3010" s="18">
        <f>MAX(0,G3010-8)</f>
        <v/>
      </c>
    </row>
    <row r="3011">
      <c r="A3011" t="n">
        <v>1131</v>
      </c>
      <c r="B3011" s="14" t="n">
        <v>46283</v>
      </c>
      <c r="C3011" s="17" t="n">
        <v>0.9166666666666666</v>
      </c>
      <c r="D3011" s="17" t="n">
        <v>0.25</v>
      </c>
      <c r="E3011" t="inlineStr">
        <is>
          <t>Night</t>
        </is>
      </c>
      <c r="F3011" t="inlineStr">
        <is>
          <t>Sep</t>
        </is>
      </c>
      <c r="G3011" s="18">
        <f>IF(D3011&lt;C3011,D3011+1-C3011,D3011-C3011)*24</f>
        <v/>
      </c>
      <c r="H3011" s="18">
        <f>MAX(0,G3011-8)</f>
        <v/>
      </c>
    </row>
    <row r="3012">
      <c r="A3012" t="n">
        <v>1132</v>
      </c>
      <c r="B3012" s="14" t="n">
        <v>46283</v>
      </c>
      <c r="C3012" s="17" t="n">
        <v>0.9270833333333334</v>
      </c>
      <c r="D3012" s="17" t="n">
        <v>0.28125</v>
      </c>
      <c r="E3012" t="inlineStr">
        <is>
          <t>Night</t>
        </is>
      </c>
      <c r="F3012" t="inlineStr">
        <is>
          <t>Sep</t>
        </is>
      </c>
      <c r="G3012" s="18">
        <f>IF(D3012&lt;C3012,D3012+1-C3012,D3012-C3012)*24</f>
        <v/>
      </c>
      <c r="H3012" s="18">
        <f>MAX(0,G3012-8)</f>
        <v/>
      </c>
    </row>
    <row r="3013">
      <c r="A3013" t="n">
        <v>1134</v>
      </c>
      <c r="B3013" s="14" t="n">
        <v>46283</v>
      </c>
      <c r="C3013" s="17" t="n">
        <v>0.9166666666666666</v>
      </c>
      <c r="D3013" s="17" t="n">
        <v>0.3541666666666667</v>
      </c>
      <c r="E3013" t="inlineStr">
        <is>
          <t>Night</t>
        </is>
      </c>
      <c r="F3013" t="inlineStr">
        <is>
          <t>Sep</t>
        </is>
      </c>
      <c r="G3013" s="18">
        <f>IF(D3013&lt;C3013,D3013+1-C3013,D3013-C3013)*24</f>
        <v/>
      </c>
      <c r="H3013" s="18">
        <f>MAX(0,G3013-8)</f>
        <v/>
      </c>
    </row>
    <row r="3014">
      <c r="A3014" t="n">
        <v>1135</v>
      </c>
      <c r="B3014" s="14" t="n">
        <v>46283</v>
      </c>
      <c r="C3014" s="17" t="n">
        <v>0.9166666666666666</v>
      </c>
      <c r="D3014" s="17" t="n">
        <v>0.3125</v>
      </c>
      <c r="E3014" t="inlineStr">
        <is>
          <t>Night</t>
        </is>
      </c>
      <c r="F3014" t="inlineStr">
        <is>
          <t>Sep</t>
        </is>
      </c>
      <c r="G3014" s="18">
        <f>IF(D3014&lt;C3014,D3014+1-C3014,D3014-C3014)*24</f>
        <v/>
      </c>
      <c r="H3014" s="18">
        <f>MAX(0,G3014-8)</f>
        <v/>
      </c>
    </row>
    <row r="3015">
      <c r="A3015" t="n">
        <v>1136</v>
      </c>
      <c r="B3015" s="14" t="n">
        <v>46283</v>
      </c>
      <c r="C3015" s="17" t="n">
        <v>0.9166666666666666</v>
      </c>
      <c r="D3015" s="17" t="n">
        <v>0.3333333333333333</v>
      </c>
      <c r="E3015" t="inlineStr">
        <is>
          <t>Night</t>
        </is>
      </c>
      <c r="F3015" t="inlineStr">
        <is>
          <t>Sep</t>
        </is>
      </c>
      <c r="G3015" s="18">
        <f>IF(D3015&lt;C3015,D3015+1-C3015,D3015-C3015)*24</f>
        <v/>
      </c>
      <c r="H3015" s="18">
        <f>MAX(0,G3015-8)</f>
        <v/>
      </c>
    </row>
    <row r="3016">
      <c r="A3016" t="n">
        <v>1137</v>
      </c>
      <c r="B3016" s="14" t="n">
        <v>46283</v>
      </c>
      <c r="C3016" s="17" t="n">
        <v>0.9166666666666666</v>
      </c>
      <c r="D3016" s="17" t="n">
        <v>0.25</v>
      </c>
      <c r="E3016" t="inlineStr">
        <is>
          <t>Night</t>
        </is>
      </c>
      <c r="F3016" t="inlineStr">
        <is>
          <t>Sep</t>
        </is>
      </c>
      <c r="G3016" s="18">
        <f>IF(D3016&lt;C3016,D3016+1-C3016,D3016-C3016)*24</f>
        <v/>
      </c>
      <c r="H3016" s="18">
        <f>MAX(0,G3016-8)</f>
        <v/>
      </c>
    </row>
    <row r="3017">
      <c r="A3017" t="n">
        <v>1147</v>
      </c>
      <c r="B3017" s="14" t="n">
        <v>46283</v>
      </c>
      <c r="C3017" s="17" t="n">
        <v>0.9166666666666666</v>
      </c>
      <c r="D3017" s="17" t="n">
        <v>0.2708333333333333</v>
      </c>
      <c r="E3017" t="inlineStr">
        <is>
          <t>Night</t>
        </is>
      </c>
      <c r="F3017" t="inlineStr">
        <is>
          <t>Sep</t>
        </is>
      </c>
      <c r="G3017" s="18">
        <f>IF(D3017&lt;C3017,D3017+1-C3017,D3017-C3017)*24</f>
        <v/>
      </c>
      <c r="H3017" s="18">
        <f>MAX(0,G3017-8)</f>
        <v/>
      </c>
    </row>
    <row r="3018">
      <c r="A3018" t="n">
        <v>1111</v>
      </c>
      <c r="B3018" s="14" t="n">
        <v>46283</v>
      </c>
      <c r="C3018" s="17" t="n">
        <v>0.02083333333333333</v>
      </c>
      <c r="D3018" s="17" t="n">
        <v>0.3541666666666667</v>
      </c>
      <c r="E3018" t="inlineStr">
        <is>
          <t>Night</t>
        </is>
      </c>
      <c r="F3018" t="inlineStr">
        <is>
          <t>Sep</t>
        </is>
      </c>
      <c r="G3018" s="18">
        <f>IF(D3018&lt;C3018,D3018+1-C3018,D3018-C3018)*24</f>
        <v/>
      </c>
      <c r="H3018" s="18">
        <f>MAX(0,G3018-8)</f>
        <v/>
      </c>
    </row>
    <row r="3019">
      <c r="A3019" t="n">
        <v>1133</v>
      </c>
      <c r="B3019" s="14" t="n">
        <v>46283</v>
      </c>
      <c r="C3019" s="17" t="n">
        <v>0.01041666666666667</v>
      </c>
      <c r="D3019" s="17" t="n">
        <v>0.4895833333333333</v>
      </c>
      <c r="E3019" t="inlineStr">
        <is>
          <t>Night</t>
        </is>
      </c>
      <c r="F3019" t="inlineStr">
        <is>
          <t>Sep</t>
        </is>
      </c>
      <c r="G3019" s="18">
        <f>IF(D3019&lt;C3019,D3019+1-C3019,D3019-C3019)*24</f>
        <v/>
      </c>
      <c r="H3019" s="18">
        <f>MAX(0,G3019-8)</f>
        <v/>
      </c>
    </row>
    <row r="3020">
      <c r="A3020" t="n">
        <v>1201</v>
      </c>
      <c r="B3020" s="14" t="n">
        <v>46283</v>
      </c>
      <c r="C3020" s="17" t="n">
        <v>0.2708333333333333</v>
      </c>
      <c r="D3020" s="17" t="n">
        <v>0.625</v>
      </c>
      <c r="E3020" t="inlineStr">
        <is>
          <t>Day</t>
        </is>
      </c>
      <c r="F3020" t="inlineStr">
        <is>
          <t>Sep</t>
        </is>
      </c>
      <c r="G3020" s="18">
        <f>IF(D3020&lt;C3020,D3020+1-C3020,D3020-C3020)*24</f>
        <v/>
      </c>
      <c r="H3020" s="18">
        <f>MAX(0,G3020-8)</f>
        <v/>
      </c>
    </row>
    <row r="3021">
      <c r="A3021" t="n">
        <v>1202</v>
      </c>
      <c r="B3021" s="14" t="n">
        <v>46283</v>
      </c>
      <c r="C3021" s="17" t="n">
        <v>0.25</v>
      </c>
      <c r="D3021" s="17" t="n">
        <v>0.5833333333333334</v>
      </c>
      <c r="E3021" t="inlineStr">
        <is>
          <t>Day</t>
        </is>
      </c>
      <c r="F3021" t="inlineStr">
        <is>
          <t>Sep</t>
        </is>
      </c>
      <c r="G3021" s="18">
        <f>IF(D3021&lt;C3021,D3021+1-C3021,D3021-C3021)*24</f>
        <v/>
      </c>
      <c r="H3021" s="18">
        <f>MAX(0,G3021-8)</f>
        <v/>
      </c>
    </row>
    <row r="3022">
      <c r="A3022" t="n">
        <v>1203</v>
      </c>
      <c r="B3022" s="14" t="n">
        <v>46283</v>
      </c>
      <c r="C3022" s="17" t="n">
        <v>0.25</v>
      </c>
      <c r="D3022" s="17" t="n">
        <v>0.6666666666666666</v>
      </c>
      <c r="E3022" t="inlineStr">
        <is>
          <t>Day</t>
        </is>
      </c>
      <c r="F3022" t="inlineStr">
        <is>
          <t>Sep</t>
        </is>
      </c>
      <c r="G3022" s="18">
        <f>IF(D3022&lt;C3022,D3022+1-C3022,D3022-C3022)*24</f>
        <v/>
      </c>
      <c r="H3022" s="18">
        <f>MAX(0,G3022-8)</f>
        <v/>
      </c>
    </row>
    <row r="3023">
      <c r="A3023" t="n">
        <v>1204</v>
      </c>
      <c r="B3023" s="14" t="n">
        <v>46283</v>
      </c>
      <c r="C3023" s="17" t="n">
        <v>0.25</v>
      </c>
      <c r="D3023" s="17" t="n">
        <v>0.5833333333333334</v>
      </c>
      <c r="E3023" t="inlineStr">
        <is>
          <t>Day</t>
        </is>
      </c>
      <c r="F3023" t="inlineStr">
        <is>
          <t>Sep</t>
        </is>
      </c>
      <c r="G3023" s="18">
        <f>IF(D3023&lt;C3023,D3023+1-C3023,D3023-C3023)*24</f>
        <v/>
      </c>
      <c r="H3023" s="18">
        <f>MAX(0,G3023-8)</f>
        <v/>
      </c>
    </row>
    <row r="3024">
      <c r="A3024" t="n">
        <v>1205</v>
      </c>
      <c r="B3024" s="14" t="n">
        <v>46283</v>
      </c>
      <c r="C3024" s="17" t="n">
        <v>0.25</v>
      </c>
      <c r="D3024" s="17" t="n">
        <v>0.5833333333333334</v>
      </c>
      <c r="E3024" t="inlineStr">
        <is>
          <t>Day</t>
        </is>
      </c>
      <c r="F3024" t="inlineStr">
        <is>
          <t>Sep</t>
        </is>
      </c>
      <c r="G3024" s="18">
        <f>IF(D3024&lt;C3024,D3024+1-C3024,D3024-C3024)*24</f>
        <v/>
      </c>
      <c r="H3024" s="18">
        <f>MAX(0,G3024-8)</f>
        <v/>
      </c>
    </row>
    <row r="3025">
      <c r="A3025" t="n">
        <v>1206</v>
      </c>
      <c r="B3025" s="14" t="n">
        <v>46283</v>
      </c>
      <c r="C3025" s="17" t="n">
        <v>0.25</v>
      </c>
      <c r="D3025" s="17" t="n">
        <v>0.625</v>
      </c>
      <c r="E3025" t="inlineStr">
        <is>
          <t>Day</t>
        </is>
      </c>
      <c r="F3025" t="inlineStr">
        <is>
          <t>Sep</t>
        </is>
      </c>
      <c r="G3025" s="18">
        <f>IF(D3025&lt;C3025,D3025+1-C3025,D3025-C3025)*24</f>
        <v/>
      </c>
      <c r="H3025" s="18">
        <f>MAX(0,G3025-8)</f>
        <v/>
      </c>
    </row>
    <row r="3026">
      <c r="A3026" t="n">
        <v>1208</v>
      </c>
      <c r="B3026" s="14" t="n">
        <v>46283</v>
      </c>
      <c r="C3026" s="17" t="n">
        <v>0.25</v>
      </c>
      <c r="D3026" s="17" t="n">
        <v>0.6041666666666666</v>
      </c>
      <c r="E3026" t="inlineStr">
        <is>
          <t>Day</t>
        </is>
      </c>
      <c r="F3026" t="inlineStr">
        <is>
          <t>Sep</t>
        </is>
      </c>
      <c r="G3026" s="18">
        <f>IF(D3026&lt;C3026,D3026+1-C3026,D3026-C3026)*24</f>
        <v/>
      </c>
      <c r="H3026" s="18">
        <f>MAX(0,G3026-8)</f>
        <v/>
      </c>
    </row>
    <row r="3027">
      <c r="A3027" t="n">
        <v>1209</v>
      </c>
      <c r="B3027" s="14" t="n">
        <v>46283</v>
      </c>
      <c r="C3027" s="17" t="n">
        <v>0.25</v>
      </c>
      <c r="D3027" s="17" t="n">
        <v>0.5833333333333334</v>
      </c>
      <c r="E3027" t="inlineStr">
        <is>
          <t>Day</t>
        </is>
      </c>
      <c r="F3027" t="inlineStr">
        <is>
          <t>Sep</t>
        </is>
      </c>
      <c r="G3027" s="18">
        <f>IF(D3027&lt;C3027,D3027+1-C3027,D3027-C3027)*24</f>
        <v/>
      </c>
      <c r="H3027" s="18">
        <f>MAX(0,G3027-8)</f>
        <v/>
      </c>
    </row>
    <row r="3028">
      <c r="A3028" t="n">
        <v>1210</v>
      </c>
      <c r="B3028" s="14" t="n">
        <v>46283</v>
      </c>
      <c r="C3028" s="17" t="n">
        <v>0.25</v>
      </c>
      <c r="D3028" s="17" t="n">
        <v>0.6666666666666666</v>
      </c>
      <c r="E3028" t="inlineStr">
        <is>
          <t>Day</t>
        </is>
      </c>
      <c r="F3028" t="inlineStr">
        <is>
          <t>Sep</t>
        </is>
      </c>
      <c r="G3028" s="18">
        <f>IF(D3028&lt;C3028,D3028+1-C3028,D3028-C3028)*24</f>
        <v/>
      </c>
      <c r="H3028" s="18">
        <f>MAX(0,G3028-8)</f>
        <v/>
      </c>
    </row>
    <row r="3029">
      <c r="A3029" t="n">
        <v>1211</v>
      </c>
      <c r="B3029" s="14" t="n">
        <v>46283</v>
      </c>
      <c r="C3029" s="17" t="n">
        <v>0.2708333333333333</v>
      </c>
      <c r="D3029" s="17" t="n">
        <v>0.6875</v>
      </c>
      <c r="E3029" t="inlineStr">
        <is>
          <t>Day</t>
        </is>
      </c>
      <c r="F3029" t="inlineStr">
        <is>
          <t>Sep</t>
        </is>
      </c>
      <c r="G3029" s="18">
        <f>IF(D3029&lt;C3029,D3029+1-C3029,D3029-C3029)*24</f>
        <v/>
      </c>
      <c r="H3029" s="18">
        <f>MAX(0,G3029-8)</f>
        <v/>
      </c>
    </row>
    <row r="3030">
      <c r="A3030" t="n">
        <v>1212</v>
      </c>
      <c r="B3030" s="14" t="n">
        <v>46283</v>
      </c>
      <c r="C3030" s="17" t="n">
        <v>0.25</v>
      </c>
      <c r="D3030" s="17" t="n">
        <v>0.5833333333333334</v>
      </c>
      <c r="E3030" t="inlineStr">
        <is>
          <t>Day</t>
        </is>
      </c>
      <c r="F3030" t="inlineStr">
        <is>
          <t>Sep</t>
        </is>
      </c>
      <c r="G3030" s="18">
        <f>IF(D3030&lt;C3030,D3030+1-C3030,D3030-C3030)*24</f>
        <v/>
      </c>
      <c r="H3030" s="18">
        <f>MAX(0,G3030-8)</f>
        <v/>
      </c>
    </row>
    <row r="3031">
      <c r="A3031" t="n">
        <v>1213</v>
      </c>
      <c r="B3031" s="14" t="n">
        <v>46283</v>
      </c>
      <c r="C3031" s="17" t="n">
        <v>0.25</v>
      </c>
      <c r="D3031" s="17" t="n">
        <v>0.5833333333333334</v>
      </c>
      <c r="E3031" t="inlineStr">
        <is>
          <t>Day</t>
        </is>
      </c>
      <c r="F3031" t="inlineStr">
        <is>
          <t>Sep</t>
        </is>
      </c>
      <c r="G3031" s="18">
        <f>IF(D3031&lt;C3031,D3031+1-C3031,D3031-C3031)*24</f>
        <v/>
      </c>
      <c r="H3031" s="18">
        <f>MAX(0,G3031-8)</f>
        <v/>
      </c>
    </row>
    <row r="3032">
      <c r="A3032" t="n">
        <v>1214</v>
      </c>
      <c r="B3032" s="14" t="n">
        <v>46283</v>
      </c>
      <c r="C3032" s="17" t="n">
        <v>0.25</v>
      </c>
      <c r="D3032" s="17" t="n">
        <v>0.5833333333333334</v>
      </c>
      <c r="E3032" t="inlineStr">
        <is>
          <t>Day</t>
        </is>
      </c>
      <c r="F3032" t="inlineStr">
        <is>
          <t>Sep</t>
        </is>
      </c>
      <c r="G3032" s="18">
        <f>IF(D3032&lt;C3032,D3032+1-C3032,D3032-C3032)*24</f>
        <v/>
      </c>
      <c r="H3032" s="18">
        <f>MAX(0,G3032-8)</f>
        <v/>
      </c>
    </row>
    <row r="3033">
      <c r="A3033" t="n">
        <v>1215</v>
      </c>
      <c r="B3033" s="14" t="n">
        <v>46283</v>
      </c>
      <c r="C3033" s="17" t="n">
        <v>0.2708333333333333</v>
      </c>
      <c r="D3033" s="17" t="n">
        <v>0.6875</v>
      </c>
      <c r="E3033" t="inlineStr">
        <is>
          <t>Day</t>
        </is>
      </c>
      <c r="F3033" t="inlineStr">
        <is>
          <t>Sep</t>
        </is>
      </c>
      <c r="G3033" s="18">
        <f>IF(D3033&lt;C3033,D3033+1-C3033,D3033-C3033)*24</f>
        <v/>
      </c>
      <c r="H3033" s="18">
        <f>MAX(0,G3033-8)</f>
        <v/>
      </c>
    </row>
    <row r="3034">
      <c r="A3034" t="n">
        <v>1216</v>
      </c>
      <c r="B3034" s="14" t="n">
        <v>46283</v>
      </c>
      <c r="C3034" s="17" t="n">
        <v>0.2708333333333333</v>
      </c>
      <c r="D3034" s="17" t="n">
        <v>0.625</v>
      </c>
      <c r="E3034" t="inlineStr">
        <is>
          <t>Day</t>
        </is>
      </c>
      <c r="F3034" t="inlineStr">
        <is>
          <t>Sep</t>
        </is>
      </c>
      <c r="G3034" s="18">
        <f>IF(D3034&lt;C3034,D3034+1-C3034,D3034-C3034)*24</f>
        <v/>
      </c>
      <c r="H3034" s="18">
        <f>MAX(0,G3034-8)</f>
        <v/>
      </c>
    </row>
    <row r="3035">
      <c r="A3035" t="n">
        <v>1217</v>
      </c>
      <c r="B3035" s="14" t="n">
        <v>46283</v>
      </c>
      <c r="C3035" s="17" t="n">
        <v>0.25</v>
      </c>
      <c r="D3035" s="17" t="n">
        <v>0.6666666666666666</v>
      </c>
      <c r="E3035" t="inlineStr">
        <is>
          <t>Day</t>
        </is>
      </c>
      <c r="F3035" t="inlineStr">
        <is>
          <t>Sep</t>
        </is>
      </c>
      <c r="G3035" s="18">
        <f>IF(D3035&lt;C3035,D3035+1-C3035,D3035-C3035)*24</f>
        <v/>
      </c>
      <c r="H3035" s="18">
        <f>MAX(0,G3035-8)</f>
        <v/>
      </c>
    </row>
    <row r="3036">
      <c r="A3036" t="n">
        <v>1218</v>
      </c>
      <c r="B3036" s="14" t="n">
        <v>46283</v>
      </c>
      <c r="C3036" s="17" t="n">
        <v>0.25</v>
      </c>
      <c r="D3036" s="17" t="n">
        <v>0.6666666666666666</v>
      </c>
      <c r="E3036" t="inlineStr">
        <is>
          <t>Day</t>
        </is>
      </c>
      <c r="F3036" t="inlineStr">
        <is>
          <t>Sep</t>
        </is>
      </c>
      <c r="G3036" s="18">
        <f>IF(D3036&lt;C3036,D3036+1-C3036,D3036-C3036)*24</f>
        <v/>
      </c>
      <c r="H3036" s="18">
        <f>MAX(0,G3036-8)</f>
        <v/>
      </c>
    </row>
    <row r="3037">
      <c r="A3037" t="n">
        <v>1219</v>
      </c>
      <c r="B3037" s="14" t="n">
        <v>46283</v>
      </c>
      <c r="C3037" s="17" t="n">
        <v>0.25</v>
      </c>
      <c r="D3037" s="17" t="n">
        <v>0.5833333333333334</v>
      </c>
      <c r="E3037" t="inlineStr">
        <is>
          <t>Day</t>
        </is>
      </c>
      <c r="F3037" t="inlineStr">
        <is>
          <t>Sep</t>
        </is>
      </c>
      <c r="G3037" s="18">
        <f>IF(D3037&lt;C3037,D3037+1-C3037,D3037-C3037)*24</f>
        <v/>
      </c>
      <c r="H3037" s="18">
        <f>MAX(0,G3037-8)</f>
        <v/>
      </c>
    </row>
    <row r="3038">
      <c r="A3038" t="n">
        <v>1220</v>
      </c>
      <c r="B3038" s="14" t="n">
        <v>46283</v>
      </c>
      <c r="C3038" s="17" t="n">
        <v>0.2708333333333333</v>
      </c>
      <c r="D3038" s="17" t="n">
        <v>0.625</v>
      </c>
      <c r="E3038" t="inlineStr">
        <is>
          <t>Day</t>
        </is>
      </c>
      <c r="F3038" t="inlineStr">
        <is>
          <t>Sep</t>
        </is>
      </c>
      <c r="G3038" s="18">
        <f>IF(D3038&lt;C3038,D3038+1-C3038,D3038-C3038)*24</f>
        <v/>
      </c>
      <c r="H3038" s="18">
        <f>MAX(0,G3038-8)</f>
        <v/>
      </c>
    </row>
    <row r="3039">
      <c r="A3039" t="n">
        <v>1101</v>
      </c>
      <c r="B3039" s="14" t="n">
        <v>46286</v>
      </c>
      <c r="C3039" s="17" t="n">
        <v>0.9375</v>
      </c>
      <c r="D3039" s="17" t="n">
        <v>0.375</v>
      </c>
      <c r="E3039" t="inlineStr">
        <is>
          <t>Night</t>
        </is>
      </c>
      <c r="F3039" t="inlineStr">
        <is>
          <t>Sep</t>
        </is>
      </c>
      <c r="G3039" s="18">
        <f>IF(D3039&lt;C3039,D3039+1-C3039,D3039-C3039)*24</f>
        <v/>
      </c>
      <c r="H3039" s="18">
        <f>MAX(0,G3039-8)</f>
        <v/>
      </c>
    </row>
    <row r="3040">
      <c r="A3040" t="n">
        <v>1102</v>
      </c>
      <c r="B3040" s="14" t="n">
        <v>46286</v>
      </c>
      <c r="C3040" s="17" t="n">
        <v>0.9166666666666666</v>
      </c>
      <c r="D3040" s="17" t="n">
        <v>0.2708333333333333</v>
      </c>
      <c r="E3040" t="inlineStr">
        <is>
          <t>Night</t>
        </is>
      </c>
      <c r="F3040" t="inlineStr">
        <is>
          <t>Sep</t>
        </is>
      </c>
      <c r="G3040" s="18">
        <f>IF(D3040&lt;C3040,D3040+1-C3040,D3040-C3040)*24</f>
        <v/>
      </c>
      <c r="H3040" s="18">
        <f>MAX(0,G3040-8)</f>
        <v/>
      </c>
    </row>
    <row r="3041">
      <c r="A3041" t="n">
        <v>1106</v>
      </c>
      <c r="B3041" s="14" t="n">
        <v>46286</v>
      </c>
      <c r="C3041" s="17" t="n">
        <v>0.9166666666666666</v>
      </c>
      <c r="D3041" s="17" t="n">
        <v>0.2916666666666667</v>
      </c>
      <c r="E3041" t="inlineStr">
        <is>
          <t>Night</t>
        </is>
      </c>
      <c r="F3041" t="inlineStr">
        <is>
          <t>Sep</t>
        </is>
      </c>
      <c r="G3041" s="18">
        <f>IF(D3041&lt;C3041,D3041+1-C3041,D3041-C3041)*24</f>
        <v/>
      </c>
      <c r="H3041" s="18">
        <f>MAX(0,G3041-8)</f>
        <v/>
      </c>
    </row>
    <row r="3042">
      <c r="A3042" t="n">
        <v>1108</v>
      </c>
      <c r="B3042" s="14" t="n">
        <v>46286</v>
      </c>
      <c r="C3042" s="17" t="n">
        <v>0.9166666666666666</v>
      </c>
      <c r="D3042" s="17" t="n">
        <v>0.2708333333333333</v>
      </c>
      <c r="E3042" t="inlineStr">
        <is>
          <t>Night</t>
        </is>
      </c>
      <c r="F3042" t="inlineStr">
        <is>
          <t>Sep</t>
        </is>
      </c>
      <c r="G3042" s="18">
        <f>IF(D3042&lt;C3042,D3042+1-C3042,D3042-C3042)*24</f>
        <v/>
      </c>
      <c r="H3042" s="18">
        <f>MAX(0,G3042-8)</f>
        <v/>
      </c>
    </row>
    <row r="3043">
      <c r="A3043" t="n">
        <v>1110</v>
      </c>
      <c r="B3043" s="14" t="n">
        <v>46286</v>
      </c>
      <c r="C3043" s="17" t="n">
        <v>0.9166666666666666</v>
      </c>
      <c r="D3043" s="17" t="n">
        <v>0.3541666666666667</v>
      </c>
      <c r="E3043" t="inlineStr">
        <is>
          <t>Night</t>
        </is>
      </c>
      <c r="F3043" t="inlineStr">
        <is>
          <t>Sep</t>
        </is>
      </c>
      <c r="G3043" s="18">
        <f>IF(D3043&lt;C3043,D3043+1-C3043,D3043-C3043)*24</f>
        <v/>
      </c>
      <c r="H3043" s="18">
        <f>MAX(0,G3043-8)</f>
        <v/>
      </c>
    </row>
    <row r="3044">
      <c r="A3044" t="n">
        <v>1111</v>
      </c>
      <c r="B3044" s="14" t="n">
        <v>46286</v>
      </c>
      <c r="C3044" s="17" t="n">
        <v>0.9166666666666666</v>
      </c>
      <c r="D3044" s="17" t="n">
        <v>0.2708333333333333</v>
      </c>
      <c r="E3044" t="inlineStr">
        <is>
          <t>Night</t>
        </is>
      </c>
      <c r="F3044" t="inlineStr">
        <is>
          <t>Sep</t>
        </is>
      </c>
      <c r="G3044" s="18">
        <f>IF(D3044&lt;C3044,D3044+1-C3044,D3044-C3044)*24</f>
        <v/>
      </c>
      <c r="H3044" s="18">
        <f>MAX(0,G3044-8)</f>
        <v/>
      </c>
    </row>
    <row r="3045">
      <c r="A3045" t="n">
        <v>1112</v>
      </c>
      <c r="B3045" s="14" t="n">
        <v>46286</v>
      </c>
      <c r="C3045" s="17" t="n">
        <v>0.9270833333333334</v>
      </c>
      <c r="D3045" s="17" t="n">
        <v>0.2604166666666667</v>
      </c>
      <c r="E3045" t="inlineStr">
        <is>
          <t>Night</t>
        </is>
      </c>
      <c r="F3045" t="inlineStr">
        <is>
          <t>Sep</t>
        </is>
      </c>
      <c r="G3045" s="18">
        <f>IF(D3045&lt;C3045,D3045+1-C3045,D3045-C3045)*24</f>
        <v/>
      </c>
      <c r="H3045" s="18">
        <f>MAX(0,G3045-8)</f>
        <v/>
      </c>
    </row>
    <row r="3046">
      <c r="A3046" t="n">
        <v>1113</v>
      </c>
      <c r="B3046" s="14" t="n">
        <v>46286</v>
      </c>
      <c r="C3046" s="17" t="n">
        <v>0.9166666666666666</v>
      </c>
      <c r="D3046" s="17" t="n">
        <v>0.375</v>
      </c>
      <c r="E3046" t="inlineStr">
        <is>
          <t>Night</t>
        </is>
      </c>
      <c r="F3046" t="inlineStr">
        <is>
          <t>Sep</t>
        </is>
      </c>
      <c r="G3046" s="18">
        <f>IF(D3046&lt;C3046,D3046+1-C3046,D3046-C3046)*24</f>
        <v/>
      </c>
      <c r="H3046" s="18">
        <f>MAX(0,G3046-8)</f>
        <v/>
      </c>
    </row>
    <row r="3047">
      <c r="A3047" t="n">
        <v>1115</v>
      </c>
      <c r="B3047" s="14" t="n">
        <v>46286</v>
      </c>
      <c r="C3047" s="17" t="n">
        <v>0.9166666666666666</v>
      </c>
      <c r="D3047" s="17" t="n">
        <v>0.25</v>
      </c>
      <c r="E3047" t="inlineStr">
        <is>
          <t>Night</t>
        </is>
      </c>
      <c r="F3047" t="inlineStr">
        <is>
          <t>Sep</t>
        </is>
      </c>
      <c r="G3047" s="18">
        <f>IF(D3047&lt;C3047,D3047+1-C3047,D3047-C3047)*24</f>
        <v/>
      </c>
      <c r="H3047" s="18">
        <f>MAX(0,G3047-8)</f>
        <v/>
      </c>
    </row>
    <row r="3048">
      <c r="A3048" t="n">
        <v>1116</v>
      </c>
      <c r="B3048" s="14" t="n">
        <v>46286</v>
      </c>
      <c r="C3048" s="17" t="n">
        <v>0.9375</v>
      </c>
      <c r="D3048" s="17" t="n">
        <v>0.375</v>
      </c>
      <c r="E3048" t="inlineStr">
        <is>
          <t>Night</t>
        </is>
      </c>
      <c r="F3048" t="inlineStr">
        <is>
          <t>Sep</t>
        </is>
      </c>
      <c r="G3048" s="18">
        <f>IF(D3048&lt;C3048,D3048+1-C3048,D3048-C3048)*24</f>
        <v/>
      </c>
      <c r="H3048" s="18">
        <f>MAX(0,G3048-8)</f>
        <v/>
      </c>
    </row>
    <row r="3049">
      <c r="A3049" t="n">
        <v>1117</v>
      </c>
      <c r="B3049" s="14" t="n">
        <v>46286</v>
      </c>
      <c r="C3049" s="17" t="n">
        <v>0.9166666666666666</v>
      </c>
      <c r="D3049" s="17" t="n">
        <v>0.2708333333333333</v>
      </c>
      <c r="E3049" t="inlineStr">
        <is>
          <t>Night</t>
        </is>
      </c>
      <c r="F3049" t="inlineStr">
        <is>
          <t>Sep</t>
        </is>
      </c>
      <c r="G3049" s="18">
        <f>IF(D3049&lt;C3049,D3049+1-C3049,D3049-C3049)*24</f>
        <v/>
      </c>
      <c r="H3049" s="18">
        <f>MAX(0,G3049-8)</f>
        <v/>
      </c>
    </row>
    <row r="3050">
      <c r="A3050" t="n">
        <v>1118</v>
      </c>
      <c r="B3050" s="14" t="n">
        <v>46286</v>
      </c>
      <c r="C3050" s="17" t="n">
        <v>0.9270833333333334</v>
      </c>
      <c r="D3050" s="17" t="n">
        <v>0.3645833333333333</v>
      </c>
      <c r="E3050" t="inlineStr">
        <is>
          <t>Night</t>
        </is>
      </c>
      <c r="F3050" t="inlineStr">
        <is>
          <t>Sep</t>
        </is>
      </c>
      <c r="G3050" s="18">
        <f>IF(D3050&lt;C3050,D3050+1-C3050,D3050-C3050)*24</f>
        <v/>
      </c>
      <c r="H3050" s="18">
        <f>MAX(0,G3050-8)</f>
        <v/>
      </c>
    </row>
    <row r="3051">
      <c r="A3051" t="n">
        <v>1119</v>
      </c>
      <c r="B3051" s="14" t="n">
        <v>46286</v>
      </c>
      <c r="C3051" s="17" t="n">
        <v>0.9375</v>
      </c>
      <c r="D3051" s="17" t="n">
        <v>0.2708333333333333</v>
      </c>
      <c r="E3051" t="inlineStr">
        <is>
          <t>Night</t>
        </is>
      </c>
      <c r="F3051" t="inlineStr">
        <is>
          <t>Sep</t>
        </is>
      </c>
      <c r="G3051" s="18">
        <f>IF(D3051&lt;C3051,D3051+1-C3051,D3051-C3051)*24</f>
        <v/>
      </c>
      <c r="H3051" s="18">
        <f>MAX(0,G3051-8)</f>
        <v/>
      </c>
    </row>
    <row r="3052">
      <c r="A3052" t="n">
        <v>1120</v>
      </c>
      <c r="B3052" s="14" t="n">
        <v>46286</v>
      </c>
      <c r="C3052" s="17" t="n">
        <v>0.9375</v>
      </c>
      <c r="D3052" s="17" t="n">
        <v>0.2708333333333333</v>
      </c>
      <c r="E3052" t="inlineStr">
        <is>
          <t>Night</t>
        </is>
      </c>
      <c r="F3052" t="inlineStr">
        <is>
          <t>Sep</t>
        </is>
      </c>
      <c r="G3052" s="18">
        <f>IF(D3052&lt;C3052,D3052+1-C3052,D3052-C3052)*24</f>
        <v/>
      </c>
      <c r="H3052" s="18">
        <f>MAX(0,G3052-8)</f>
        <v/>
      </c>
    </row>
    <row r="3053">
      <c r="A3053" t="n">
        <v>1121</v>
      </c>
      <c r="B3053" s="14" t="n">
        <v>46286</v>
      </c>
      <c r="C3053" s="17" t="n">
        <v>0.9375</v>
      </c>
      <c r="D3053" s="17" t="n">
        <v>0.2916666666666667</v>
      </c>
      <c r="E3053" t="inlineStr">
        <is>
          <t>Night</t>
        </is>
      </c>
      <c r="F3053" t="inlineStr">
        <is>
          <t>Sep</t>
        </is>
      </c>
      <c r="G3053" s="18">
        <f>IF(D3053&lt;C3053,D3053+1-C3053,D3053-C3053)*24</f>
        <v/>
      </c>
      <c r="H3053" s="18">
        <f>MAX(0,G3053-8)</f>
        <v/>
      </c>
    </row>
    <row r="3054">
      <c r="A3054" t="n">
        <v>1122</v>
      </c>
      <c r="B3054" s="14" t="n">
        <v>46286</v>
      </c>
      <c r="C3054" s="17" t="n">
        <v>0.9166666666666666</v>
      </c>
      <c r="D3054" s="17" t="n">
        <v>0.25</v>
      </c>
      <c r="E3054" t="inlineStr">
        <is>
          <t>Night</t>
        </is>
      </c>
      <c r="F3054" t="inlineStr">
        <is>
          <t>Sep</t>
        </is>
      </c>
      <c r="G3054" s="18">
        <f>IF(D3054&lt;C3054,D3054+1-C3054,D3054-C3054)*24</f>
        <v/>
      </c>
      <c r="H3054" s="18">
        <f>MAX(0,G3054-8)</f>
        <v/>
      </c>
    </row>
    <row r="3055">
      <c r="A3055" t="n">
        <v>1123</v>
      </c>
      <c r="B3055" s="14" t="n">
        <v>46286</v>
      </c>
      <c r="C3055" s="17" t="n">
        <v>0.9166666666666666</v>
      </c>
      <c r="D3055" s="17" t="n">
        <v>0.25</v>
      </c>
      <c r="E3055" t="inlineStr">
        <is>
          <t>Night</t>
        </is>
      </c>
      <c r="F3055" t="inlineStr">
        <is>
          <t>Sep</t>
        </is>
      </c>
      <c r="G3055" s="18">
        <f>IF(D3055&lt;C3055,D3055+1-C3055,D3055-C3055)*24</f>
        <v/>
      </c>
      <c r="H3055" s="18">
        <f>MAX(0,G3055-8)</f>
        <v/>
      </c>
    </row>
    <row r="3056">
      <c r="A3056" t="n">
        <v>1124</v>
      </c>
      <c r="B3056" s="14" t="n">
        <v>46286</v>
      </c>
      <c r="C3056" s="17" t="n">
        <v>0.9270833333333334</v>
      </c>
      <c r="D3056" s="17" t="n">
        <v>0.28125</v>
      </c>
      <c r="E3056" t="inlineStr">
        <is>
          <t>Night</t>
        </is>
      </c>
      <c r="F3056" t="inlineStr">
        <is>
          <t>Sep</t>
        </is>
      </c>
      <c r="G3056" s="18">
        <f>IF(D3056&lt;C3056,D3056+1-C3056,D3056-C3056)*24</f>
        <v/>
      </c>
      <c r="H3056" s="18">
        <f>MAX(0,G3056-8)</f>
        <v/>
      </c>
    </row>
    <row r="3057">
      <c r="A3057" t="n">
        <v>1125</v>
      </c>
      <c r="B3057" s="14" t="n">
        <v>46286</v>
      </c>
      <c r="C3057" s="17" t="n">
        <v>0.9270833333333334</v>
      </c>
      <c r="D3057" s="17" t="n">
        <v>0.28125</v>
      </c>
      <c r="E3057" t="inlineStr">
        <is>
          <t>Night</t>
        </is>
      </c>
      <c r="F3057" t="inlineStr">
        <is>
          <t>Sep</t>
        </is>
      </c>
      <c r="G3057" s="18">
        <f>IF(D3057&lt;C3057,D3057+1-C3057,D3057-C3057)*24</f>
        <v/>
      </c>
      <c r="H3057" s="18">
        <f>MAX(0,G3057-8)</f>
        <v/>
      </c>
    </row>
    <row r="3058">
      <c r="A3058" t="n">
        <v>1126</v>
      </c>
      <c r="B3058" s="14" t="n">
        <v>46286</v>
      </c>
      <c r="C3058" s="17" t="n">
        <v>0.9375</v>
      </c>
      <c r="D3058" s="17" t="n">
        <v>0.3333333333333333</v>
      </c>
      <c r="E3058" t="inlineStr">
        <is>
          <t>Night</t>
        </is>
      </c>
      <c r="F3058" t="inlineStr">
        <is>
          <t>Sep</t>
        </is>
      </c>
      <c r="G3058" s="18">
        <f>IF(D3058&lt;C3058,D3058+1-C3058,D3058-C3058)*24</f>
        <v/>
      </c>
      <c r="H3058" s="18">
        <f>MAX(0,G3058-8)</f>
        <v/>
      </c>
    </row>
    <row r="3059">
      <c r="A3059" t="n">
        <v>1127</v>
      </c>
      <c r="B3059" s="14" t="n">
        <v>46286</v>
      </c>
      <c r="C3059" s="17" t="n">
        <v>0.9375</v>
      </c>
      <c r="D3059" s="17" t="n">
        <v>0.3958333333333333</v>
      </c>
      <c r="E3059" t="inlineStr">
        <is>
          <t>Night</t>
        </is>
      </c>
      <c r="F3059" t="inlineStr">
        <is>
          <t>Sep</t>
        </is>
      </c>
      <c r="G3059" s="18">
        <f>IF(D3059&lt;C3059,D3059+1-C3059,D3059-C3059)*24</f>
        <v/>
      </c>
      <c r="H3059" s="18">
        <f>MAX(0,G3059-8)</f>
        <v/>
      </c>
    </row>
    <row r="3060">
      <c r="A3060" t="n">
        <v>1128</v>
      </c>
      <c r="B3060" s="14" t="n">
        <v>46286</v>
      </c>
      <c r="C3060" s="17" t="n">
        <v>0.9270833333333334</v>
      </c>
      <c r="D3060" s="17" t="n">
        <v>0.34375</v>
      </c>
      <c r="E3060" t="inlineStr">
        <is>
          <t>Night</t>
        </is>
      </c>
      <c r="F3060" t="inlineStr">
        <is>
          <t>Sep</t>
        </is>
      </c>
      <c r="G3060" s="18">
        <f>IF(D3060&lt;C3060,D3060+1-C3060,D3060-C3060)*24</f>
        <v/>
      </c>
      <c r="H3060" s="18">
        <f>MAX(0,G3060-8)</f>
        <v/>
      </c>
    </row>
    <row r="3061">
      <c r="A3061" t="n">
        <v>1129</v>
      </c>
      <c r="B3061" s="14" t="n">
        <v>46286</v>
      </c>
      <c r="C3061" s="17" t="n">
        <v>0.9166666666666666</v>
      </c>
      <c r="D3061" s="17" t="n">
        <v>0.3958333333333333</v>
      </c>
      <c r="E3061" t="inlineStr">
        <is>
          <t>Night</t>
        </is>
      </c>
      <c r="F3061" t="inlineStr">
        <is>
          <t>Sep</t>
        </is>
      </c>
      <c r="G3061" s="18">
        <f>IF(D3061&lt;C3061,D3061+1-C3061,D3061-C3061)*24</f>
        <v/>
      </c>
      <c r="H3061" s="18">
        <f>MAX(0,G3061-8)</f>
        <v/>
      </c>
    </row>
    <row r="3062">
      <c r="A3062" t="n">
        <v>1131</v>
      </c>
      <c r="B3062" s="14" t="n">
        <v>46286</v>
      </c>
      <c r="C3062" s="17" t="n">
        <v>0.9166666666666666</v>
      </c>
      <c r="D3062" s="17" t="n">
        <v>0.2708333333333333</v>
      </c>
      <c r="E3062" t="inlineStr">
        <is>
          <t>Night</t>
        </is>
      </c>
      <c r="F3062" t="inlineStr">
        <is>
          <t>Sep</t>
        </is>
      </c>
      <c r="G3062" s="18">
        <f>IF(D3062&lt;C3062,D3062+1-C3062,D3062-C3062)*24</f>
        <v/>
      </c>
      <c r="H3062" s="18">
        <f>MAX(0,G3062-8)</f>
        <v/>
      </c>
    </row>
    <row r="3063">
      <c r="A3063" t="n">
        <v>1132</v>
      </c>
      <c r="B3063" s="14" t="n">
        <v>46286</v>
      </c>
      <c r="C3063" s="17" t="n">
        <v>0.9270833333333334</v>
      </c>
      <c r="D3063" s="17" t="n">
        <v>0.28125</v>
      </c>
      <c r="E3063" t="inlineStr">
        <is>
          <t>Night</t>
        </is>
      </c>
      <c r="F3063" t="inlineStr">
        <is>
          <t>Sep</t>
        </is>
      </c>
      <c r="G3063" s="18">
        <f>IF(D3063&lt;C3063,D3063+1-C3063,D3063-C3063)*24</f>
        <v/>
      </c>
      <c r="H3063" s="18">
        <f>MAX(0,G3063-8)</f>
        <v/>
      </c>
    </row>
    <row r="3064">
      <c r="A3064" t="n">
        <v>1133</v>
      </c>
      <c r="B3064" s="14" t="n">
        <v>46286</v>
      </c>
      <c r="C3064" s="17" t="n">
        <v>0.9270833333333334</v>
      </c>
      <c r="D3064" s="17" t="n">
        <v>0.28125</v>
      </c>
      <c r="E3064" t="inlineStr">
        <is>
          <t>Night</t>
        </is>
      </c>
      <c r="F3064" t="inlineStr">
        <is>
          <t>Sep</t>
        </is>
      </c>
      <c r="G3064" s="18">
        <f>IF(D3064&lt;C3064,D3064+1-C3064,D3064-C3064)*24</f>
        <v/>
      </c>
      <c r="H3064" s="18">
        <f>MAX(0,G3064-8)</f>
        <v/>
      </c>
    </row>
    <row r="3065">
      <c r="A3065" t="n">
        <v>1134</v>
      </c>
      <c r="B3065" s="14" t="n">
        <v>46286</v>
      </c>
      <c r="C3065" s="17" t="n">
        <v>0.9166666666666666</v>
      </c>
      <c r="D3065" s="17" t="n">
        <v>0.3125</v>
      </c>
      <c r="E3065" t="inlineStr">
        <is>
          <t>Night</t>
        </is>
      </c>
      <c r="F3065" t="inlineStr">
        <is>
          <t>Sep</t>
        </is>
      </c>
      <c r="G3065" s="18">
        <f>IF(D3065&lt;C3065,D3065+1-C3065,D3065-C3065)*24</f>
        <v/>
      </c>
      <c r="H3065" s="18">
        <f>MAX(0,G3065-8)</f>
        <v/>
      </c>
    </row>
    <row r="3066">
      <c r="A3066" t="n">
        <v>1135</v>
      </c>
      <c r="B3066" s="14" t="n">
        <v>46286</v>
      </c>
      <c r="C3066" s="17" t="n">
        <v>0.9375</v>
      </c>
      <c r="D3066" s="17" t="n">
        <v>0.2916666666666667</v>
      </c>
      <c r="E3066" t="inlineStr">
        <is>
          <t>Night</t>
        </is>
      </c>
      <c r="F3066" t="inlineStr">
        <is>
          <t>Sep</t>
        </is>
      </c>
      <c r="G3066" s="18">
        <f>IF(D3066&lt;C3066,D3066+1-C3066,D3066-C3066)*24</f>
        <v/>
      </c>
      <c r="H3066" s="18">
        <f>MAX(0,G3066-8)</f>
        <v/>
      </c>
    </row>
    <row r="3067">
      <c r="A3067" t="n">
        <v>1136</v>
      </c>
      <c r="B3067" s="14" t="n">
        <v>46286</v>
      </c>
      <c r="C3067" s="17" t="n">
        <v>0.9166666666666666</v>
      </c>
      <c r="D3067" s="17" t="n">
        <v>0.2708333333333333</v>
      </c>
      <c r="E3067" t="inlineStr">
        <is>
          <t>Night</t>
        </is>
      </c>
      <c r="F3067" t="inlineStr">
        <is>
          <t>Sep</t>
        </is>
      </c>
      <c r="G3067" s="18">
        <f>IF(D3067&lt;C3067,D3067+1-C3067,D3067-C3067)*24</f>
        <v/>
      </c>
      <c r="H3067" s="18">
        <f>MAX(0,G3067-8)</f>
        <v/>
      </c>
    </row>
    <row r="3068">
      <c r="A3068" t="n">
        <v>1137</v>
      </c>
      <c r="B3068" s="14" t="n">
        <v>46286</v>
      </c>
      <c r="C3068" s="17" t="n">
        <v>0.9166666666666666</v>
      </c>
      <c r="D3068" s="17" t="n">
        <v>0.375</v>
      </c>
      <c r="E3068" t="inlineStr">
        <is>
          <t>Night</t>
        </is>
      </c>
      <c r="F3068" t="inlineStr">
        <is>
          <t>Sep</t>
        </is>
      </c>
      <c r="G3068" s="18">
        <f>IF(D3068&lt;C3068,D3068+1-C3068,D3068-C3068)*24</f>
        <v/>
      </c>
      <c r="H3068" s="18">
        <f>MAX(0,G3068-8)</f>
        <v/>
      </c>
    </row>
    <row r="3069">
      <c r="A3069" t="n">
        <v>1147</v>
      </c>
      <c r="B3069" s="14" t="n">
        <v>46286</v>
      </c>
      <c r="C3069" s="17" t="n">
        <v>0.9166666666666666</v>
      </c>
      <c r="D3069" s="17" t="n">
        <v>0.3958333333333333</v>
      </c>
      <c r="E3069" t="inlineStr">
        <is>
          <t>Night</t>
        </is>
      </c>
      <c r="F3069" t="inlineStr">
        <is>
          <t>Sep</t>
        </is>
      </c>
      <c r="G3069" s="18">
        <f>IF(D3069&lt;C3069,D3069+1-C3069,D3069-C3069)*24</f>
        <v/>
      </c>
      <c r="H3069" s="18">
        <f>MAX(0,G3069-8)</f>
        <v/>
      </c>
    </row>
    <row r="3070">
      <c r="A3070" t="n">
        <v>1103</v>
      </c>
      <c r="B3070" s="14" t="n">
        <v>46286</v>
      </c>
      <c r="C3070" s="17" t="n">
        <v>0.02083333333333333</v>
      </c>
      <c r="D3070" s="17" t="n">
        <v>0.375</v>
      </c>
      <c r="E3070" t="inlineStr">
        <is>
          <t>Night</t>
        </is>
      </c>
      <c r="F3070" t="inlineStr">
        <is>
          <t>Sep</t>
        </is>
      </c>
      <c r="G3070" s="18">
        <f>IF(D3070&lt;C3070,D3070+1-C3070,D3070-C3070)*24</f>
        <v/>
      </c>
      <c r="H3070" s="18">
        <f>MAX(0,G3070-8)</f>
        <v/>
      </c>
    </row>
    <row r="3071">
      <c r="A3071" t="n">
        <v>1104</v>
      </c>
      <c r="B3071" s="14" t="n">
        <v>46286</v>
      </c>
      <c r="C3071" s="17" t="n">
        <v>0.01041666666666667</v>
      </c>
      <c r="D3071" s="17" t="n">
        <v>0.34375</v>
      </c>
      <c r="E3071" t="inlineStr">
        <is>
          <t>Night</t>
        </is>
      </c>
      <c r="F3071" t="inlineStr">
        <is>
          <t>Sep</t>
        </is>
      </c>
      <c r="G3071" s="18">
        <f>IF(D3071&lt;C3071,D3071+1-C3071,D3071-C3071)*24</f>
        <v/>
      </c>
      <c r="H3071" s="18">
        <f>MAX(0,G3071-8)</f>
        <v/>
      </c>
    </row>
    <row r="3072">
      <c r="A3072" t="n">
        <v>1109</v>
      </c>
      <c r="B3072" s="14" t="n">
        <v>46286</v>
      </c>
      <c r="C3072" s="17" t="n">
        <v>0.02083333333333333</v>
      </c>
      <c r="D3072" s="17" t="n">
        <v>0.3541666666666667</v>
      </c>
      <c r="E3072" t="inlineStr">
        <is>
          <t>Night</t>
        </is>
      </c>
      <c r="F3072" t="inlineStr">
        <is>
          <t>Sep</t>
        </is>
      </c>
      <c r="G3072" s="18">
        <f>IF(D3072&lt;C3072,D3072+1-C3072,D3072-C3072)*24</f>
        <v/>
      </c>
      <c r="H3072" s="18">
        <f>MAX(0,G3072-8)</f>
        <v/>
      </c>
    </row>
    <row r="3073">
      <c r="A3073" t="n">
        <v>1114</v>
      </c>
      <c r="B3073" s="14" t="n">
        <v>46286</v>
      </c>
      <c r="C3073" s="17" t="n">
        <v>0.01041666666666667</v>
      </c>
      <c r="D3073" s="17" t="n">
        <v>0.3645833333333333</v>
      </c>
      <c r="E3073" t="inlineStr">
        <is>
          <t>Night</t>
        </is>
      </c>
      <c r="F3073" t="inlineStr">
        <is>
          <t>Sep</t>
        </is>
      </c>
      <c r="G3073" s="18">
        <f>IF(D3073&lt;C3073,D3073+1-C3073,D3073-C3073)*24</f>
        <v/>
      </c>
      <c r="H3073" s="18">
        <f>MAX(0,G3073-8)</f>
        <v/>
      </c>
    </row>
    <row r="3074">
      <c r="A3074" t="n">
        <v>1130</v>
      </c>
      <c r="B3074" s="14" t="n">
        <v>46286</v>
      </c>
      <c r="C3074" s="17" t="n">
        <v>0.01041666666666667</v>
      </c>
      <c r="D3074" s="17" t="n">
        <v>0.40625</v>
      </c>
      <c r="E3074" t="inlineStr">
        <is>
          <t>Night</t>
        </is>
      </c>
      <c r="F3074" t="inlineStr">
        <is>
          <t>Sep</t>
        </is>
      </c>
      <c r="G3074" s="18">
        <f>IF(D3074&lt;C3074,D3074+1-C3074,D3074-C3074)*24</f>
        <v/>
      </c>
      <c r="H3074" s="18">
        <f>MAX(0,G3074-8)</f>
        <v/>
      </c>
    </row>
    <row r="3075">
      <c r="A3075" t="n">
        <v>1201</v>
      </c>
      <c r="B3075" s="14" t="n">
        <v>46286</v>
      </c>
      <c r="C3075" s="17" t="n">
        <v>0.2708333333333333</v>
      </c>
      <c r="D3075" s="17" t="n">
        <v>0.625</v>
      </c>
      <c r="E3075" t="inlineStr">
        <is>
          <t>Day</t>
        </is>
      </c>
      <c r="F3075" t="inlineStr">
        <is>
          <t>Sep</t>
        </is>
      </c>
      <c r="G3075" s="18">
        <f>IF(D3075&lt;C3075,D3075+1-C3075,D3075-C3075)*24</f>
        <v/>
      </c>
      <c r="H3075" s="18">
        <f>MAX(0,G3075-8)</f>
        <v/>
      </c>
    </row>
    <row r="3076">
      <c r="A3076" t="n">
        <v>1202</v>
      </c>
      <c r="B3076" s="14" t="n">
        <v>46286</v>
      </c>
      <c r="C3076" s="17" t="n">
        <v>0.25</v>
      </c>
      <c r="D3076" s="17" t="n">
        <v>0.5833333333333334</v>
      </c>
      <c r="E3076" t="inlineStr">
        <is>
          <t>Day</t>
        </is>
      </c>
      <c r="F3076" t="inlineStr">
        <is>
          <t>Sep</t>
        </is>
      </c>
      <c r="G3076" s="18">
        <f>IF(D3076&lt;C3076,D3076+1-C3076,D3076-C3076)*24</f>
        <v/>
      </c>
      <c r="H3076" s="18">
        <f>MAX(0,G3076-8)</f>
        <v/>
      </c>
    </row>
    <row r="3077">
      <c r="A3077" t="n">
        <v>1203</v>
      </c>
      <c r="B3077" s="14" t="n">
        <v>46286</v>
      </c>
      <c r="C3077" s="17" t="n">
        <v>0.25</v>
      </c>
      <c r="D3077" s="17" t="n">
        <v>0.5833333333333334</v>
      </c>
      <c r="E3077" t="inlineStr">
        <is>
          <t>Day</t>
        </is>
      </c>
      <c r="F3077" t="inlineStr">
        <is>
          <t>Sep</t>
        </is>
      </c>
      <c r="G3077" s="18">
        <f>IF(D3077&lt;C3077,D3077+1-C3077,D3077-C3077)*24</f>
        <v/>
      </c>
      <c r="H3077" s="18">
        <f>MAX(0,G3077-8)</f>
        <v/>
      </c>
    </row>
    <row r="3078">
      <c r="A3078" t="n">
        <v>1204</v>
      </c>
      <c r="B3078" s="14" t="n">
        <v>46286</v>
      </c>
      <c r="C3078" s="17" t="n">
        <v>0.2708333333333333</v>
      </c>
      <c r="D3078" s="17" t="n">
        <v>0.6041666666666666</v>
      </c>
      <c r="E3078" t="inlineStr">
        <is>
          <t>Day</t>
        </is>
      </c>
      <c r="F3078" t="inlineStr">
        <is>
          <t>Sep</t>
        </is>
      </c>
      <c r="G3078" s="18">
        <f>IF(D3078&lt;C3078,D3078+1-C3078,D3078-C3078)*24</f>
        <v/>
      </c>
      <c r="H3078" s="18">
        <f>MAX(0,G3078-8)</f>
        <v/>
      </c>
    </row>
    <row r="3079">
      <c r="A3079" t="n">
        <v>1205</v>
      </c>
      <c r="B3079" s="14" t="n">
        <v>46286</v>
      </c>
      <c r="C3079" s="17" t="n">
        <v>0.25</v>
      </c>
      <c r="D3079" s="17" t="n">
        <v>0.5833333333333334</v>
      </c>
      <c r="E3079" t="inlineStr">
        <is>
          <t>Day</t>
        </is>
      </c>
      <c r="F3079" t="inlineStr">
        <is>
          <t>Sep</t>
        </is>
      </c>
      <c r="G3079" s="18">
        <f>IF(D3079&lt;C3079,D3079+1-C3079,D3079-C3079)*24</f>
        <v/>
      </c>
      <c r="H3079" s="18">
        <f>MAX(0,G3079-8)</f>
        <v/>
      </c>
    </row>
    <row r="3080">
      <c r="A3080" t="n">
        <v>1206</v>
      </c>
      <c r="B3080" s="14" t="n">
        <v>46286</v>
      </c>
      <c r="C3080" s="17" t="n">
        <v>0.2708333333333333</v>
      </c>
      <c r="D3080" s="17" t="n">
        <v>0.6041666666666666</v>
      </c>
      <c r="E3080" t="inlineStr">
        <is>
          <t>Day</t>
        </is>
      </c>
      <c r="F3080" t="inlineStr">
        <is>
          <t>Sep</t>
        </is>
      </c>
      <c r="G3080" s="18">
        <f>IF(D3080&lt;C3080,D3080+1-C3080,D3080-C3080)*24</f>
        <v/>
      </c>
      <c r="H3080" s="18">
        <f>MAX(0,G3080-8)</f>
        <v/>
      </c>
    </row>
    <row r="3081">
      <c r="A3081" t="n">
        <v>1207</v>
      </c>
      <c r="B3081" s="14" t="n">
        <v>46286</v>
      </c>
      <c r="C3081" s="17" t="n">
        <v>0.2708333333333333</v>
      </c>
      <c r="D3081" s="17" t="n">
        <v>0.6041666666666666</v>
      </c>
      <c r="E3081" t="inlineStr">
        <is>
          <t>Day</t>
        </is>
      </c>
      <c r="F3081" t="inlineStr">
        <is>
          <t>Sep</t>
        </is>
      </c>
      <c r="G3081" s="18">
        <f>IF(D3081&lt;C3081,D3081+1-C3081,D3081-C3081)*24</f>
        <v/>
      </c>
      <c r="H3081" s="18">
        <f>MAX(0,G3081-8)</f>
        <v/>
      </c>
    </row>
    <row r="3082">
      <c r="A3082" t="n">
        <v>1208</v>
      </c>
      <c r="B3082" s="14" t="n">
        <v>46286</v>
      </c>
      <c r="C3082" s="17" t="n">
        <v>0.25</v>
      </c>
      <c r="D3082" s="17" t="n">
        <v>0.6041666666666666</v>
      </c>
      <c r="E3082" t="inlineStr">
        <is>
          <t>Day</t>
        </is>
      </c>
      <c r="F3082" t="inlineStr">
        <is>
          <t>Sep</t>
        </is>
      </c>
      <c r="G3082" s="18">
        <f>IF(D3082&lt;C3082,D3082+1-C3082,D3082-C3082)*24</f>
        <v/>
      </c>
      <c r="H3082" s="18">
        <f>MAX(0,G3082-8)</f>
        <v/>
      </c>
    </row>
    <row r="3083">
      <c r="A3083" t="n">
        <v>1209</v>
      </c>
      <c r="B3083" s="14" t="n">
        <v>46286</v>
      </c>
      <c r="C3083" s="17" t="n">
        <v>0.2708333333333333</v>
      </c>
      <c r="D3083" s="17" t="n">
        <v>0.6041666666666666</v>
      </c>
      <c r="E3083" t="inlineStr">
        <is>
          <t>Day</t>
        </is>
      </c>
      <c r="F3083" t="inlineStr">
        <is>
          <t>Sep</t>
        </is>
      </c>
      <c r="G3083" s="18">
        <f>IF(D3083&lt;C3083,D3083+1-C3083,D3083-C3083)*24</f>
        <v/>
      </c>
      <c r="H3083" s="18">
        <f>MAX(0,G3083-8)</f>
        <v/>
      </c>
    </row>
    <row r="3084">
      <c r="A3084" t="n">
        <v>1210</v>
      </c>
      <c r="B3084" s="14" t="n">
        <v>46286</v>
      </c>
      <c r="C3084" s="17" t="n">
        <v>0.25</v>
      </c>
      <c r="D3084" s="17" t="n">
        <v>0.625</v>
      </c>
      <c r="E3084" t="inlineStr">
        <is>
          <t>Day</t>
        </is>
      </c>
      <c r="F3084" t="inlineStr">
        <is>
          <t>Sep</t>
        </is>
      </c>
      <c r="G3084" s="18">
        <f>IF(D3084&lt;C3084,D3084+1-C3084,D3084-C3084)*24</f>
        <v/>
      </c>
      <c r="H3084" s="18">
        <f>MAX(0,G3084-8)</f>
        <v/>
      </c>
    </row>
    <row r="3085">
      <c r="A3085" t="n">
        <v>1211</v>
      </c>
      <c r="B3085" s="14" t="n">
        <v>46286</v>
      </c>
      <c r="C3085" s="17" t="n">
        <v>0.2708333333333333</v>
      </c>
      <c r="D3085" s="17" t="n">
        <v>0.6041666666666666</v>
      </c>
      <c r="E3085" t="inlineStr">
        <is>
          <t>Day</t>
        </is>
      </c>
      <c r="F3085" t="inlineStr">
        <is>
          <t>Sep</t>
        </is>
      </c>
      <c r="G3085" s="18">
        <f>IF(D3085&lt;C3085,D3085+1-C3085,D3085-C3085)*24</f>
        <v/>
      </c>
      <c r="H3085" s="18">
        <f>MAX(0,G3085-8)</f>
        <v/>
      </c>
    </row>
    <row r="3086">
      <c r="A3086" t="n">
        <v>1212</v>
      </c>
      <c r="B3086" s="14" t="n">
        <v>46286</v>
      </c>
      <c r="C3086" s="17" t="n">
        <v>0.25</v>
      </c>
      <c r="D3086" s="17" t="n">
        <v>0.625</v>
      </c>
      <c r="E3086" t="inlineStr">
        <is>
          <t>Day</t>
        </is>
      </c>
      <c r="F3086" t="inlineStr">
        <is>
          <t>Sep</t>
        </is>
      </c>
      <c r="G3086" s="18">
        <f>IF(D3086&lt;C3086,D3086+1-C3086,D3086-C3086)*24</f>
        <v/>
      </c>
      <c r="H3086" s="18">
        <f>MAX(0,G3086-8)</f>
        <v/>
      </c>
    </row>
    <row r="3087">
      <c r="A3087" t="n">
        <v>1213</v>
      </c>
      <c r="B3087" s="14" t="n">
        <v>46286</v>
      </c>
      <c r="C3087" s="17" t="n">
        <v>0.2708333333333333</v>
      </c>
      <c r="D3087" s="17" t="n">
        <v>0.6875</v>
      </c>
      <c r="E3087" t="inlineStr">
        <is>
          <t>Day</t>
        </is>
      </c>
      <c r="F3087" t="inlineStr">
        <is>
          <t>Sep</t>
        </is>
      </c>
      <c r="G3087" s="18">
        <f>IF(D3087&lt;C3087,D3087+1-C3087,D3087-C3087)*24</f>
        <v/>
      </c>
      <c r="H3087" s="18">
        <f>MAX(0,G3087-8)</f>
        <v/>
      </c>
    </row>
    <row r="3088">
      <c r="A3088" t="n">
        <v>1214</v>
      </c>
      <c r="B3088" s="14" t="n">
        <v>46286</v>
      </c>
      <c r="C3088" s="17" t="n">
        <v>0.25</v>
      </c>
      <c r="D3088" s="17" t="n">
        <v>0.6666666666666666</v>
      </c>
      <c r="E3088" t="inlineStr">
        <is>
          <t>Day</t>
        </is>
      </c>
      <c r="F3088" t="inlineStr">
        <is>
          <t>Sep</t>
        </is>
      </c>
      <c r="G3088" s="18">
        <f>IF(D3088&lt;C3088,D3088+1-C3088,D3088-C3088)*24</f>
        <v/>
      </c>
      <c r="H3088" s="18">
        <f>MAX(0,G3088-8)</f>
        <v/>
      </c>
    </row>
    <row r="3089">
      <c r="A3089" t="n">
        <v>1215</v>
      </c>
      <c r="B3089" s="14" t="n">
        <v>46286</v>
      </c>
      <c r="C3089" s="17" t="n">
        <v>0.25</v>
      </c>
      <c r="D3089" s="17" t="n">
        <v>0.5833333333333334</v>
      </c>
      <c r="E3089" t="inlineStr">
        <is>
          <t>Day</t>
        </is>
      </c>
      <c r="F3089" t="inlineStr">
        <is>
          <t>Sep</t>
        </is>
      </c>
      <c r="G3089" s="18">
        <f>IF(D3089&lt;C3089,D3089+1-C3089,D3089-C3089)*24</f>
        <v/>
      </c>
      <c r="H3089" s="18">
        <f>MAX(0,G3089-8)</f>
        <v/>
      </c>
    </row>
    <row r="3090">
      <c r="A3090" t="n">
        <v>1216</v>
      </c>
      <c r="B3090" s="14" t="n">
        <v>46286</v>
      </c>
      <c r="C3090" s="17" t="n">
        <v>0.25</v>
      </c>
      <c r="D3090" s="17" t="n">
        <v>0.6666666666666666</v>
      </c>
      <c r="E3090" t="inlineStr">
        <is>
          <t>Day</t>
        </is>
      </c>
      <c r="F3090" t="inlineStr">
        <is>
          <t>Sep</t>
        </is>
      </c>
      <c r="G3090" s="18">
        <f>IF(D3090&lt;C3090,D3090+1-C3090,D3090-C3090)*24</f>
        <v/>
      </c>
      <c r="H3090" s="18">
        <f>MAX(0,G3090-8)</f>
        <v/>
      </c>
    </row>
    <row r="3091">
      <c r="A3091" t="n">
        <v>1217</v>
      </c>
      <c r="B3091" s="14" t="n">
        <v>46286</v>
      </c>
      <c r="C3091" s="17" t="n">
        <v>0.25</v>
      </c>
      <c r="D3091" s="17" t="n">
        <v>0.6041666666666666</v>
      </c>
      <c r="E3091" t="inlineStr">
        <is>
          <t>Day</t>
        </is>
      </c>
      <c r="F3091" t="inlineStr">
        <is>
          <t>Sep</t>
        </is>
      </c>
      <c r="G3091" s="18">
        <f>IF(D3091&lt;C3091,D3091+1-C3091,D3091-C3091)*24</f>
        <v/>
      </c>
      <c r="H3091" s="18">
        <f>MAX(0,G3091-8)</f>
        <v/>
      </c>
    </row>
    <row r="3092">
      <c r="A3092" t="n">
        <v>1218</v>
      </c>
      <c r="B3092" s="14" t="n">
        <v>46286</v>
      </c>
      <c r="C3092" s="17" t="n">
        <v>0.25</v>
      </c>
      <c r="D3092" s="17" t="n">
        <v>0.5833333333333334</v>
      </c>
      <c r="E3092" t="inlineStr">
        <is>
          <t>Day</t>
        </is>
      </c>
      <c r="F3092" t="inlineStr">
        <is>
          <t>Sep</t>
        </is>
      </c>
      <c r="G3092" s="18">
        <f>IF(D3092&lt;C3092,D3092+1-C3092,D3092-C3092)*24</f>
        <v/>
      </c>
      <c r="H3092" s="18">
        <f>MAX(0,G3092-8)</f>
        <v/>
      </c>
    </row>
    <row r="3093">
      <c r="A3093" t="n">
        <v>1219</v>
      </c>
      <c r="B3093" s="14" t="n">
        <v>46286</v>
      </c>
      <c r="C3093" s="17" t="n">
        <v>0.2708333333333333</v>
      </c>
      <c r="D3093" s="17" t="n">
        <v>0.6458333333333334</v>
      </c>
      <c r="E3093" t="inlineStr">
        <is>
          <t>Day</t>
        </is>
      </c>
      <c r="F3093" t="inlineStr">
        <is>
          <t>Sep</t>
        </is>
      </c>
      <c r="G3093" s="18">
        <f>IF(D3093&lt;C3093,D3093+1-C3093,D3093-C3093)*24</f>
        <v/>
      </c>
      <c r="H3093" s="18">
        <f>MAX(0,G3093-8)</f>
        <v/>
      </c>
    </row>
    <row r="3094">
      <c r="A3094" t="n">
        <v>1220</v>
      </c>
      <c r="B3094" s="14" t="n">
        <v>46286</v>
      </c>
      <c r="C3094" s="17" t="n">
        <v>0.25</v>
      </c>
      <c r="D3094" s="17" t="n">
        <v>0.5833333333333334</v>
      </c>
      <c r="E3094" t="inlineStr">
        <is>
          <t>Day</t>
        </is>
      </c>
      <c r="F3094" t="inlineStr">
        <is>
          <t>Sep</t>
        </is>
      </c>
      <c r="G3094" s="18">
        <f>IF(D3094&lt;C3094,D3094+1-C3094,D3094-C3094)*24</f>
        <v/>
      </c>
      <c r="H3094" s="18">
        <f>MAX(0,G3094-8)</f>
        <v/>
      </c>
    </row>
    <row r="3095">
      <c r="A3095" t="n">
        <v>1101</v>
      </c>
      <c r="B3095" s="14" t="n">
        <v>46287</v>
      </c>
      <c r="C3095" s="17" t="n">
        <v>0.9166666666666666</v>
      </c>
      <c r="D3095" s="17" t="n">
        <v>0.3333333333333333</v>
      </c>
      <c r="E3095" t="inlineStr">
        <is>
          <t>Night</t>
        </is>
      </c>
      <c r="F3095" t="inlineStr">
        <is>
          <t>Sep</t>
        </is>
      </c>
      <c r="G3095" s="18">
        <f>IF(D3095&lt;C3095,D3095+1-C3095,D3095-C3095)*24</f>
        <v/>
      </c>
      <c r="H3095" s="18">
        <f>MAX(0,G3095-8)</f>
        <v/>
      </c>
    </row>
    <row r="3096">
      <c r="A3096" t="n">
        <v>1102</v>
      </c>
      <c r="B3096" s="14" t="n">
        <v>46287</v>
      </c>
      <c r="C3096" s="17" t="n">
        <v>0.9166666666666666</v>
      </c>
      <c r="D3096" s="17" t="n">
        <v>0.3541666666666667</v>
      </c>
      <c r="E3096" t="inlineStr">
        <is>
          <t>Night</t>
        </is>
      </c>
      <c r="F3096" t="inlineStr">
        <is>
          <t>Sep</t>
        </is>
      </c>
      <c r="G3096" s="18">
        <f>IF(D3096&lt;C3096,D3096+1-C3096,D3096-C3096)*24</f>
        <v/>
      </c>
      <c r="H3096" s="18">
        <f>MAX(0,G3096-8)</f>
        <v/>
      </c>
    </row>
    <row r="3097">
      <c r="A3097" t="n">
        <v>1104</v>
      </c>
      <c r="B3097" s="14" t="n">
        <v>46287</v>
      </c>
      <c r="C3097" s="17" t="n">
        <v>0.9166666666666666</v>
      </c>
      <c r="D3097" s="17" t="n">
        <v>0.25</v>
      </c>
      <c r="E3097" t="inlineStr">
        <is>
          <t>Night</t>
        </is>
      </c>
      <c r="F3097" t="inlineStr">
        <is>
          <t>Sep</t>
        </is>
      </c>
      <c r="G3097" s="18">
        <f>IF(D3097&lt;C3097,D3097+1-C3097,D3097-C3097)*24</f>
        <v/>
      </c>
      <c r="H3097" s="18">
        <f>MAX(0,G3097-8)</f>
        <v/>
      </c>
    </row>
    <row r="3098">
      <c r="A3098" t="n">
        <v>1106</v>
      </c>
      <c r="B3098" s="14" t="n">
        <v>46287</v>
      </c>
      <c r="C3098" s="17" t="n">
        <v>0.9166666666666666</v>
      </c>
      <c r="D3098" s="17" t="n">
        <v>0.3958333333333333</v>
      </c>
      <c r="E3098" t="inlineStr">
        <is>
          <t>Night</t>
        </is>
      </c>
      <c r="F3098" t="inlineStr">
        <is>
          <t>Sep</t>
        </is>
      </c>
      <c r="G3098" s="18">
        <f>IF(D3098&lt;C3098,D3098+1-C3098,D3098-C3098)*24</f>
        <v/>
      </c>
      <c r="H3098" s="18">
        <f>MAX(0,G3098-8)</f>
        <v/>
      </c>
    </row>
    <row r="3099">
      <c r="A3099" t="n">
        <v>1108</v>
      </c>
      <c r="B3099" s="14" t="n">
        <v>46287</v>
      </c>
      <c r="C3099" s="17" t="n">
        <v>0.9166666666666666</v>
      </c>
      <c r="D3099" s="17" t="n">
        <v>0.3333333333333333</v>
      </c>
      <c r="E3099" t="inlineStr">
        <is>
          <t>Night</t>
        </is>
      </c>
      <c r="F3099" t="inlineStr">
        <is>
          <t>Sep</t>
        </is>
      </c>
      <c r="G3099" s="18">
        <f>IF(D3099&lt;C3099,D3099+1-C3099,D3099-C3099)*24</f>
        <v/>
      </c>
      <c r="H3099" s="18">
        <f>MAX(0,G3099-8)</f>
        <v/>
      </c>
    </row>
    <row r="3100">
      <c r="A3100" t="n">
        <v>1111</v>
      </c>
      <c r="B3100" s="14" t="n">
        <v>46287</v>
      </c>
      <c r="C3100" s="17" t="n">
        <v>0.9375</v>
      </c>
      <c r="D3100" s="17" t="n">
        <v>0.3958333333333333</v>
      </c>
      <c r="E3100" t="inlineStr">
        <is>
          <t>Night</t>
        </is>
      </c>
      <c r="F3100" t="inlineStr">
        <is>
          <t>Sep</t>
        </is>
      </c>
      <c r="G3100" s="18">
        <f>IF(D3100&lt;C3100,D3100+1-C3100,D3100-C3100)*24</f>
        <v/>
      </c>
      <c r="H3100" s="18">
        <f>MAX(0,G3100-8)</f>
        <v/>
      </c>
    </row>
    <row r="3101">
      <c r="A3101" t="n">
        <v>1112</v>
      </c>
      <c r="B3101" s="14" t="n">
        <v>46287</v>
      </c>
      <c r="C3101" s="17" t="n">
        <v>0.9166666666666666</v>
      </c>
      <c r="D3101" s="17" t="n">
        <v>0.2916666666666667</v>
      </c>
      <c r="E3101" t="inlineStr">
        <is>
          <t>Night</t>
        </is>
      </c>
      <c r="F3101" t="inlineStr">
        <is>
          <t>Sep</t>
        </is>
      </c>
      <c r="G3101" s="18">
        <f>IF(D3101&lt;C3101,D3101+1-C3101,D3101-C3101)*24</f>
        <v/>
      </c>
      <c r="H3101" s="18">
        <f>MAX(0,G3101-8)</f>
        <v/>
      </c>
    </row>
    <row r="3102">
      <c r="A3102" t="n">
        <v>1113</v>
      </c>
      <c r="B3102" s="14" t="n">
        <v>46287</v>
      </c>
      <c r="C3102" s="17" t="n">
        <v>0.9166666666666666</v>
      </c>
      <c r="D3102" s="17" t="n">
        <v>0.25</v>
      </c>
      <c r="E3102" t="inlineStr">
        <is>
          <t>Night</t>
        </is>
      </c>
      <c r="F3102" t="inlineStr">
        <is>
          <t>Sep</t>
        </is>
      </c>
      <c r="G3102" s="18">
        <f>IF(D3102&lt;C3102,D3102+1-C3102,D3102-C3102)*24</f>
        <v/>
      </c>
      <c r="H3102" s="18">
        <f>MAX(0,G3102-8)</f>
        <v/>
      </c>
    </row>
    <row r="3103">
      <c r="A3103" t="n">
        <v>1114</v>
      </c>
      <c r="B3103" s="14" t="n">
        <v>46287</v>
      </c>
      <c r="C3103" s="17" t="n">
        <v>0.9166666666666666</v>
      </c>
      <c r="D3103" s="17" t="n">
        <v>0.3333333333333333</v>
      </c>
      <c r="E3103" t="inlineStr">
        <is>
          <t>Night</t>
        </is>
      </c>
      <c r="F3103" t="inlineStr">
        <is>
          <t>Sep</t>
        </is>
      </c>
      <c r="G3103" s="18">
        <f>IF(D3103&lt;C3103,D3103+1-C3103,D3103-C3103)*24</f>
        <v/>
      </c>
      <c r="H3103" s="18">
        <f>MAX(0,G3103-8)</f>
        <v/>
      </c>
    </row>
    <row r="3104">
      <c r="A3104" t="n">
        <v>1117</v>
      </c>
      <c r="B3104" s="14" t="n">
        <v>46287</v>
      </c>
      <c r="C3104" s="17" t="n">
        <v>0.9166666666666666</v>
      </c>
      <c r="D3104" s="17" t="n">
        <v>0.3125</v>
      </c>
      <c r="E3104" t="inlineStr">
        <is>
          <t>Night</t>
        </is>
      </c>
      <c r="F3104" t="inlineStr">
        <is>
          <t>Sep</t>
        </is>
      </c>
      <c r="G3104" s="18">
        <f>IF(D3104&lt;C3104,D3104+1-C3104,D3104-C3104)*24</f>
        <v/>
      </c>
      <c r="H3104" s="18">
        <f>MAX(0,G3104-8)</f>
        <v/>
      </c>
    </row>
    <row r="3105">
      <c r="A3105" t="n">
        <v>1118</v>
      </c>
      <c r="B3105" s="14" t="n">
        <v>46287</v>
      </c>
      <c r="C3105" s="17" t="n">
        <v>0.9166666666666666</v>
      </c>
      <c r="D3105" s="17" t="n">
        <v>0.2708333333333333</v>
      </c>
      <c r="E3105" t="inlineStr">
        <is>
          <t>Night</t>
        </is>
      </c>
      <c r="F3105" t="inlineStr">
        <is>
          <t>Sep</t>
        </is>
      </c>
      <c r="G3105" s="18">
        <f>IF(D3105&lt;C3105,D3105+1-C3105,D3105-C3105)*24</f>
        <v/>
      </c>
      <c r="H3105" s="18">
        <f>MAX(0,G3105-8)</f>
        <v/>
      </c>
    </row>
    <row r="3106">
      <c r="A3106" t="n">
        <v>1119</v>
      </c>
      <c r="B3106" s="14" t="n">
        <v>46287</v>
      </c>
      <c r="C3106" s="17" t="n">
        <v>0.9166666666666666</v>
      </c>
      <c r="D3106" s="17" t="n">
        <v>0.3125</v>
      </c>
      <c r="E3106" t="inlineStr">
        <is>
          <t>Night</t>
        </is>
      </c>
      <c r="F3106" t="inlineStr">
        <is>
          <t>Sep</t>
        </is>
      </c>
      <c r="G3106" s="18">
        <f>IF(D3106&lt;C3106,D3106+1-C3106,D3106-C3106)*24</f>
        <v/>
      </c>
      <c r="H3106" s="18">
        <f>MAX(0,G3106-8)</f>
        <v/>
      </c>
    </row>
    <row r="3107">
      <c r="A3107" t="n">
        <v>1120</v>
      </c>
      <c r="B3107" s="14" t="n">
        <v>46287</v>
      </c>
      <c r="C3107" s="17" t="n">
        <v>0.9166666666666666</v>
      </c>
      <c r="D3107" s="17" t="n">
        <v>0.3541666666666667</v>
      </c>
      <c r="E3107" t="inlineStr">
        <is>
          <t>Night</t>
        </is>
      </c>
      <c r="F3107" t="inlineStr">
        <is>
          <t>Sep</t>
        </is>
      </c>
      <c r="G3107" s="18">
        <f>IF(D3107&lt;C3107,D3107+1-C3107,D3107-C3107)*24</f>
        <v/>
      </c>
      <c r="H3107" s="18">
        <f>MAX(0,G3107-8)</f>
        <v/>
      </c>
    </row>
    <row r="3108">
      <c r="A3108" t="n">
        <v>1123</v>
      </c>
      <c r="B3108" s="14" t="n">
        <v>46287</v>
      </c>
      <c r="C3108" s="17" t="n">
        <v>0.9166666666666666</v>
      </c>
      <c r="D3108" s="17" t="n">
        <v>0.3125</v>
      </c>
      <c r="E3108" t="inlineStr">
        <is>
          <t>Night</t>
        </is>
      </c>
      <c r="F3108" t="inlineStr">
        <is>
          <t>Sep</t>
        </is>
      </c>
      <c r="G3108" s="18">
        <f>IF(D3108&lt;C3108,D3108+1-C3108,D3108-C3108)*24</f>
        <v/>
      </c>
      <c r="H3108" s="18">
        <f>MAX(0,G3108-8)</f>
        <v/>
      </c>
    </row>
    <row r="3109">
      <c r="A3109" t="n">
        <v>1124</v>
      </c>
      <c r="B3109" s="14" t="n">
        <v>46287</v>
      </c>
      <c r="C3109" s="17" t="n">
        <v>0.9166666666666666</v>
      </c>
      <c r="D3109" s="17" t="n">
        <v>0.25</v>
      </c>
      <c r="E3109" t="inlineStr">
        <is>
          <t>Night</t>
        </is>
      </c>
      <c r="F3109" t="inlineStr">
        <is>
          <t>Sep</t>
        </is>
      </c>
      <c r="G3109" s="18">
        <f>IF(D3109&lt;C3109,D3109+1-C3109,D3109-C3109)*24</f>
        <v/>
      </c>
      <c r="H3109" s="18">
        <f>MAX(0,G3109-8)</f>
        <v/>
      </c>
    </row>
    <row r="3110">
      <c r="A3110" t="n">
        <v>1125</v>
      </c>
      <c r="B3110" s="14" t="n">
        <v>46287</v>
      </c>
      <c r="C3110" s="17" t="n">
        <v>0.9375</v>
      </c>
      <c r="D3110" s="17" t="n">
        <v>0.3333333333333333</v>
      </c>
      <c r="E3110" t="inlineStr">
        <is>
          <t>Night</t>
        </is>
      </c>
      <c r="F3110" t="inlineStr">
        <is>
          <t>Sep</t>
        </is>
      </c>
      <c r="G3110" s="18">
        <f>IF(D3110&lt;C3110,D3110+1-C3110,D3110-C3110)*24</f>
        <v/>
      </c>
      <c r="H3110" s="18">
        <f>MAX(0,G3110-8)</f>
        <v/>
      </c>
    </row>
    <row r="3111">
      <c r="A3111" t="n">
        <v>1128</v>
      </c>
      <c r="B3111" s="14" t="n">
        <v>46287</v>
      </c>
      <c r="C3111" s="17" t="n">
        <v>0.9166666666666666</v>
      </c>
      <c r="D3111" s="17" t="n">
        <v>0.25</v>
      </c>
      <c r="E3111" t="inlineStr">
        <is>
          <t>Night</t>
        </is>
      </c>
      <c r="F3111" t="inlineStr">
        <is>
          <t>Sep</t>
        </is>
      </c>
      <c r="G3111" s="18">
        <f>IF(D3111&lt;C3111,D3111+1-C3111,D3111-C3111)*24</f>
        <v/>
      </c>
      <c r="H3111" s="18">
        <f>MAX(0,G3111-8)</f>
        <v/>
      </c>
    </row>
    <row r="3112">
      <c r="A3112" t="n">
        <v>1129</v>
      </c>
      <c r="B3112" s="14" t="n">
        <v>46287</v>
      </c>
      <c r="C3112" s="17" t="n">
        <v>0.9166666666666666</v>
      </c>
      <c r="D3112" s="17" t="n">
        <v>0.25</v>
      </c>
      <c r="E3112" t="inlineStr">
        <is>
          <t>Night</t>
        </is>
      </c>
      <c r="F3112" t="inlineStr">
        <is>
          <t>Sep</t>
        </is>
      </c>
      <c r="G3112" s="18">
        <f>IF(D3112&lt;C3112,D3112+1-C3112,D3112-C3112)*24</f>
        <v/>
      </c>
      <c r="H3112" s="18">
        <f>MAX(0,G3112-8)</f>
        <v/>
      </c>
    </row>
    <row r="3113">
      <c r="A3113" t="n">
        <v>1130</v>
      </c>
      <c r="B3113" s="14" t="n">
        <v>46287</v>
      </c>
      <c r="C3113" s="17" t="n">
        <v>0.9270833333333334</v>
      </c>
      <c r="D3113" s="17" t="n">
        <v>0.28125</v>
      </c>
      <c r="E3113" t="inlineStr">
        <is>
          <t>Night</t>
        </is>
      </c>
      <c r="F3113" t="inlineStr">
        <is>
          <t>Sep</t>
        </is>
      </c>
      <c r="G3113" s="18">
        <f>IF(D3113&lt;C3113,D3113+1-C3113,D3113-C3113)*24</f>
        <v/>
      </c>
      <c r="H3113" s="18">
        <f>MAX(0,G3113-8)</f>
        <v/>
      </c>
    </row>
    <row r="3114">
      <c r="A3114" t="n">
        <v>1131</v>
      </c>
      <c r="B3114" s="14" t="n">
        <v>46287</v>
      </c>
      <c r="C3114" s="17" t="n">
        <v>0.9166666666666666</v>
      </c>
      <c r="D3114" s="17" t="n">
        <v>0.2708333333333333</v>
      </c>
      <c r="E3114" t="inlineStr">
        <is>
          <t>Night</t>
        </is>
      </c>
      <c r="F3114" t="inlineStr">
        <is>
          <t>Sep</t>
        </is>
      </c>
      <c r="G3114" s="18">
        <f>IF(D3114&lt;C3114,D3114+1-C3114,D3114-C3114)*24</f>
        <v/>
      </c>
      <c r="H3114" s="18">
        <f>MAX(0,G3114-8)</f>
        <v/>
      </c>
    </row>
    <row r="3115">
      <c r="A3115" t="n">
        <v>1132</v>
      </c>
      <c r="B3115" s="14" t="n">
        <v>46287</v>
      </c>
      <c r="C3115" s="17" t="n">
        <v>0.9166666666666666</v>
      </c>
      <c r="D3115" s="17" t="n">
        <v>0.25</v>
      </c>
      <c r="E3115" t="inlineStr">
        <is>
          <t>Night</t>
        </is>
      </c>
      <c r="F3115" t="inlineStr">
        <is>
          <t>Sep</t>
        </is>
      </c>
      <c r="G3115" s="18">
        <f>IF(D3115&lt;C3115,D3115+1-C3115,D3115-C3115)*24</f>
        <v/>
      </c>
      <c r="H3115" s="18">
        <f>MAX(0,G3115-8)</f>
        <v/>
      </c>
    </row>
    <row r="3116">
      <c r="A3116" t="n">
        <v>1133</v>
      </c>
      <c r="B3116" s="14" t="n">
        <v>46287</v>
      </c>
      <c r="C3116" s="17" t="n">
        <v>0.9166666666666666</v>
      </c>
      <c r="D3116" s="17" t="n">
        <v>0.375</v>
      </c>
      <c r="E3116" t="inlineStr">
        <is>
          <t>Night</t>
        </is>
      </c>
      <c r="F3116" t="inlineStr">
        <is>
          <t>Sep</t>
        </is>
      </c>
      <c r="G3116" s="18">
        <f>IF(D3116&lt;C3116,D3116+1-C3116,D3116-C3116)*24</f>
        <v/>
      </c>
      <c r="H3116" s="18">
        <f>MAX(0,G3116-8)</f>
        <v/>
      </c>
    </row>
    <row r="3117">
      <c r="A3117" t="n">
        <v>1134</v>
      </c>
      <c r="B3117" s="14" t="n">
        <v>46287</v>
      </c>
      <c r="C3117" s="17" t="n">
        <v>0.9166666666666666</v>
      </c>
      <c r="D3117" s="17" t="n">
        <v>0.3541666666666667</v>
      </c>
      <c r="E3117" t="inlineStr">
        <is>
          <t>Night</t>
        </is>
      </c>
      <c r="F3117" t="inlineStr">
        <is>
          <t>Sep</t>
        </is>
      </c>
      <c r="G3117" s="18">
        <f>IF(D3117&lt;C3117,D3117+1-C3117,D3117-C3117)*24</f>
        <v/>
      </c>
      <c r="H3117" s="18">
        <f>MAX(0,G3117-8)</f>
        <v/>
      </c>
    </row>
    <row r="3118">
      <c r="A3118" t="n">
        <v>1136</v>
      </c>
      <c r="B3118" s="14" t="n">
        <v>46287</v>
      </c>
      <c r="C3118" s="17" t="n">
        <v>0.9166666666666666</v>
      </c>
      <c r="D3118" s="17" t="n">
        <v>0.2708333333333333</v>
      </c>
      <c r="E3118" t="inlineStr">
        <is>
          <t>Night</t>
        </is>
      </c>
      <c r="F3118" t="inlineStr">
        <is>
          <t>Sep</t>
        </is>
      </c>
      <c r="G3118" s="18">
        <f>IF(D3118&lt;C3118,D3118+1-C3118,D3118-C3118)*24</f>
        <v/>
      </c>
      <c r="H3118" s="18">
        <f>MAX(0,G3118-8)</f>
        <v/>
      </c>
    </row>
    <row r="3119">
      <c r="A3119" t="n">
        <v>1103</v>
      </c>
      <c r="B3119" s="14" t="n">
        <v>46287</v>
      </c>
      <c r="C3119" s="17" t="n">
        <v>0.02083333333333333</v>
      </c>
      <c r="D3119" s="17" t="n">
        <v>0.5</v>
      </c>
      <c r="E3119" t="inlineStr">
        <is>
          <t>Night</t>
        </is>
      </c>
      <c r="F3119" t="inlineStr">
        <is>
          <t>Sep</t>
        </is>
      </c>
      <c r="G3119" s="18">
        <f>IF(D3119&lt;C3119,D3119+1-C3119,D3119-C3119)*24</f>
        <v/>
      </c>
      <c r="H3119" s="18">
        <f>MAX(0,G3119-8)</f>
        <v/>
      </c>
    </row>
    <row r="3120">
      <c r="A3120" t="n">
        <v>1110</v>
      </c>
      <c r="B3120" s="14" t="n">
        <v>46287</v>
      </c>
      <c r="C3120" s="17" t="n">
        <v>0.01041666666666667</v>
      </c>
      <c r="D3120" s="17" t="n">
        <v>0.3854166666666667</v>
      </c>
      <c r="E3120" t="inlineStr">
        <is>
          <t>Night</t>
        </is>
      </c>
      <c r="F3120" t="inlineStr">
        <is>
          <t>Sep</t>
        </is>
      </c>
      <c r="G3120" s="18">
        <f>IF(D3120&lt;C3120,D3120+1-C3120,D3120-C3120)*24</f>
        <v/>
      </c>
      <c r="H3120" s="18">
        <f>MAX(0,G3120-8)</f>
        <v/>
      </c>
    </row>
    <row r="3121">
      <c r="A3121" t="n">
        <v>1115</v>
      </c>
      <c r="B3121" s="14" t="n">
        <v>46287</v>
      </c>
      <c r="C3121" s="17" t="n">
        <v>0.01041666666666667</v>
      </c>
      <c r="D3121" s="17" t="n">
        <v>0.4895833333333333</v>
      </c>
      <c r="E3121" t="inlineStr">
        <is>
          <t>Night</t>
        </is>
      </c>
      <c r="F3121" t="inlineStr">
        <is>
          <t>Sep</t>
        </is>
      </c>
      <c r="G3121" s="18">
        <f>IF(D3121&lt;C3121,D3121+1-C3121,D3121-C3121)*24</f>
        <v/>
      </c>
      <c r="H3121" s="18">
        <f>MAX(0,G3121-8)</f>
        <v/>
      </c>
    </row>
    <row r="3122">
      <c r="A3122" t="n">
        <v>1121</v>
      </c>
      <c r="B3122" s="14" t="n">
        <v>46287</v>
      </c>
      <c r="C3122" s="17" t="n">
        <v>0.02083333333333333</v>
      </c>
      <c r="D3122" s="17" t="n">
        <v>0.4375</v>
      </c>
      <c r="E3122" t="inlineStr">
        <is>
          <t>Night</t>
        </is>
      </c>
      <c r="F3122" t="inlineStr">
        <is>
          <t>Sep</t>
        </is>
      </c>
      <c r="G3122" s="18">
        <f>IF(D3122&lt;C3122,D3122+1-C3122,D3122-C3122)*24</f>
        <v/>
      </c>
      <c r="H3122" s="18">
        <f>MAX(0,G3122-8)</f>
        <v/>
      </c>
    </row>
    <row r="3123">
      <c r="A3123" t="n">
        <v>1122</v>
      </c>
      <c r="B3123" s="14" t="n">
        <v>46287</v>
      </c>
      <c r="C3123" s="17" t="n">
        <v>0.01041666666666667</v>
      </c>
      <c r="D3123" s="17" t="n">
        <v>0.3645833333333333</v>
      </c>
      <c r="E3123" t="inlineStr">
        <is>
          <t>Night</t>
        </is>
      </c>
      <c r="F3123" t="inlineStr">
        <is>
          <t>Sep</t>
        </is>
      </c>
      <c r="G3123" s="18">
        <f>IF(D3123&lt;C3123,D3123+1-C3123,D3123-C3123)*24</f>
        <v/>
      </c>
      <c r="H3123" s="18">
        <f>MAX(0,G3123-8)</f>
        <v/>
      </c>
    </row>
    <row r="3124">
      <c r="A3124" t="n">
        <v>1126</v>
      </c>
      <c r="B3124" s="14" t="n">
        <v>46287</v>
      </c>
      <c r="C3124" s="17" t="n">
        <v>0.01041666666666667</v>
      </c>
      <c r="D3124" s="17" t="n">
        <v>0.40625</v>
      </c>
      <c r="E3124" t="inlineStr">
        <is>
          <t>Night</t>
        </is>
      </c>
      <c r="F3124" t="inlineStr">
        <is>
          <t>Sep</t>
        </is>
      </c>
      <c r="G3124" s="18">
        <f>IF(D3124&lt;C3124,D3124+1-C3124,D3124-C3124)*24</f>
        <v/>
      </c>
      <c r="H3124" s="18">
        <f>MAX(0,G3124-8)</f>
        <v/>
      </c>
    </row>
    <row r="3125">
      <c r="A3125" t="n">
        <v>1135</v>
      </c>
      <c r="B3125" s="14" t="n">
        <v>46287</v>
      </c>
      <c r="C3125" s="17" t="n">
        <v>0.01041666666666667</v>
      </c>
      <c r="D3125" s="17" t="n">
        <v>0.4895833333333333</v>
      </c>
      <c r="E3125" t="inlineStr">
        <is>
          <t>Night</t>
        </is>
      </c>
      <c r="F3125" t="inlineStr">
        <is>
          <t>Sep</t>
        </is>
      </c>
      <c r="G3125" s="18">
        <f>IF(D3125&lt;C3125,D3125+1-C3125,D3125-C3125)*24</f>
        <v/>
      </c>
      <c r="H3125" s="18">
        <f>MAX(0,G3125-8)</f>
        <v/>
      </c>
    </row>
    <row r="3126">
      <c r="A3126" t="n">
        <v>1201</v>
      </c>
      <c r="B3126" s="14" t="n">
        <v>46287</v>
      </c>
      <c r="C3126" s="17" t="n">
        <v>0.25</v>
      </c>
      <c r="D3126" s="17" t="n">
        <v>0.6041666666666666</v>
      </c>
      <c r="E3126" t="inlineStr">
        <is>
          <t>Day</t>
        </is>
      </c>
      <c r="F3126" t="inlineStr">
        <is>
          <t>Sep</t>
        </is>
      </c>
      <c r="G3126" s="18">
        <f>IF(D3126&lt;C3126,D3126+1-C3126,D3126-C3126)*24</f>
        <v/>
      </c>
      <c r="H3126" s="18">
        <f>MAX(0,G3126-8)</f>
        <v/>
      </c>
    </row>
    <row r="3127">
      <c r="A3127" t="n">
        <v>1202</v>
      </c>
      <c r="B3127" s="14" t="n">
        <v>46287</v>
      </c>
      <c r="C3127" s="17" t="n">
        <v>0.25</v>
      </c>
      <c r="D3127" s="17" t="n">
        <v>0.5833333333333334</v>
      </c>
      <c r="E3127" t="inlineStr">
        <is>
          <t>Day</t>
        </is>
      </c>
      <c r="F3127" t="inlineStr">
        <is>
          <t>Sep</t>
        </is>
      </c>
      <c r="G3127" s="18">
        <f>IF(D3127&lt;C3127,D3127+1-C3127,D3127-C3127)*24</f>
        <v/>
      </c>
      <c r="H3127" s="18">
        <f>MAX(0,G3127-8)</f>
        <v/>
      </c>
    </row>
    <row r="3128">
      <c r="A3128" t="n">
        <v>1203</v>
      </c>
      <c r="B3128" s="14" t="n">
        <v>46287</v>
      </c>
      <c r="C3128" s="17" t="n">
        <v>0.2708333333333333</v>
      </c>
      <c r="D3128" s="17" t="n">
        <v>0.6458333333333334</v>
      </c>
      <c r="E3128" t="inlineStr">
        <is>
          <t>Day</t>
        </is>
      </c>
      <c r="F3128" t="inlineStr">
        <is>
          <t>Sep</t>
        </is>
      </c>
      <c r="G3128" s="18">
        <f>IF(D3128&lt;C3128,D3128+1-C3128,D3128-C3128)*24</f>
        <v/>
      </c>
      <c r="H3128" s="18">
        <f>MAX(0,G3128-8)</f>
        <v/>
      </c>
    </row>
    <row r="3129">
      <c r="A3129" t="n">
        <v>1204</v>
      </c>
      <c r="B3129" s="14" t="n">
        <v>46287</v>
      </c>
      <c r="C3129" s="17" t="n">
        <v>0.25</v>
      </c>
      <c r="D3129" s="17" t="n">
        <v>0.6666666666666666</v>
      </c>
      <c r="E3129" t="inlineStr">
        <is>
          <t>Day</t>
        </is>
      </c>
      <c r="F3129" t="inlineStr">
        <is>
          <t>Sep</t>
        </is>
      </c>
      <c r="G3129" s="18">
        <f>IF(D3129&lt;C3129,D3129+1-C3129,D3129-C3129)*24</f>
        <v/>
      </c>
      <c r="H3129" s="18">
        <f>MAX(0,G3129-8)</f>
        <v/>
      </c>
    </row>
    <row r="3130">
      <c r="A3130" t="n">
        <v>1205</v>
      </c>
      <c r="B3130" s="14" t="n">
        <v>46287</v>
      </c>
      <c r="C3130" s="17" t="n">
        <v>0.2708333333333333</v>
      </c>
      <c r="D3130" s="17" t="n">
        <v>0.6458333333333334</v>
      </c>
      <c r="E3130" t="inlineStr">
        <is>
          <t>Day</t>
        </is>
      </c>
      <c r="F3130" t="inlineStr">
        <is>
          <t>Sep</t>
        </is>
      </c>
      <c r="G3130" s="18">
        <f>IF(D3130&lt;C3130,D3130+1-C3130,D3130-C3130)*24</f>
        <v/>
      </c>
      <c r="H3130" s="18">
        <f>MAX(0,G3130-8)</f>
        <v/>
      </c>
    </row>
    <row r="3131">
      <c r="A3131" t="n">
        <v>1206</v>
      </c>
      <c r="B3131" s="14" t="n">
        <v>46287</v>
      </c>
      <c r="C3131" s="17" t="n">
        <v>0.2708333333333333</v>
      </c>
      <c r="D3131" s="17" t="n">
        <v>0.6041666666666666</v>
      </c>
      <c r="E3131" t="inlineStr">
        <is>
          <t>Day</t>
        </is>
      </c>
      <c r="F3131" t="inlineStr">
        <is>
          <t>Sep</t>
        </is>
      </c>
      <c r="G3131" s="18">
        <f>IF(D3131&lt;C3131,D3131+1-C3131,D3131-C3131)*24</f>
        <v/>
      </c>
      <c r="H3131" s="18">
        <f>MAX(0,G3131-8)</f>
        <v/>
      </c>
    </row>
    <row r="3132">
      <c r="A3132" t="n">
        <v>1207</v>
      </c>
      <c r="B3132" s="14" t="n">
        <v>46287</v>
      </c>
      <c r="C3132" s="17" t="n">
        <v>0.2708333333333333</v>
      </c>
      <c r="D3132" s="17" t="n">
        <v>0.625</v>
      </c>
      <c r="E3132" t="inlineStr">
        <is>
          <t>Day</t>
        </is>
      </c>
      <c r="F3132" t="inlineStr">
        <is>
          <t>Sep</t>
        </is>
      </c>
      <c r="G3132" s="18">
        <f>IF(D3132&lt;C3132,D3132+1-C3132,D3132-C3132)*24</f>
        <v/>
      </c>
      <c r="H3132" s="18">
        <f>MAX(0,G3132-8)</f>
        <v/>
      </c>
    </row>
    <row r="3133">
      <c r="A3133" t="n">
        <v>1208</v>
      </c>
      <c r="B3133" s="14" t="n">
        <v>46287</v>
      </c>
      <c r="C3133" s="17" t="n">
        <v>0.25</v>
      </c>
      <c r="D3133" s="17" t="n">
        <v>0.5833333333333334</v>
      </c>
      <c r="E3133" t="inlineStr">
        <is>
          <t>Day</t>
        </is>
      </c>
      <c r="F3133" t="inlineStr">
        <is>
          <t>Sep</t>
        </is>
      </c>
      <c r="G3133" s="18">
        <f>IF(D3133&lt;C3133,D3133+1-C3133,D3133-C3133)*24</f>
        <v/>
      </c>
      <c r="H3133" s="18">
        <f>MAX(0,G3133-8)</f>
        <v/>
      </c>
    </row>
    <row r="3134">
      <c r="A3134" t="n">
        <v>1209</v>
      </c>
      <c r="B3134" s="14" t="n">
        <v>46287</v>
      </c>
      <c r="C3134" s="17" t="n">
        <v>0.25</v>
      </c>
      <c r="D3134" s="17" t="n">
        <v>0.5833333333333334</v>
      </c>
      <c r="E3134" t="inlineStr">
        <is>
          <t>Day</t>
        </is>
      </c>
      <c r="F3134" t="inlineStr">
        <is>
          <t>Sep</t>
        </is>
      </c>
      <c r="G3134" s="18">
        <f>IF(D3134&lt;C3134,D3134+1-C3134,D3134-C3134)*24</f>
        <v/>
      </c>
      <c r="H3134" s="18">
        <f>MAX(0,G3134-8)</f>
        <v/>
      </c>
    </row>
    <row r="3135">
      <c r="A3135" t="n">
        <v>1210</v>
      </c>
      <c r="B3135" s="14" t="n">
        <v>46287</v>
      </c>
      <c r="C3135" s="17" t="n">
        <v>0.2708333333333333</v>
      </c>
      <c r="D3135" s="17" t="n">
        <v>0.6458333333333334</v>
      </c>
      <c r="E3135" t="inlineStr">
        <is>
          <t>Day</t>
        </is>
      </c>
      <c r="F3135" t="inlineStr">
        <is>
          <t>Sep</t>
        </is>
      </c>
      <c r="G3135" s="18">
        <f>IF(D3135&lt;C3135,D3135+1-C3135,D3135-C3135)*24</f>
        <v/>
      </c>
      <c r="H3135" s="18">
        <f>MAX(0,G3135-8)</f>
        <v/>
      </c>
    </row>
    <row r="3136">
      <c r="A3136" t="n">
        <v>1211</v>
      </c>
      <c r="B3136" s="14" t="n">
        <v>46287</v>
      </c>
      <c r="C3136" s="17" t="n">
        <v>0.2708333333333333</v>
      </c>
      <c r="D3136" s="17" t="n">
        <v>0.625</v>
      </c>
      <c r="E3136" t="inlineStr">
        <is>
          <t>Day</t>
        </is>
      </c>
      <c r="F3136" t="inlineStr">
        <is>
          <t>Sep</t>
        </is>
      </c>
      <c r="G3136" s="18">
        <f>IF(D3136&lt;C3136,D3136+1-C3136,D3136-C3136)*24</f>
        <v/>
      </c>
      <c r="H3136" s="18">
        <f>MAX(0,G3136-8)</f>
        <v/>
      </c>
    </row>
    <row r="3137">
      <c r="A3137" t="n">
        <v>1212</v>
      </c>
      <c r="B3137" s="14" t="n">
        <v>46287</v>
      </c>
      <c r="C3137" s="17" t="n">
        <v>0.25</v>
      </c>
      <c r="D3137" s="17" t="n">
        <v>0.5833333333333334</v>
      </c>
      <c r="E3137" t="inlineStr">
        <is>
          <t>Day</t>
        </is>
      </c>
      <c r="F3137" t="inlineStr">
        <is>
          <t>Sep</t>
        </is>
      </c>
      <c r="G3137" s="18">
        <f>IF(D3137&lt;C3137,D3137+1-C3137,D3137-C3137)*24</f>
        <v/>
      </c>
      <c r="H3137" s="18">
        <f>MAX(0,G3137-8)</f>
        <v/>
      </c>
    </row>
    <row r="3138">
      <c r="A3138" t="n">
        <v>1213</v>
      </c>
      <c r="B3138" s="14" t="n">
        <v>46287</v>
      </c>
      <c r="C3138" s="17" t="n">
        <v>0.25</v>
      </c>
      <c r="D3138" s="17" t="n">
        <v>0.5833333333333334</v>
      </c>
      <c r="E3138" t="inlineStr">
        <is>
          <t>Day</t>
        </is>
      </c>
      <c r="F3138" t="inlineStr">
        <is>
          <t>Sep</t>
        </is>
      </c>
      <c r="G3138" s="18">
        <f>IF(D3138&lt;C3138,D3138+1-C3138,D3138-C3138)*24</f>
        <v/>
      </c>
      <c r="H3138" s="18">
        <f>MAX(0,G3138-8)</f>
        <v/>
      </c>
    </row>
    <row r="3139">
      <c r="A3139" t="n">
        <v>1214</v>
      </c>
      <c r="B3139" s="14" t="n">
        <v>46287</v>
      </c>
      <c r="C3139" s="17" t="n">
        <v>0.25</v>
      </c>
      <c r="D3139" s="17" t="n">
        <v>0.5833333333333334</v>
      </c>
      <c r="E3139" t="inlineStr">
        <is>
          <t>Day</t>
        </is>
      </c>
      <c r="F3139" t="inlineStr">
        <is>
          <t>Sep</t>
        </is>
      </c>
      <c r="G3139" s="18">
        <f>IF(D3139&lt;C3139,D3139+1-C3139,D3139-C3139)*24</f>
        <v/>
      </c>
      <c r="H3139" s="18">
        <f>MAX(0,G3139-8)</f>
        <v/>
      </c>
    </row>
    <row r="3140">
      <c r="A3140" t="n">
        <v>1215</v>
      </c>
      <c r="B3140" s="14" t="n">
        <v>46287</v>
      </c>
      <c r="C3140" s="17" t="n">
        <v>0.25</v>
      </c>
      <c r="D3140" s="17" t="n">
        <v>0.5833333333333334</v>
      </c>
      <c r="E3140" t="inlineStr">
        <is>
          <t>Day</t>
        </is>
      </c>
      <c r="F3140" t="inlineStr">
        <is>
          <t>Sep</t>
        </is>
      </c>
      <c r="G3140" s="18">
        <f>IF(D3140&lt;C3140,D3140+1-C3140,D3140-C3140)*24</f>
        <v/>
      </c>
      <c r="H3140" s="18">
        <f>MAX(0,G3140-8)</f>
        <v/>
      </c>
    </row>
    <row r="3141">
      <c r="A3141" t="n">
        <v>1216</v>
      </c>
      <c r="B3141" s="14" t="n">
        <v>46287</v>
      </c>
      <c r="C3141" s="17" t="n">
        <v>0.25</v>
      </c>
      <c r="D3141" s="17" t="n">
        <v>0.625</v>
      </c>
      <c r="E3141" t="inlineStr">
        <is>
          <t>Day</t>
        </is>
      </c>
      <c r="F3141" t="inlineStr">
        <is>
          <t>Sep</t>
        </is>
      </c>
      <c r="G3141" s="18">
        <f>IF(D3141&lt;C3141,D3141+1-C3141,D3141-C3141)*24</f>
        <v/>
      </c>
      <c r="H3141" s="18">
        <f>MAX(0,G3141-8)</f>
        <v/>
      </c>
    </row>
    <row r="3142">
      <c r="A3142" t="n">
        <v>1217</v>
      </c>
      <c r="B3142" s="14" t="n">
        <v>46287</v>
      </c>
      <c r="C3142" s="17" t="n">
        <v>0.2708333333333333</v>
      </c>
      <c r="D3142" s="17" t="n">
        <v>0.6875</v>
      </c>
      <c r="E3142" t="inlineStr">
        <is>
          <t>Day</t>
        </is>
      </c>
      <c r="F3142" t="inlineStr">
        <is>
          <t>Sep</t>
        </is>
      </c>
      <c r="G3142" s="18">
        <f>IF(D3142&lt;C3142,D3142+1-C3142,D3142-C3142)*24</f>
        <v/>
      </c>
      <c r="H3142" s="18">
        <f>MAX(0,G3142-8)</f>
        <v/>
      </c>
    </row>
    <row r="3143">
      <c r="A3143" t="n">
        <v>1218</v>
      </c>
      <c r="B3143" s="14" t="n">
        <v>46287</v>
      </c>
      <c r="C3143" s="17" t="n">
        <v>0.2708333333333333</v>
      </c>
      <c r="D3143" s="17" t="n">
        <v>0.625</v>
      </c>
      <c r="E3143" t="inlineStr">
        <is>
          <t>Day</t>
        </is>
      </c>
      <c r="F3143" t="inlineStr">
        <is>
          <t>Sep</t>
        </is>
      </c>
      <c r="G3143" s="18">
        <f>IF(D3143&lt;C3143,D3143+1-C3143,D3143-C3143)*24</f>
        <v/>
      </c>
      <c r="H3143" s="18">
        <f>MAX(0,G3143-8)</f>
        <v/>
      </c>
    </row>
    <row r="3144">
      <c r="A3144" t="n">
        <v>1219</v>
      </c>
      <c r="B3144" s="14" t="n">
        <v>46287</v>
      </c>
      <c r="C3144" s="17" t="n">
        <v>0.2708333333333333</v>
      </c>
      <c r="D3144" s="17" t="n">
        <v>0.6041666666666666</v>
      </c>
      <c r="E3144" t="inlineStr">
        <is>
          <t>Day</t>
        </is>
      </c>
      <c r="F3144" t="inlineStr">
        <is>
          <t>Sep</t>
        </is>
      </c>
      <c r="G3144" s="18">
        <f>IF(D3144&lt;C3144,D3144+1-C3144,D3144-C3144)*24</f>
        <v/>
      </c>
      <c r="H3144" s="18">
        <f>MAX(0,G3144-8)</f>
        <v/>
      </c>
    </row>
    <row r="3145">
      <c r="A3145" t="n">
        <v>1220</v>
      </c>
      <c r="B3145" s="14" t="n">
        <v>46287</v>
      </c>
      <c r="C3145" s="17" t="n">
        <v>0.25</v>
      </c>
      <c r="D3145" s="17" t="n">
        <v>0.6041666666666666</v>
      </c>
      <c r="E3145" t="inlineStr">
        <is>
          <t>Day</t>
        </is>
      </c>
      <c r="F3145" t="inlineStr">
        <is>
          <t>Sep</t>
        </is>
      </c>
      <c r="G3145" s="18">
        <f>IF(D3145&lt;C3145,D3145+1-C3145,D3145-C3145)*24</f>
        <v/>
      </c>
      <c r="H3145" s="18">
        <f>MAX(0,G3145-8)</f>
        <v/>
      </c>
    </row>
    <row r="3146">
      <c r="A3146" t="n">
        <v>1101</v>
      </c>
      <c r="B3146" s="14" t="n">
        <v>46288</v>
      </c>
      <c r="C3146" s="17" t="n">
        <v>0.9270833333333334</v>
      </c>
      <c r="D3146" s="17" t="n">
        <v>0.40625</v>
      </c>
      <c r="E3146" t="inlineStr">
        <is>
          <t>Night</t>
        </is>
      </c>
      <c r="F3146" t="inlineStr">
        <is>
          <t>Sep</t>
        </is>
      </c>
      <c r="G3146" s="18">
        <f>IF(D3146&lt;C3146,D3146+1-C3146,D3146-C3146)*24</f>
        <v/>
      </c>
      <c r="H3146" s="18">
        <f>MAX(0,G3146-8)</f>
        <v/>
      </c>
    </row>
    <row r="3147">
      <c r="A3147" t="n">
        <v>1104</v>
      </c>
      <c r="B3147" s="14" t="n">
        <v>46288</v>
      </c>
      <c r="C3147" s="17" t="n">
        <v>0.9166666666666666</v>
      </c>
      <c r="D3147" s="17" t="n">
        <v>0.2708333333333333</v>
      </c>
      <c r="E3147" t="inlineStr">
        <is>
          <t>Night</t>
        </is>
      </c>
      <c r="F3147" t="inlineStr">
        <is>
          <t>Sep</t>
        </is>
      </c>
      <c r="G3147" s="18">
        <f>IF(D3147&lt;C3147,D3147+1-C3147,D3147-C3147)*24</f>
        <v/>
      </c>
      <c r="H3147" s="18">
        <f>MAX(0,G3147-8)</f>
        <v/>
      </c>
    </row>
    <row r="3148">
      <c r="A3148" t="n">
        <v>1106</v>
      </c>
      <c r="B3148" s="14" t="n">
        <v>46288</v>
      </c>
      <c r="C3148" s="17" t="n">
        <v>0.9166666666666666</v>
      </c>
      <c r="D3148" s="17" t="n">
        <v>0.3541666666666667</v>
      </c>
      <c r="E3148" t="inlineStr">
        <is>
          <t>Night</t>
        </is>
      </c>
      <c r="F3148" t="inlineStr">
        <is>
          <t>Sep</t>
        </is>
      </c>
      <c r="G3148" s="18">
        <f>IF(D3148&lt;C3148,D3148+1-C3148,D3148-C3148)*24</f>
        <v/>
      </c>
      <c r="H3148" s="18">
        <f>MAX(0,G3148-8)</f>
        <v/>
      </c>
    </row>
    <row r="3149">
      <c r="A3149" t="n">
        <v>1107</v>
      </c>
      <c r="B3149" s="14" t="n">
        <v>46288</v>
      </c>
      <c r="C3149" s="17" t="n">
        <v>0.9166666666666666</v>
      </c>
      <c r="D3149" s="17" t="n">
        <v>0.2916666666666667</v>
      </c>
      <c r="E3149" t="inlineStr">
        <is>
          <t>Night</t>
        </is>
      </c>
      <c r="F3149" t="inlineStr">
        <is>
          <t>Sep</t>
        </is>
      </c>
      <c r="G3149" s="18">
        <f>IF(D3149&lt;C3149,D3149+1-C3149,D3149-C3149)*24</f>
        <v/>
      </c>
      <c r="H3149" s="18">
        <f>MAX(0,G3149-8)</f>
        <v/>
      </c>
    </row>
    <row r="3150">
      <c r="A3150" t="n">
        <v>1109</v>
      </c>
      <c r="B3150" s="14" t="n">
        <v>46288</v>
      </c>
      <c r="C3150" s="17" t="n">
        <v>0.9166666666666666</v>
      </c>
      <c r="D3150" s="17" t="n">
        <v>0.3541666666666667</v>
      </c>
      <c r="E3150" t="inlineStr">
        <is>
          <t>Night</t>
        </is>
      </c>
      <c r="F3150" t="inlineStr">
        <is>
          <t>Sep</t>
        </is>
      </c>
      <c r="G3150" s="18">
        <f>IF(D3150&lt;C3150,D3150+1-C3150,D3150-C3150)*24</f>
        <v/>
      </c>
      <c r="H3150" s="18">
        <f>MAX(0,G3150-8)</f>
        <v/>
      </c>
    </row>
    <row r="3151">
      <c r="A3151" t="n">
        <v>1110</v>
      </c>
      <c r="B3151" s="14" t="n">
        <v>46288</v>
      </c>
      <c r="C3151" s="17" t="n">
        <v>0.9166666666666666</v>
      </c>
      <c r="D3151" s="17" t="n">
        <v>0.2708333333333333</v>
      </c>
      <c r="E3151" t="inlineStr">
        <is>
          <t>Night</t>
        </is>
      </c>
      <c r="F3151" t="inlineStr">
        <is>
          <t>Sep</t>
        </is>
      </c>
      <c r="G3151" s="18">
        <f>IF(D3151&lt;C3151,D3151+1-C3151,D3151-C3151)*24</f>
        <v/>
      </c>
      <c r="H3151" s="18">
        <f>MAX(0,G3151-8)</f>
        <v/>
      </c>
    </row>
    <row r="3152">
      <c r="A3152" t="n">
        <v>1111</v>
      </c>
      <c r="B3152" s="14" t="n">
        <v>46288</v>
      </c>
      <c r="C3152" s="17" t="n">
        <v>0.9166666666666666</v>
      </c>
      <c r="D3152" s="17" t="n">
        <v>0.3958333333333333</v>
      </c>
      <c r="E3152" t="inlineStr">
        <is>
          <t>Night</t>
        </is>
      </c>
      <c r="F3152" t="inlineStr">
        <is>
          <t>Sep</t>
        </is>
      </c>
      <c r="G3152" s="18">
        <f>IF(D3152&lt;C3152,D3152+1-C3152,D3152-C3152)*24</f>
        <v/>
      </c>
      <c r="H3152" s="18">
        <f>MAX(0,G3152-8)</f>
        <v/>
      </c>
    </row>
    <row r="3153">
      <c r="A3153" t="n">
        <v>1112</v>
      </c>
      <c r="B3153" s="14" t="n">
        <v>46288</v>
      </c>
      <c r="C3153" s="17" t="n">
        <v>0.9375</v>
      </c>
      <c r="D3153" s="17" t="n">
        <v>0.3125</v>
      </c>
      <c r="E3153" t="inlineStr">
        <is>
          <t>Night</t>
        </is>
      </c>
      <c r="F3153" t="inlineStr">
        <is>
          <t>Sep</t>
        </is>
      </c>
      <c r="G3153" s="18">
        <f>IF(D3153&lt;C3153,D3153+1-C3153,D3153-C3153)*24</f>
        <v/>
      </c>
      <c r="H3153" s="18">
        <f>MAX(0,G3153-8)</f>
        <v/>
      </c>
    </row>
    <row r="3154">
      <c r="A3154" t="n">
        <v>1113</v>
      </c>
      <c r="B3154" s="14" t="n">
        <v>46288</v>
      </c>
      <c r="C3154" s="17" t="n">
        <v>0.9166666666666666</v>
      </c>
      <c r="D3154" s="17" t="n">
        <v>0.375</v>
      </c>
      <c r="E3154" t="inlineStr">
        <is>
          <t>Night</t>
        </is>
      </c>
      <c r="F3154" t="inlineStr">
        <is>
          <t>Sep</t>
        </is>
      </c>
      <c r="G3154" s="18">
        <f>IF(D3154&lt;C3154,D3154+1-C3154,D3154-C3154)*24</f>
        <v/>
      </c>
      <c r="H3154" s="18">
        <f>MAX(0,G3154-8)</f>
        <v/>
      </c>
    </row>
    <row r="3155">
      <c r="A3155" t="n">
        <v>1114</v>
      </c>
      <c r="B3155" s="14" t="n">
        <v>46288</v>
      </c>
      <c r="C3155" s="17" t="n">
        <v>0.9270833333333334</v>
      </c>
      <c r="D3155" s="17" t="n">
        <v>0.3645833333333333</v>
      </c>
      <c r="E3155" t="inlineStr">
        <is>
          <t>Night</t>
        </is>
      </c>
      <c r="F3155" t="inlineStr">
        <is>
          <t>Sep</t>
        </is>
      </c>
      <c r="G3155" s="18">
        <f>IF(D3155&lt;C3155,D3155+1-C3155,D3155-C3155)*24</f>
        <v/>
      </c>
      <c r="H3155" s="18">
        <f>MAX(0,G3155-8)</f>
        <v/>
      </c>
    </row>
    <row r="3156">
      <c r="A3156" t="n">
        <v>1115</v>
      </c>
      <c r="B3156" s="14" t="n">
        <v>46288</v>
      </c>
      <c r="C3156" s="17" t="n">
        <v>0.9166666666666666</v>
      </c>
      <c r="D3156" s="17" t="n">
        <v>0.25</v>
      </c>
      <c r="E3156" t="inlineStr">
        <is>
          <t>Night</t>
        </is>
      </c>
      <c r="F3156" t="inlineStr">
        <is>
          <t>Sep</t>
        </is>
      </c>
      <c r="G3156" s="18">
        <f>IF(D3156&lt;C3156,D3156+1-C3156,D3156-C3156)*24</f>
        <v/>
      </c>
      <c r="H3156" s="18">
        <f>MAX(0,G3156-8)</f>
        <v/>
      </c>
    </row>
    <row r="3157">
      <c r="A3157" t="n">
        <v>1116</v>
      </c>
      <c r="B3157" s="14" t="n">
        <v>46288</v>
      </c>
      <c r="C3157" s="17" t="n">
        <v>0.9166666666666666</v>
      </c>
      <c r="D3157" s="17" t="n">
        <v>0.2916666666666667</v>
      </c>
      <c r="E3157" t="inlineStr">
        <is>
          <t>Night</t>
        </is>
      </c>
      <c r="F3157" t="inlineStr">
        <is>
          <t>Sep</t>
        </is>
      </c>
      <c r="G3157" s="18">
        <f>IF(D3157&lt;C3157,D3157+1-C3157,D3157-C3157)*24</f>
        <v/>
      </c>
      <c r="H3157" s="18">
        <f>MAX(0,G3157-8)</f>
        <v/>
      </c>
    </row>
    <row r="3158">
      <c r="A3158" t="n">
        <v>1117</v>
      </c>
      <c r="B3158" s="14" t="n">
        <v>46288</v>
      </c>
      <c r="C3158" s="17" t="n">
        <v>0.9166666666666666</v>
      </c>
      <c r="D3158" s="17" t="n">
        <v>0.3125</v>
      </c>
      <c r="E3158" t="inlineStr">
        <is>
          <t>Night</t>
        </is>
      </c>
      <c r="F3158" t="inlineStr">
        <is>
          <t>Sep</t>
        </is>
      </c>
      <c r="G3158" s="18">
        <f>IF(D3158&lt;C3158,D3158+1-C3158,D3158-C3158)*24</f>
        <v/>
      </c>
      <c r="H3158" s="18">
        <f>MAX(0,G3158-8)</f>
        <v/>
      </c>
    </row>
    <row r="3159">
      <c r="A3159" t="n">
        <v>1118</v>
      </c>
      <c r="B3159" s="14" t="n">
        <v>46288</v>
      </c>
      <c r="C3159" s="17" t="n">
        <v>0.9166666666666666</v>
      </c>
      <c r="D3159" s="17" t="n">
        <v>0.3333333333333333</v>
      </c>
      <c r="E3159" t="inlineStr">
        <is>
          <t>Night</t>
        </is>
      </c>
      <c r="F3159" t="inlineStr">
        <is>
          <t>Sep</t>
        </is>
      </c>
      <c r="G3159" s="18">
        <f>IF(D3159&lt;C3159,D3159+1-C3159,D3159-C3159)*24</f>
        <v/>
      </c>
      <c r="H3159" s="18">
        <f>MAX(0,G3159-8)</f>
        <v/>
      </c>
    </row>
    <row r="3160">
      <c r="A3160" t="n">
        <v>1119</v>
      </c>
      <c r="B3160" s="14" t="n">
        <v>46288</v>
      </c>
      <c r="C3160" s="17" t="n">
        <v>0.9166666666666666</v>
      </c>
      <c r="D3160" s="17" t="n">
        <v>0.2916666666666667</v>
      </c>
      <c r="E3160" t="inlineStr">
        <is>
          <t>Night</t>
        </is>
      </c>
      <c r="F3160" t="inlineStr">
        <is>
          <t>Sep</t>
        </is>
      </c>
      <c r="G3160" s="18">
        <f>IF(D3160&lt;C3160,D3160+1-C3160,D3160-C3160)*24</f>
        <v/>
      </c>
      <c r="H3160" s="18">
        <f>MAX(0,G3160-8)</f>
        <v/>
      </c>
    </row>
    <row r="3161">
      <c r="A3161" t="n">
        <v>1120</v>
      </c>
      <c r="B3161" s="14" t="n">
        <v>46288</v>
      </c>
      <c r="C3161" s="17" t="n">
        <v>0.9166666666666666</v>
      </c>
      <c r="D3161" s="17" t="n">
        <v>0.25</v>
      </c>
      <c r="E3161" t="inlineStr">
        <is>
          <t>Night</t>
        </is>
      </c>
      <c r="F3161" t="inlineStr">
        <is>
          <t>Sep</t>
        </is>
      </c>
      <c r="G3161" s="18">
        <f>IF(D3161&lt;C3161,D3161+1-C3161,D3161-C3161)*24</f>
        <v/>
      </c>
      <c r="H3161" s="18">
        <f>MAX(0,G3161-8)</f>
        <v/>
      </c>
    </row>
    <row r="3162">
      <c r="A3162" t="n">
        <v>1121</v>
      </c>
      <c r="B3162" s="14" t="n">
        <v>46288</v>
      </c>
      <c r="C3162" s="17" t="n">
        <v>0.9166666666666666</v>
      </c>
      <c r="D3162" s="17" t="n">
        <v>0.3958333333333333</v>
      </c>
      <c r="E3162" t="inlineStr">
        <is>
          <t>Night</t>
        </is>
      </c>
      <c r="F3162" t="inlineStr">
        <is>
          <t>Sep</t>
        </is>
      </c>
      <c r="G3162" s="18">
        <f>IF(D3162&lt;C3162,D3162+1-C3162,D3162-C3162)*24</f>
        <v/>
      </c>
      <c r="H3162" s="18">
        <f>MAX(0,G3162-8)</f>
        <v/>
      </c>
    </row>
    <row r="3163">
      <c r="A3163" t="n">
        <v>1122</v>
      </c>
      <c r="B3163" s="14" t="n">
        <v>46288</v>
      </c>
      <c r="C3163" s="17" t="n">
        <v>0.9166666666666666</v>
      </c>
      <c r="D3163" s="17" t="n">
        <v>0.25</v>
      </c>
      <c r="E3163" t="inlineStr">
        <is>
          <t>Night</t>
        </is>
      </c>
      <c r="F3163" t="inlineStr">
        <is>
          <t>Sep</t>
        </is>
      </c>
      <c r="G3163" s="18">
        <f>IF(D3163&lt;C3163,D3163+1-C3163,D3163-C3163)*24</f>
        <v/>
      </c>
      <c r="H3163" s="18">
        <f>MAX(0,G3163-8)</f>
        <v/>
      </c>
    </row>
    <row r="3164">
      <c r="A3164" t="n">
        <v>1123</v>
      </c>
      <c r="B3164" s="14" t="n">
        <v>46288</v>
      </c>
      <c r="C3164" s="17" t="n">
        <v>0.9166666666666666</v>
      </c>
      <c r="D3164" s="17" t="n">
        <v>0.2916666666666667</v>
      </c>
      <c r="E3164" t="inlineStr">
        <is>
          <t>Night</t>
        </is>
      </c>
      <c r="F3164" t="inlineStr">
        <is>
          <t>Sep</t>
        </is>
      </c>
      <c r="G3164" s="18">
        <f>IF(D3164&lt;C3164,D3164+1-C3164,D3164-C3164)*24</f>
        <v/>
      </c>
      <c r="H3164" s="18">
        <f>MAX(0,G3164-8)</f>
        <v/>
      </c>
    </row>
    <row r="3165">
      <c r="A3165" t="n">
        <v>1124</v>
      </c>
      <c r="B3165" s="14" t="n">
        <v>46288</v>
      </c>
      <c r="C3165" s="17" t="n">
        <v>0.9270833333333334</v>
      </c>
      <c r="D3165" s="17" t="n">
        <v>0.40625</v>
      </c>
      <c r="E3165" t="inlineStr">
        <is>
          <t>Night</t>
        </is>
      </c>
      <c r="F3165" t="inlineStr">
        <is>
          <t>Sep</t>
        </is>
      </c>
      <c r="G3165" s="18">
        <f>IF(D3165&lt;C3165,D3165+1-C3165,D3165-C3165)*24</f>
        <v/>
      </c>
      <c r="H3165" s="18">
        <f>MAX(0,G3165-8)</f>
        <v/>
      </c>
    </row>
    <row r="3166">
      <c r="A3166" t="n">
        <v>1126</v>
      </c>
      <c r="B3166" s="14" t="n">
        <v>46288</v>
      </c>
      <c r="C3166" s="17" t="n">
        <v>0.9166666666666666</v>
      </c>
      <c r="D3166" s="17" t="n">
        <v>0.25</v>
      </c>
      <c r="E3166" t="inlineStr">
        <is>
          <t>Night</t>
        </is>
      </c>
      <c r="F3166" t="inlineStr">
        <is>
          <t>Sep</t>
        </is>
      </c>
      <c r="G3166" s="18">
        <f>IF(D3166&lt;C3166,D3166+1-C3166,D3166-C3166)*24</f>
        <v/>
      </c>
      <c r="H3166" s="18">
        <f>MAX(0,G3166-8)</f>
        <v/>
      </c>
    </row>
    <row r="3167">
      <c r="A3167" t="n">
        <v>1127</v>
      </c>
      <c r="B3167" s="14" t="n">
        <v>46288</v>
      </c>
      <c r="C3167" s="17" t="n">
        <v>0.9166666666666666</v>
      </c>
      <c r="D3167" s="17" t="n">
        <v>0.25</v>
      </c>
      <c r="E3167" t="inlineStr">
        <is>
          <t>Night</t>
        </is>
      </c>
      <c r="F3167" t="inlineStr">
        <is>
          <t>Sep</t>
        </is>
      </c>
      <c r="G3167" s="18">
        <f>IF(D3167&lt;C3167,D3167+1-C3167,D3167-C3167)*24</f>
        <v/>
      </c>
      <c r="H3167" s="18">
        <f>MAX(0,G3167-8)</f>
        <v/>
      </c>
    </row>
    <row r="3168">
      <c r="A3168" t="n">
        <v>1128</v>
      </c>
      <c r="B3168" s="14" t="n">
        <v>46288</v>
      </c>
      <c r="C3168" s="17" t="n">
        <v>0.9166666666666666</v>
      </c>
      <c r="D3168" s="17" t="n">
        <v>0.375</v>
      </c>
      <c r="E3168" t="inlineStr">
        <is>
          <t>Night</t>
        </is>
      </c>
      <c r="F3168" t="inlineStr">
        <is>
          <t>Sep</t>
        </is>
      </c>
      <c r="G3168" s="18">
        <f>IF(D3168&lt;C3168,D3168+1-C3168,D3168-C3168)*24</f>
        <v/>
      </c>
      <c r="H3168" s="18">
        <f>MAX(0,G3168-8)</f>
        <v/>
      </c>
    </row>
    <row r="3169">
      <c r="A3169" t="n">
        <v>1129</v>
      </c>
      <c r="B3169" s="14" t="n">
        <v>46288</v>
      </c>
      <c r="C3169" s="17" t="n">
        <v>0.9375</v>
      </c>
      <c r="D3169" s="17" t="n">
        <v>0.3541666666666667</v>
      </c>
      <c r="E3169" t="inlineStr">
        <is>
          <t>Night</t>
        </is>
      </c>
      <c r="F3169" t="inlineStr">
        <is>
          <t>Sep</t>
        </is>
      </c>
      <c r="G3169" s="18">
        <f>IF(D3169&lt;C3169,D3169+1-C3169,D3169-C3169)*24</f>
        <v/>
      </c>
      <c r="H3169" s="18">
        <f>MAX(0,G3169-8)</f>
        <v/>
      </c>
    </row>
    <row r="3170">
      <c r="A3170" t="n">
        <v>1130</v>
      </c>
      <c r="B3170" s="14" t="n">
        <v>46288</v>
      </c>
      <c r="C3170" s="17" t="n">
        <v>0.9375</v>
      </c>
      <c r="D3170" s="17" t="n">
        <v>0.2708333333333333</v>
      </c>
      <c r="E3170" t="inlineStr">
        <is>
          <t>Night</t>
        </is>
      </c>
      <c r="F3170" t="inlineStr">
        <is>
          <t>Sep</t>
        </is>
      </c>
      <c r="G3170" s="18">
        <f>IF(D3170&lt;C3170,D3170+1-C3170,D3170-C3170)*24</f>
        <v/>
      </c>
      <c r="H3170" s="18">
        <f>MAX(0,G3170-8)</f>
        <v/>
      </c>
    </row>
    <row r="3171">
      <c r="A3171" t="n">
        <v>1132</v>
      </c>
      <c r="B3171" s="14" t="n">
        <v>46288</v>
      </c>
      <c r="C3171" s="17" t="n">
        <v>0.9270833333333334</v>
      </c>
      <c r="D3171" s="17" t="n">
        <v>0.34375</v>
      </c>
      <c r="E3171" t="inlineStr">
        <is>
          <t>Night</t>
        </is>
      </c>
      <c r="F3171" t="inlineStr">
        <is>
          <t>Sep</t>
        </is>
      </c>
      <c r="G3171" s="18">
        <f>IF(D3171&lt;C3171,D3171+1-C3171,D3171-C3171)*24</f>
        <v/>
      </c>
      <c r="H3171" s="18">
        <f>MAX(0,G3171-8)</f>
        <v/>
      </c>
    </row>
    <row r="3172">
      <c r="A3172" t="n">
        <v>1133</v>
      </c>
      <c r="B3172" s="14" t="n">
        <v>46288</v>
      </c>
      <c r="C3172" s="17" t="n">
        <v>0.9375</v>
      </c>
      <c r="D3172" s="17" t="n">
        <v>0.3541666666666667</v>
      </c>
      <c r="E3172" t="inlineStr">
        <is>
          <t>Night</t>
        </is>
      </c>
      <c r="F3172" t="inlineStr">
        <is>
          <t>Sep</t>
        </is>
      </c>
      <c r="G3172" s="18">
        <f>IF(D3172&lt;C3172,D3172+1-C3172,D3172-C3172)*24</f>
        <v/>
      </c>
      <c r="H3172" s="18">
        <f>MAX(0,G3172-8)</f>
        <v/>
      </c>
    </row>
    <row r="3173">
      <c r="A3173" t="n">
        <v>1136</v>
      </c>
      <c r="B3173" s="14" t="n">
        <v>46288</v>
      </c>
      <c r="C3173" s="17" t="n">
        <v>0.9270833333333334</v>
      </c>
      <c r="D3173" s="17" t="n">
        <v>0.34375</v>
      </c>
      <c r="E3173" t="inlineStr">
        <is>
          <t>Night</t>
        </is>
      </c>
      <c r="F3173" t="inlineStr">
        <is>
          <t>Sep</t>
        </is>
      </c>
      <c r="G3173" s="18">
        <f>IF(D3173&lt;C3173,D3173+1-C3173,D3173-C3173)*24</f>
        <v/>
      </c>
      <c r="H3173" s="18">
        <f>MAX(0,G3173-8)</f>
        <v/>
      </c>
    </row>
    <row r="3174">
      <c r="A3174" t="n">
        <v>1137</v>
      </c>
      <c r="B3174" s="14" t="n">
        <v>46288</v>
      </c>
      <c r="C3174" s="17" t="n">
        <v>0.9166666666666666</v>
      </c>
      <c r="D3174" s="17" t="n">
        <v>0.2708333333333333</v>
      </c>
      <c r="E3174" t="inlineStr">
        <is>
          <t>Night</t>
        </is>
      </c>
      <c r="F3174" t="inlineStr">
        <is>
          <t>Sep</t>
        </is>
      </c>
      <c r="G3174" s="18">
        <f>IF(D3174&lt;C3174,D3174+1-C3174,D3174-C3174)*24</f>
        <v/>
      </c>
      <c r="H3174" s="18">
        <f>MAX(0,G3174-8)</f>
        <v/>
      </c>
    </row>
    <row r="3175">
      <c r="A3175" t="n">
        <v>1147</v>
      </c>
      <c r="B3175" s="14" t="n">
        <v>46288</v>
      </c>
      <c r="C3175" s="17" t="n">
        <v>0.9166666666666666</v>
      </c>
      <c r="D3175" s="17" t="n">
        <v>0.2708333333333333</v>
      </c>
      <c r="E3175" t="inlineStr">
        <is>
          <t>Night</t>
        </is>
      </c>
      <c r="F3175" t="inlineStr">
        <is>
          <t>Sep</t>
        </is>
      </c>
      <c r="G3175" s="18">
        <f>IF(D3175&lt;C3175,D3175+1-C3175,D3175-C3175)*24</f>
        <v/>
      </c>
      <c r="H3175" s="18">
        <f>MAX(0,G3175-8)</f>
        <v/>
      </c>
    </row>
    <row r="3176">
      <c r="A3176" t="n">
        <v>1102</v>
      </c>
      <c r="B3176" s="14" t="n">
        <v>46288</v>
      </c>
      <c r="C3176" s="17" t="n">
        <v>0.01041666666666667</v>
      </c>
      <c r="D3176" s="17" t="n">
        <v>0.3645833333333333</v>
      </c>
      <c r="E3176" t="inlineStr">
        <is>
          <t>Night</t>
        </is>
      </c>
      <c r="F3176" t="inlineStr">
        <is>
          <t>Sep</t>
        </is>
      </c>
      <c r="G3176" s="18">
        <f>IF(D3176&lt;C3176,D3176+1-C3176,D3176-C3176)*24</f>
        <v/>
      </c>
      <c r="H3176" s="18">
        <f>MAX(0,G3176-8)</f>
        <v/>
      </c>
    </row>
    <row r="3177">
      <c r="A3177" t="n">
        <v>1103</v>
      </c>
      <c r="B3177" s="14" t="n">
        <v>46288</v>
      </c>
      <c r="C3177" s="17" t="n">
        <v>0.01041666666666667</v>
      </c>
      <c r="D3177" s="17" t="n">
        <v>0.4270833333333333</v>
      </c>
      <c r="E3177" t="inlineStr">
        <is>
          <t>Night</t>
        </is>
      </c>
      <c r="F3177" t="inlineStr">
        <is>
          <t>Sep</t>
        </is>
      </c>
      <c r="G3177" s="18">
        <f>IF(D3177&lt;C3177,D3177+1-C3177,D3177-C3177)*24</f>
        <v/>
      </c>
      <c r="H3177" s="18">
        <f>MAX(0,G3177-8)</f>
        <v/>
      </c>
    </row>
    <row r="3178">
      <c r="A3178" t="n">
        <v>1125</v>
      </c>
      <c r="B3178" s="14" t="n">
        <v>46288</v>
      </c>
      <c r="C3178" s="17" t="n">
        <v>0.01041666666666667</v>
      </c>
      <c r="D3178" s="17" t="n">
        <v>0.3645833333333333</v>
      </c>
      <c r="E3178" t="inlineStr">
        <is>
          <t>Night</t>
        </is>
      </c>
      <c r="F3178" t="inlineStr">
        <is>
          <t>Sep</t>
        </is>
      </c>
      <c r="G3178" s="18">
        <f>IF(D3178&lt;C3178,D3178+1-C3178,D3178-C3178)*24</f>
        <v/>
      </c>
      <c r="H3178" s="18">
        <f>MAX(0,G3178-8)</f>
        <v/>
      </c>
    </row>
    <row r="3179">
      <c r="A3179" t="n">
        <v>1131</v>
      </c>
      <c r="B3179" s="14" t="n">
        <v>46288</v>
      </c>
      <c r="C3179" s="17" t="n">
        <v>0.01041666666666667</v>
      </c>
      <c r="D3179" s="17" t="n">
        <v>0.34375</v>
      </c>
      <c r="E3179" t="inlineStr">
        <is>
          <t>Night</t>
        </is>
      </c>
      <c r="F3179" t="inlineStr">
        <is>
          <t>Sep</t>
        </is>
      </c>
      <c r="G3179" s="18">
        <f>IF(D3179&lt;C3179,D3179+1-C3179,D3179-C3179)*24</f>
        <v/>
      </c>
      <c r="H3179" s="18">
        <f>MAX(0,G3179-8)</f>
        <v/>
      </c>
    </row>
    <row r="3180">
      <c r="A3180" t="n">
        <v>1134</v>
      </c>
      <c r="B3180" s="14" t="n">
        <v>46288</v>
      </c>
      <c r="C3180" s="17" t="n">
        <v>0.01041666666666667</v>
      </c>
      <c r="D3180" s="17" t="n">
        <v>0.40625</v>
      </c>
      <c r="E3180" t="inlineStr">
        <is>
          <t>Night</t>
        </is>
      </c>
      <c r="F3180" t="inlineStr">
        <is>
          <t>Sep</t>
        </is>
      </c>
      <c r="G3180" s="18">
        <f>IF(D3180&lt;C3180,D3180+1-C3180,D3180-C3180)*24</f>
        <v/>
      </c>
      <c r="H3180" s="18">
        <f>MAX(0,G3180-8)</f>
        <v/>
      </c>
    </row>
    <row r="3181">
      <c r="A3181" t="n">
        <v>1135</v>
      </c>
      <c r="B3181" s="14" t="n">
        <v>46288</v>
      </c>
      <c r="C3181" s="17" t="n">
        <v>0.01041666666666667</v>
      </c>
      <c r="D3181" s="17" t="n">
        <v>0.34375</v>
      </c>
      <c r="E3181" t="inlineStr">
        <is>
          <t>Night</t>
        </is>
      </c>
      <c r="F3181" t="inlineStr">
        <is>
          <t>Sep</t>
        </is>
      </c>
      <c r="G3181" s="18">
        <f>IF(D3181&lt;C3181,D3181+1-C3181,D3181-C3181)*24</f>
        <v/>
      </c>
      <c r="H3181" s="18">
        <f>MAX(0,G3181-8)</f>
        <v/>
      </c>
    </row>
    <row r="3182">
      <c r="A3182" t="n">
        <v>1201</v>
      </c>
      <c r="B3182" s="14" t="n">
        <v>46288</v>
      </c>
      <c r="C3182" s="17" t="n">
        <v>0.25</v>
      </c>
      <c r="D3182" s="17" t="n">
        <v>0.6041666666666666</v>
      </c>
      <c r="E3182" t="inlineStr">
        <is>
          <t>Day</t>
        </is>
      </c>
      <c r="F3182" t="inlineStr">
        <is>
          <t>Sep</t>
        </is>
      </c>
      <c r="G3182" s="18">
        <f>IF(D3182&lt;C3182,D3182+1-C3182,D3182-C3182)*24</f>
        <v/>
      </c>
      <c r="H3182" s="18">
        <f>MAX(0,G3182-8)</f>
        <v/>
      </c>
    </row>
    <row r="3183">
      <c r="A3183" t="n">
        <v>1202</v>
      </c>
      <c r="B3183" s="14" t="n">
        <v>46288</v>
      </c>
      <c r="C3183" s="17" t="n">
        <v>0.25</v>
      </c>
      <c r="D3183" s="17" t="n">
        <v>0.6666666666666666</v>
      </c>
      <c r="E3183" t="inlineStr">
        <is>
          <t>Day</t>
        </is>
      </c>
      <c r="F3183" t="inlineStr">
        <is>
          <t>Sep</t>
        </is>
      </c>
      <c r="G3183" s="18">
        <f>IF(D3183&lt;C3183,D3183+1-C3183,D3183-C3183)*24</f>
        <v/>
      </c>
      <c r="H3183" s="18">
        <f>MAX(0,G3183-8)</f>
        <v/>
      </c>
    </row>
    <row r="3184">
      <c r="A3184" t="n">
        <v>1203</v>
      </c>
      <c r="B3184" s="14" t="n">
        <v>46288</v>
      </c>
      <c r="C3184" s="17" t="n">
        <v>0.2708333333333333</v>
      </c>
      <c r="D3184" s="17" t="n">
        <v>0.6041666666666666</v>
      </c>
      <c r="E3184" t="inlineStr">
        <is>
          <t>Day</t>
        </is>
      </c>
      <c r="F3184" t="inlineStr">
        <is>
          <t>Sep</t>
        </is>
      </c>
      <c r="G3184" s="18">
        <f>IF(D3184&lt;C3184,D3184+1-C3184,D3184-C3184)*24</f>
        <v/>
      </c>
      <c r="H3184" s="18">
        <f>MAX(0,G3184-8)</f>
        <v/>
      </c>
    </row>
    <row r="3185">
      <c r="A3185" t="n">
        <v>1204</v>
      </c>
      <c r="B3185" s="14" t="n">
        <v>46288</v>
      </c>
      <c r="C3185" s="17" t="n">
        <v>0.25</v>
      </c>
      <c r="D3185" s="17" t="n">
        <v>0.625</v>
      </c>
      <c r="E3185" t="inlineStr">
        <is>
          <t>Day</t>
        </is>
      </c>
      <c r="F3185" t="inlineStr">
        <is>
          <t>Sep</t>
        </is>
      </c>
      <c r="G3185" s="18">
        <f>IF(D3185&lt;C3185,D3185+1-C3185,D3185-C3185)*24</f>
        <v/>
      </c>
      <c r="H3185" s="18">
        <f>MAX(0,G3185-8)</f>
        <v/>
      </c>
    </row>
    <row r="3186">
      <c r="A3186" t="n">
        <v>1205</v>
      </c>
      <c r="B3186" s="14" t="n">
        <v>46288</v>
      </c>
      <c r="C3186" s="17" t="n">
        <v>0.25</v>
      </c>
      <c r="D3186" s="17" t="n">
        <v>0.6041666666666666</v>
      </c>
      <c r="E3186" t="inlineStr">
        <is>
          <t>Day</t>
        </is>
      </c>
      <c r="F3186" t="inlineStr">
        <is>
          <t>Sep</t>
        </is>
      </c>
      <c r="G3186" s="18">
        <f>IF(D3186&lt;C3186,D3186+1-C3186,D3186-C3186)*24</f>
        <v/>
      </c>
      <c r="H3186" s="18">
        <f>MAX(0,G3186-8)</f>
        <v/>
      </c>
    </row>
    <row r="3187">
      <c r="A3187" t="n">
        <v>1206</v>
      </c>
      <c r="B3187" s="14" t="n">
        <v>46288</v>
      </c>
      <c r="C3187" s="17" t="n">
        <v>0.2708333333333333</v>
      </c>
      <c r="D3187" s="17" t="n">
        <v>0.625</v>
      </c>
      <c r="E3187" t="inlineStr">
        <is>
          <t>Day</t>
        </is>
      </c>
      <c r="F3187" t="inlineStr">
        <is>
          <t>Sep</t>
        </is>
      </c>
      <c r="G3187" s="18">
        <f>IF(D3187&lt;C3187,D3187+1-C3187,D3187-C3187)*24</f>
        <v/>
      </c>
      <c r="H3187" s="18">
        <f>MAX(0,G3187-8)</f>
        <v/>
      </c>
    </row>
    <row r="3188">
      <c r="A3188" t="n">
        <v>1208</v>
      </c>
      <c r="B3188" s="14" t="n">
        <v>46288</v>
      </c>
      <c r="C3188" s="17" t="n">
        <v>0.25</v>
      </c>
      <c r="D3188" s="17" t="n">
        <v>0.6041666666666666</v>
      </c>
      <c r="E3188" t="inlineStr">
        <is>
          <t>Day</t>
        </is>
      </c>
      <c r="F3188" t="inlineStr">
        <is>
          <t>Sep</t>
        </is>
      </c>
      <c r="G3188" s="18">
        <f>IF(D3188&lt;C3188,D3188+1-C3188,D3188-C3188)*24</f>
        <v/>
      </c>
      <c r="H3188" s="18">
        <f>MAX(0,G3188-8)</f>
        <v/>
      </c>
    </row>
    <row r="3189">
      <c r="A3189" t="n">
        <v>1209</v>
      </c>
      <c r="B3189" s="14" t="n">
        <v>46288</v>
      </c>
      <c r="C3189" s="17" t="n">
        <v>0.2708333333333333</v>
      </c>
      <c r="D3189" s="17" t="n">
        <v>0.6041666666666666</v>
      </c>
      <c r="E3189" t="inlineStr">
        <is>
          <t>Day</t>
        </is>
      </c>
      <c r="F3189" t="inlineStr">
        <is>
          <t>Sep</t>
        </is>
      </c>
      <c r="G3189" s="18">
        <f>IF(D3189&lt;C3189,D3189+1-C3189,D3189-C3189)*24</f>
        <v/>
      </c>
      <c r="H3189" s="18">
        <f>MAX(0,G3189-8)</f>
        <v/>
      </c>
    </row>
    <row r="3190">
      <c r="A3190" t="n">
        <v>1210</v>
      </c>
      <c r="B3190" s="14" t="n">
        <v>46288</v>
      </c>
      <c r="C3190" s="17" t="n">
        <v>0.25</v>
      </c>
      <c r="D3190" s="17" t="n">
        <v>0.6666666666666666</v>
      </c>
      <c r="E3190" t="inlineStr">
        <is>
          <t>Day</t>
        </is>
      </c>
      <c r="F3190" t="inlineStr">
        <is>
          <t>Sep</t>
        </is>
      </c>
      <c r="G3190" s="18">
        <f>IF(D3190&lt;C3190,D3190+1-C3190,D3190-C3190)*24</f>
        <v/>
      </c>
      <c r="H3190" s="18">
        <f>MAX(0,G3190-8)</f>
        <v/>
      </c>
    </row>
    <row r="3191">
      <c r="A3191" t="n">
        <v>1211</v>
      </c>
      <c r="B3191" s="14" t="n">
        <v>46288</v>
      </c>
      <c r="C3191" s="17" t="n">
        <v>0.2708333333333333</v>
      </c>
      <c r="D3191" s="17" t="n">
        <v>0.6041666666666666</v>
      </c>
      <c r="E3191" t="inlineStr">
        <is>
          <t>Day</t>
        </is>
      </c>
      <c r="F3191" t="inlineStr">
        <is>
          <t>Sep</t>
        </is>
      </c>
      <c r="G3191" s="18">
        <f>IF(D3191&lt;C3191,D3191+1-C3191,D3191-C3191)*24</f>
        <v/>
      </c>
      <c r="H3191" s="18">
        <f>MAX(0,G3191-8)</f>
        <v/>
      </c>
    </row>
    <row r="3192">
      <c r="A3192" t="n">
        <v>1212</v>
      </c>
      <c r="B3192" s="14" t="n">
        <v>46288</v>
      </c>
      <c r="C3192" s="17" t="n">
        <v>0.2708333333333333</v>
      </c>
      <c r="D3192" s="17" t="n">
        <v>0.625</v>
      </c>
      <c r="E3192" t="inlineStr">
        <is>
          <t>Day</t>
        </is>
      </c>
      <c r="F3192" t="inlineStr">
        <is>
          <t>Sep</t>
        </is>
      </c>
      <c r="G3192" s="18">
        <f>IF(D3192&lt;C3192,D3192+1-C3192,D3192-C3192)*24</f>
        <v/>
      </c>
      <c r="H3192" s="18">
        <f>MAX(0,G3192-8)</f>
        <v/>
      </c>
    </row>
    <row r="3193">
      <c r="A3193" t="n">
        <v>1213</v>
      </c>
      <c r="B3193" s="14" t="n">
        <v>46288</v>
      </c>
      <c r="C3193" s="17" t="n">
        <v>0.25</v>
      </c>
      <c r="D3193" s="17" t="n">
        <v>0.5833333333333334</v>
      </c>
      <c r="E3193" t="inlineStr">
        <is>
          <t>Day</t>
        </is>
      </c>
      <c r="F3193" t="inlineStr">
        <is>
          <t>Sep</t>
        </is>
      </c>
      <c r="G3193" s="18">
        <f>IF(D3193&lt;C3193,D3193+1-C3193,D3193-C3193)*24</f>
        <v/>
      </c>
      <c r="H3193" s="18">
        <f>MAX(0,G3193-8)</f>
        <v/>
      </c>
    </row>
    <row r="3194">
      <c r="A3194" t="n">
        <v>1214</v>
      </c>
      <c r="B3194" s="14" t="n">
        <v>46288</v>
      </c>
      <c r="C3194" s="17" t="n">
        <v>0.2708333333333333</v>
      </c>
      <c r="D3194" s="17" t="n">
        <v>0.6458333333333334</v>
      </c>
      <c r="E3194" t="inlineStr">
        <is>
          <t>Day</t>
        </is>
      </c>
      <c r="F3194" t="inlineStr">
        <is>
          <t>Sep</t>
        </is>
      </c>
      <c r="G3194" s="18">
        <f>IF(D3194&lt;C3194,D3194+1-C3194,D3194-C3194)*24</f>
        <v/>
      </c>
      <c r="H3194" s="18">
        <f>MAX(0,G3194-8)</f>
        <v/>
      </c>
    </row>
    <row r="3195">
      <c r="A3195" t="n">
        <v>1215</v>
      </c>
      <c r="B3195" s="14" t="n">
        <v>46288</v>
      </c>
      <c r="C3195" s="17" t="n">
        <v>0.25</v>
      </c>
      <c r="D3195" s="17" t="n">
        <v>0.6666666666666666</v>
      </c>
      <c r="E3195" t="inlineStr">
        <is>
          <t>Day</t>
        </is>
      </c>
      <c r="F3195" t="inlineStr">
        <is>
          <t>Sep</t>
        </is>
      </c>
      <c r="G3195" s="18">
        <f>IF(D3195&lt;C3195,D3195+1-C3195,D3195-C3195)*24</f>
        <v/>
      </c>
      <c r="H3195" s="18">
        <f>MAX(0,G3195-8)</f>
        <v/>
      </c>
    </row>
    <row r="3196">
      <c r="A3196" t="n">
        <v>1216</v>
      </c>
      <c r="B3196" s="14" t="n">
        <v>46288</v>
      </c>
      <c r="C3196" s="17" t="n">
        <v>0.25</v>
      </c>
      <c r="D3196" s="17" t="n">
        <v>0.6666666666666666</v>
      </c>
      <c r="E3196" t="inlineStr">
        <is>
          <t>Day</t>
        </is>
      </c>
      <c r="F3196" t="inlineStr">
        <is>
          <t>Sep</t>
        </is>
      </c>
      <c r="G3196" s="18">
        <f>IF(D3196&lt;C3196,D3196+1-C3196,D3196-C3196)*24</f>
        <v/>
      </c>
      <c r="H3196" s="18">
        <f>MAX(0,G3196-8)</f>
        <v/>
      </c>
    </row>
    <row r="3197">
      <c r="A3197" t="n">
        <v>1217</v>
      </c>
      <c r="B3197" s="14" t="n">
        <v>46288</v>
      </c>
      <c r="C3197" s="17" t="n">
        <v>0.25</v>
      </c>
      <c r="D3197" s="17" t="n">
        <v>0.625</v>
      </c>
      <c r="E3197" t="inlineStr">
        <is>
          <t>Day</t>
        </is>
      </c>
      <c r="F3197" t="inlineStr">
        <is>
          <t>Sep</t>
        </is>
      </c>
      <c r="G3197" s="18">
        <f>IF(D3197&lt;C3197,D3197+1-C3197,D3197-C3197)*24</f>
        <v/>
      </c>
      <c r="H3197" s="18">
        <f>MAX(0,G3197-8)</f>
        <v/>
      </c>
    </row>
    <row r="3198">
      <c r="A3198" t="n">
        <v>1218</v>
      </c>
      <c r="B3198" s="14" t="n">
        <v>46288</v>
      </c>
      <c r="C3198" s="17" t="n">
        <v>0.25</v>
      </c>
      <c r="D3198" s="17" t="n">
        <v>0.6666666666666666</v>
      </c>
      <c r="E3198" t="inlineStr">
        <is>
          <t>Day</t>
        </is>
      </c>
      <c r="F3198" t="inlineStr">
        <is>
          <t>Sep</t>
        </is>
      </c>
      <c r="G3198" s="18">
        <f>IF(D3198&lt;C3198,D3198+1-C3198,D3198-C3198)*24</f>
        <v/>
      </c>
      <c r="H3198" s="18">
        <f>MAX(0,G3198-8)</f>
        <v/>
      </c>
    </row>
    <row r="3199">
      <c r="A3199" t="n">
        <v>1219</v>
      </c>
      <c r="B3199" s="14" t="n">
        <v>46288</v>
      </c>
      <c r="C3199" s="17" t="n">
        <v>0.25</v>
      </c>
      <c r="D3199" s="17" t="n">
        <v>0.625</v>
      </c>
      <c r="E3199" t="inlineStr">
        <is>
          <t>Day</t>
        </is>
      </c>
      <c r="F3199" t="inlineStr">
        <is>
          <t>Sep</t>
        </is>
      </c>
      <c r="G3199" s="18">
        <f>IF(D3199&lt;C3199,D3199+1-C3199,D3199-C3199)*24</f>
        <v/>
      </c>
      <c r="H3199" s="18">
        <f>MAX(0,G3199-8)</f>
        <v/>
      </c>
    </row>
    <row r="3200">
      <c r="A3200" t="n">
        <v>1220</v>
      </c>
      <c r="B3200" s="14" t="n">
        <v>46288</v>
      </c>
      <c r="C3200" s="17" t="n">
        <v>0.25</v>
      </c>
      <c r="D3200" s="17" t="n">
        <v>0.5833333333333334</v>
      </c>
      <c r="E3200" t="inlineStr">
        <is>
          <t>Day</t>
        </is>
      </c>
      <c r="F3200" t="inlineStr">
        <is>
          <t>Sep</t>
        </is>
      </c>
      <c r="G3200" s="18">
        <f>IF(D3200&lt;C3200,D3200+1-C3200,D3200-C3200)*24</f>
        <v/>
      </c>
      <c r="H3200" s="18">
        <f>MAX(0,G3200-8)</f>
        <v/>
      </c>
    </row>
    <row r="3201">
      <c r="A3201" t="n">
        <v>1102</v>
      </c>
      <c r="B3201" s="14" t="n">
        <v>46289</v>
      </c>
      <c r="C3201" s="17" t="n">
        <v>0.9375</v>
      </c>
      <c r="D3201" s="17" t="n">
        <v>0.2708333333333333</v>
      </c>
      <c r="E3201" t="inlineStr">
        <is>
          <t>Night</t>
        </is>
      </c>
      <c r="F3201" t="inlineStr">
        <is>
          <t>Sep</t>
        </is>
      </c>
      <c r="G3201" s="18">
        <f>IF(D3201&lt;C3201,D3201+1-C3201,D3201-C3201)*24</f>
        <v/>
      </c>
      <c r="H3201" s="18">
        <f>MAX(0,G3201-8)</f>
        <v/>
      </c>
    </row>
    <row r="3202">
      <c r="A3202" t="n">
        <v>1104</v>
      </c>
      <c r="B3202" s="14" t="n">
        <v>46289</v>
      </c>
      <c r="C3202" s="17" t="n">
        <v>0.9166666666666666</v>
      </c>
      <c r="D3202" s="17" t="n">
        <v>0.3333333333333333</v>
      </c>
      <c r="E3202" t="inlineStr">
        <is>
          <t>Night</t>
        </is>
      </c>
      <c r="F3202" t="inlineStr">
        <is>
          <t>Sep</t>
        </is>
      </c>
      <c r="G3202" s="18">
        <f>IF(D3202&lt;C3202,D3202+1-C3202,D3202-C3202)*24</f>
        <v/>
      </c>
      <c r="H3202" s="18">
        <f>MAX(0,G3202-8)</f>
        <v/>
      </c>
    </row>
    <row r="3203">
      <c r="A3203" t="n">
        <v>1106</v>
      </c>
      <c r="B3203" s="14" t="n">
        <v>46289</v>
      </c>
      <c r="C3203" s="17" t="n">
        <v>0.9375</v>
      </c>
      <c r="D3203" s="17" t="n">
        <v>0.3125</v>
      </c>
      <c r="E3203" t="inlineStr">
        <is>
          <t>Night</t>
        </is>
      </c>
      <c r="F3203" t="inlineStr">
        <is>
          <t>Sep</t>
        </is>
      </c>
      <c r="G3203" s="18">
        <f>IF(D3203&lt;C3203,D3203+1-C3203,D3203-C3203)*24</f>
        <v/>
      </c>
      <c r="H3203" s="18">
        <f>MAX(0,G3203-8)</f>
        <v/>
      </c>
    </row>
    <row r="3204">
      <c r="A3204" t="n">
        <v>1108</v>
      </c>
      <c r="B3204" s="14" t="n">
        <v>46289</v>
      </c>
      <c r="C3204" s="17" t="n">
        <v>0.9166666666666666</v>
      </c>
      <c r="D3204" s="17" t="n">
        <v>0.3958333333333333</v>
      </c>
      <c r="E3204" t="inlineStr">
        <is>
          <t>Night</t>
        </is>
      </c>
      <c r="F3204" t="inlineStr">
        <is>
          <t>Sep</t>
        </is>
      </c>
      <c r="G3204" s="18">
        <f>IF(D3204&lt;C3204,D3204+1-C3204,D3204-C3204)*24</f>
        <v/>
      </c>
      <c r="H3204" s="18">
        <f>MAX(0,G3204-8)</f>
        <v/>
      </c>
    </row>
    <row r="3205">
      <c r="A3205" t="n">
        <v>1109</v>
      </c>
      <c r="B3205" s="14" t="n">
        <v>46289</v>
      </c>
      <c r="C3205" s="17" t="n">
        <v>0.9375</v>
      </c>
      <c r="D3205" s="17" t="n">
        <v>0.3333333333333333</v>
      </c>
      <c r="E3205" t="inlineStr">
        <is>
          <t>Night</t>
        </is>
      </c>
      <c r="F3205" t="inlineStr">
        <is>
          <t>Sep</t>
        </is>
      </c>
      <c r="G3205" s="18">
        <f>IF(D3205&lt;C3205,D3205+1-C3205,D3205-C3205)*24</f>
        <v/>
      </c>
      <c r="H3205" s="18">
        <f>MAX(0,G3205-8)</f>
        <v/>
      </c>
    </row>
    <row r="3206">
      <c r="A3206" t="n">
        <v>1111</v>
      </c>
      <c r="B3206" s="14" t="n">
        <v>46289</v>
      </c>
      <c r="C3206" s="17" t="n">
        <v>0.9375</v>
      </c>
      <c r="D3206" s="17" t="n">
        <v>0.2708333333333333</v>
      </c>
      <c r="E3206" t="inlineStr">
        <is>
          <t>Night</t>
        </is>
      </c>
      <c r="F3206" t="inlineStr">
        <is>
          <t>Sep</t>
        </is>
      </c>
      <c r="G3206" s="18">
        <f>IF(D3206&lt;C3206,D3206+1-C3206,D3206-C3206)*24</f>
        <v/>
      </c>
      <c r="H3206" s="18">
        <f>MAX(0,G3206-8)</f>
        <v/>
      </c>
    </row>
    <row r="3207">
      <c r="A3207" t="n">
        <v>1112</v>
      </c>
      <c r="B3207" s="14" t="n">
        <v>46289</v>
      </c>
      <c r="C3207" s="17" t="n">
        <v>0.9375</v>
      </c>
      <c r="D3207" s="17" t="n">
        <v>0.4166666666666667</v>
      </c>
      <c r="E3207" t="inlineStr">
        <is>
          <t>Night</t>
        </is>
      </c>
      <c r="F3207" t="inlineStr">
        <is>
          <t>Sep</t>
        </is>
      </c>
      <c r="G3207" s="18">
        <f>IF(D3207&lt;C3207,D3207+1-C3207,D3207-C3207)*24</f>
        <v/>
      </c>
      <c r="H3207" s="18">
        <f>MAX(0,G3207-8)</f>
        <v/>
      </c>
    </row>
    <row r="3208">
      <c r="A3208" t="n">
        <v>1113</v>
      </c>
      <c r="B3208" s="14" t="n">
        <v>46289</v>
      </c>
      <c r="C3208" s="17" t="n">
        <v>0.9270833333333334</v>
      </c>
      <c r="D3208" s="17" t="n">
        <v>0.2604166666666667</v>
      </c>
      <c r="E3208" t="inlineStr">
        <is>
          <t>Night</t>
        </is>
      </c>
      <c r="F3208" t="inlineStr">
        <is>
          <t>Sep</t>
        </is>
      </c>
      <c r="G3208" s="18">
        <f>IF(D3208&lt;C3208,D3208+1-C3208,D3208-C3208)*24</f>
        <v/>
      </c>
      <c r="H3208" s="18">
        <f>MAX(0,G3208-8)</f>
        <v/>
      </c>
    </row>
    <row r="3209">
      <c r="A3209" t="n">
        <v>1114</v>
      </c>
      <c r="B3209" s="14" t="n">
        <v>46289</v>
      </c>
      <c r="C3209" s="17" t="n">
        <v>0.9166666666666666</v>
      </c>
      <c r="D3209" s="17" t="n">
        <v>0.375</v>
      </c>
      <c r="E3209" t="inlineStr">
        <is>
          <t>Night</t>
        </is>
      </c>
      <c r="F3209" t="inlineStr">
        <is>
          <t>Sep</t>
        </is>
      </c>
      <c r="G3209" s="18">
        <f>IF(D3209&lt;C3209,D3209+1-C3209,D3209-C3209)*24</f>
        <v/>
      </c>
      <c r="H3209" s="18">
        <f>MAX(0,G3209-8)</f>
        <v/>
      </c>
    </row>
    <row r="3210">
      <c r="A3210" t="n">
        <v>1116</v>
      </c>
      <c r="B3210" s="14" t="n">
        <v>46289</v>
      </c>
      <c r="C3210" s="17" t="n">
        <v>0.9166666666666666</v>
      </c>
      <c r="D3210" s="17" t="n">
        <v>0.375</v>
      </c>
      <c r="E3210" t="inlineStr">
        <is>
          <t>Night</t>
        </is>
      </c>
      <c r="F3210" t="inlineStr">
        <is>
          <t>Sep</t>
        </is>
      </c>
      <c r="G3210" s="18">
        <f>IF(D3210&lt;C3210,D3210+1-C3210,D3210-C3210)*24</f>
        <v/>
      </c>
      <c r="H3210" s="18">
        <f>MAX(0,G3210-8)</f>
        <v/>
      </c>
    </row>
    <row r="3211">
      <c r="A3211" t="n">
        <v>1117</v>
      </c>
      <c r="B3211" s="14" t="n">
        <v>46289</v>
      </c>
      <c r="C3211" s="17" t="n">
        <v>0.9375</v>
      </c>
      <c r="D3211" s="17" t="n">
        <v>0.375</v>
      </c>
      <c r="E3211" t="inlineStr">
        <is>
          <t>Night</t>
        </is>
      </c>
      <c r="F3211" t="inlineStr">
        <is>
          <t>Sep</t>
        </is>
      </c>
      <c r="G3211" s="18">
        <f>IF(D3211&lt;C3211,D3211+1-C3211,D3211-C3211)*24</f>
        <v/>
      </c>
      <c r="H3211" s="18">
        <f>MAX(0,G3211-8)</f>
        <v/>
      </c>
    </row>
    <row r="3212">
      <c r="A3212" t="n">
        <v>1119</v>
      </c>
      <c r="B3212" s="14" t="n">
        <v>46289</v>
      </c>
      <c r="C3212" s="17" t="n">
        <v>0.9166666666666666</v>
      </c>
      <c r="D3212" s="17" t="n">
        <v>0.3333333333333333</v>
      </c>
      <c r="E3212" t="inlineStr">
        <is>
          <t>Night</t>
        </is>
      </c>
      <c r="F3212" t="inlineStr">
        <is>
          <t>Sep</t>
        </is>
      </c>
      <c r="G3212" s="18">
        <f>IF(D3212&lt;C3212,D3212+1-C3212,D3212-C3212)*24</f>
        <v/>
      </c>
      <c r="H3212" s="18">
        <f>MAX(0,G3212-8)</f>
        <v/>
      </c>
    </row>
    <row r="3213">
      <c r="A3213" t="n">
        <v>1120</v>
      </c>
      <c r="B3213" s="14" t="n">
        <v>46289</v>
      </c>
      <c r="C3213" s="17" t="n">
        <v>0.9166666666666666</v>
      </c>
      <c r="D3213" s="17" t="n">
        <v>0.2708333333333333</v>
      </c>
      <c r="E3213" t="inlineStr">
        <is>
          <t>Night</t>
        </is>
      </c>
      <c r="F3213" t="inlineStr">
        <is>
          <t>Sep</t>
        </is>
      </c>
      <c r="G3213" s="18">
        <f>IF(D3213&lt;C3213,D3213+1-C3213,D3213-C3213)*24</f>
        <v/>
      </c>
      <c r="H3213" s="18">
        <f>MAX(0,G3213-8)</f>
        <v/>
      </c>
    </row>
    <row r="3214">
      <c r="A3214" t="n">
        <v>1121</v>
      </c>
      <c r="B3214" s="14" t="n">
        <v>46289</v>
      </c>
      <c r="C3214" s="17" t="n">
        <v>0.9166666666666666</v>
      </c>
      <c r="D3214" s="17" t="n">
        <v>0.2708333333333333</v>
      </c>
      <c r="E3214" t="inlineStr">
        <is>
          <t>Night</t>
        </is>
      </c>
      <c r="F3214" t="inlineStr">
        <is>
          <t>Sep</t>
        </is>
      </c>
      <c r="G3214" s="18">
        <f>IF(D3214&lt;C3214,D3214+1-C3214,D3214-C3214)*24</f>
        <v/>
      </c>
      <c r="H3214" s="18">
        <f>MAX(0,G3214-8)</f>
        <v/>
      </c>
    </row>
    <row r="3215">
      <c r="A3215" t="n">
        <v>1123</v>
      </c>
      <c r="B3215" s="14" t="n">
        <v>46289</v>
      </c>
      <c r="C3215" s="17" t="n">
        <v>0.9166666666666666</v>
      </c>
      <c r="D3215" s="17" t="n">
        <v>0.3125</v>
      </c>
      <c r="E3215" t="inlineStr">
        <is>
          <t>Night</t>
        </is>
      </c>
      <c r="F3215" t="inlineStr">
        <is>
          <t>Sep</t>
        </is>
      </c>
      <c r="G3215" s="18">
        <f>IF(D3215&lt;C3215,D3215+1-C3215,D3215-C3215)*24</f>
        <v/>
      </c>
      <c r="H3215" s="18">
        <f>MAX(0,G3215-8)</f>
        <v/>
      </c>
    </row>
    <row r="3216">
      <c r="A3216" t="n">
        <v>1125</v>
      </c>
      <c r="B3216" s="14" t="n">
        <v>46289</v>
      </c>
      <c r="C3216" s="17" t="n">
        <v>0.9166666666666666</v>
      </c>
      <c r="D3216" s="17" t="n">
        <v>0.2916666666666667</v>
      </c>
      <c r="E3216" t="inlineStr">
        <is>
          <t>Night</t>
        </is>
      </c>
      <c r="F3216" t="inlineStr">
        <is>
          <t>Sep</t>
        </is>
      </c>
      <c r="G3216" s="18">
        <f>IF(D3216&lt;C3216,D3216+1-C3216,D3216-C3216)*24</f>
        <v/>
      </c>
      <c r="H3216" s="18">
        <f>MAX(0,G3216-8)</f>
        <v/>
      </c>
    </row>
    <row r="3217">
      <c r="A3217" t="n">
        <v>1126</v>
      </c>
      <c r="B3217" s="14" t="n">
        <v>46289</v>
      </c>
      <c r="C3217" s="17" t="n">
        <v>0.9166666666666666</v>
      </c>
      <c r="D3217" s="17" t="n">
        <v>0.2708333333333333</v>
      </c>
      <c r="E3217" t="inlineStr">
        <is>
          <t>Night</t>
        </is>
      </c>
      <c r="F3217" t="inlineStr">
        <is>
          <t>Sep</t>
        </is>
      </c>
      <c r="G3217" s="18">
        <f>IF(D3217&lt;C3217,D3217+1-C3217,D3217-C3217)*24</f>
        <v/>
      </c>
      <c r="H3217" s="18">
        <f>MAX(0,G3217-8)</f>
        <v/>
      </c>
    </row>
    <row r="3218">
      <c r="A3218" t="n">
        <v>1127</v>
      </c>
      <c r="B3218" s="14" t="n">
        <v>46289</v>
      </c>
      <c r="C3218" s="17" t="n">
        <v>0.9166666666666666</v>
      </c>
      <c r="D3218" s="17" t="n">
        <v>0.2708333333333333</v>
      </c>
      <c r="E3218" t="inlineStr">
        <is>
          <t>Night</t>
        </is>
      </c>
      <c r="F3218" t="inlineStr">
        <is>
          <t>Sep</t>
        </is>
      </c>
      <c r="G3218" s="18">
        <f>IF(D3218&lt;C3218,D3218+1-C3218,D3218-C3218)*24</f>
        <v/>
      </c>
      <c r="H3218" s="18">
        <f>MAX(0,G3218-8)</f>
        <v/>
      </c>
    </row>
    <row r="3219">
      <c r="A3219" t="n">
        <v>1128</v>
      </c>
      <c r="B3219" s="14" t="n">
        <v>46289</v>
      </c>
      <c r="C3219" s="17" t="n">
        <v>0.9375</v>
      </c>
      <c r="D3219" s="17" t="n">
        <v>0.4166666666666667</v>
      </c>
      <c r="E3219" t="inlineStr">
        <is>
          <t>Night</t>
        </is>
      </c>
      <c r="F3219" t="inlineStr">
        <is>
          <t>Sep</t>
        </is>
      </c>
      <c r="G3219" s="18">
        <f>IF(D3219&lt;C3219,D3219+1-C3219,D3219-C3219)*24</f>
        <v/>
      </c>
      <c r="H3219" s="18">
        <f>MAX(0,G3219-8)</f>
        <v/>
      </c>
    </row>
    <row r="3220">
      <c r="A3220" t="n">
        <v>1129</v>
      </c>
      <c r="B3220" s="14" t="n">
        <v>46289</v>
      </c>
      <c r="C3220" s="17" t="n">
        <v>0.9270833333333334</v>
      </c>
      <c r="D3220" s="17" t="n">
        <v>0.40625</v>
      </c>
      <c r="E3220" t="inlineStr">
        <is>
          <t>Night</t>
        </is>
      </c>
      <c r="F3220" t="inlineStr">
        <is>
          <t>Sep</t>
        </is>
      </c>
      <c r="G3220" s="18">
        <f>IF(D3220&lt;C3220,D3220+1-C3220,D3220-C3220)*24</f>
        <v/>
      </c>
      <c r="H3220" s="18">
        <f>MAX(0,G3220-8)</f>
        <v/>
      </c>
    </row>
    <row r="3221">
      <c r="A3221" t="n">
        <v>1130</v>
      </c>
      <c r="B3221" s="14" t="n">
        <v>46289</v>
      </c>
      <c r="C3221" s="17" t="n">
        <v>0.9166666666666666</v>
      </c>
      <c r="D3221" s="17" t="n">
        <v>0.25</v>
      </c>
      <c r="E3221" t="inlineStr">
        <is>
          <t>Night</t>
        </is>
      </c>
      <c r="F3221" t="inlineStr">
        <is>
          <t>Sep</t>
        </is>
      </c>
      <c r="G3221" s="18">
        <f>IF(D3221&lt;C3221,D3221+1-C3221,D3221-C3221)*24</f>
        <v/>
      </c>
      <c r="H3221" s="18">
        <f>MAX(0,G3221-8)</f>
        <v/>
      </c>
    </row>
    <row r="3222">
      <c r="A3222" t="n">
        <v>1131</v>
      </c>
      <c r="B3222" s="14" t="n">
        <v>46289</v>
      </c>
      <c r="C3222" s="17" t="n">
        <v>0.9375</v>
      </c>
      <c r="D3222" s="17" t="n">
        <v>0.3333333333333333</v>
      </c>
      <c r="E3222" t="inlineStr">
        <is>
          <t>Night</t>
        </is>
      </c>
      <c r="F3222" t="inlineStr">
        <is>
          <t>Sep</t>
        </is>
      </c>
      <c r="G3222" s="18">
        <f>IF(D3222&lt;C3222,D3222+1-C3222,D3222-C3222)*24</f>
        <v/>
      </c>
      <c r="H3222" s="18">
        <f>MAX(0,G3222-8)</f>
        <v/>
      </c>
    </row>
    <row r="3223">
      <c r="A3223" t="n">
        <v>1133</v>
      </c>
      <c r="B3223" s="14" t="n">
        <v>46289</v>
      </c>
      <c r="C3223" s="17" t="n">
        <v>0.9166666666666666</v>
      </c>
      <c r="D3223" s="17" t="n">
        <v>0.2916666666666667</v>
      </c>
      <c r="E3223" t="inlineStr">
        <is>
          <t>Night</t>
        </is>
      </c>
      <c r="F3223" t="inlineStr">
        <is>
          <t>Sep</t>
        </is>
      </c>
      <c r="G3223" s="18">
        <f>IF(D3223&lt;C3223,D3223+1-C3223,D3223-C3223)*24</f>
        <v/>
      </c>
      <c r="H3223" s="18">
        <f>MAX(0,G3223-8)</f>
        <v/>
      </c>
    </row>
    <row r="3224">
      <c r="A3224" t="n">
        <v>1134</v>
      </c>
      <c r="B3224" s="14" t="n">
        <v>46289</v>
      </c>
      <c r="C3224" s="17" t="n">
        <v>0.9166666666666666</v>
      </c>
      <c r="D3224" s="17" t="n">
        <v>0.2916666666666667</v>
      </c>
      <c r="E3224" t="inlineStr">
        <is>
          <t>Night</t>
        </is>
      </c>
      <c r="F3224" t="inlineStr">
        <is>
          <t>Sep</t>
        </is>
      </c>
      <c r="G3224" s="18">
        <f>IF(D3224&lt;C3224,D3224+1-C3224,D3224-C3224)*24</f>
        <v/>
      </c>
      <c r="H3224" s="18">
        <f>MAX(0,G3224-8)</f>
        <v/>
      </c>
    </row>
    <row r="3225">
      <c r="A3225" t="n">
        <v>1135</v>
      </c>
      <c r="B3225" s="14" t="n">
        <v>46289</v>
      </c>
      <c r="C3225" s="17" t="n">
        <v>0.9375</v>
      </c>
      <c r="D3225" s="17" t="n">
        <v>0.2708333333333333</v>
      </c>
      <c r="E3225" t="inlineStr">
        <is>
          <t>Night</t>
        </is>
      </c>
      <c r="F3225" t="inlineStr">
        <is>
          <t>Sep</t>
        </is>
      </c>
      <c r="G3225" s="18">
        <f>IF(D3225&lt;C3225,D3225+1-C3225,D3225-C3225)*24</f>
        <v/>
      </c>
      <c r="H3225" s="18">
        <f>MAX(0,G3225-8)</f>
        <v/>
      </c>
    </row>
    <row r="3226">
      <c r="A3226" t="n">
        <v>1136</v>
      </c>
      <c r="B3226" s="14" t="n">
        <v>46289</v>
      </c>
      <c r="C3226" s="17" t="n">
        <v>0.9270833333333334</v>
      </c>
      <c r="D3226" s="17" t="n">
        <v>0.2604166666666667</v>
      </c>
      <c r="E3226" t="inlineStr">
        <is>
          <t>Night</t>
        </is>
      </c>
      <c r="F3226" t="inlineStr">
        <is>
          <t>Sep</t>
        </is>
      </c>
      <c r="G3226" s="18">
        <f>IF(D3226&lt;C3226,D3226+1-C3226,D3226-C3226)*24</f>
        <v/>
      </c>
      <c r="H3226" s="18">
        <f>MAX(0,G3226-8)</f>
        <v/>
      </c>
    </row>
    <row r="3227">
      <c r="A3227" t="n">
        <v>1137</v>
      </c>
      <c r="B3227" s="14" t="n">
        <v>46289</v>
      </c>
      <c r="C3227" s="17" t="n">
        <v>0.9166666666666666</v>
      </c>
      <c r="D3227" s="17" t="n">
        <v>0.3125</v>
      </c>
      <c r="E3227" t="inlineStr">
        <is>
          <t>Night</t>
        </is>
      </c>
      <c r="F3227" t="inlineStr">
        <is>
          <t>Sep</t>
        </is>
      </c>
      <c r="G3227" s="18">
        <f>IF(D3227&lt;C3227,D3227+1-C3227,D3227-C3227)*24</f>
        <v/>
      </c>
      <c r="H3227" s="18">
        <f>MAX(0,G3227-8)</f>
        <v/>
      </c>
    </row>
    <row r="3228">
      <c r="A3228" t="n">
        <v>1147</v>
      </c>
      <c r="B3228" s="14" t="n">
        <v>46289</v>
      </c>
      <c r="C3228" s="17" t="n">
        <v>0.9166666666666666</v>
      </c>
      <c r="D3228" s="17" t="n">
        <v>0.3125</v>
      </c>
      <c r="E3228" t="inlineStr">
        <is>
          <t>Night</t>
        </is>
      </c>
      <c r="F3228" t="inlineStr">
        <is>
          <t>Sep</t>
        </is>
      </c>
      <c r="G3228" s="18">
        <f>IF(D3228&lt;C3228,D3228+1-C3228,D3228-C3228)*24</f>
        <v/>
      </c>
      <c r="H3228" s="18">
        <f>MAX(0,G3228-8)</f>
        <v/>
      </c>
    </row>
    <row r="3229">
      <c r="A3229" t="n">
        <v>1103</v>
      </c>
      <c r="B3229" s="14" t="n">
        <v>46289</v>
      </c>
      <c r="C3229" s="17" t="n">
        <v>0.01041666666666667</v>
      </c>
      <c r="D3229" s="17" t="n">
        <v>0.3645833333333333</v>
      </c>
      <c r="E3229" t="inlineStr">
        <is>
          <t>Night</t>
        </is>
      </c>
      <c r="F3229" t="inlineStr">
        <is>
          <t>Sep</t>
        </is>
      </c>
      <c r="G3229" s="18">
        <f>IF(D3229&lt;C3229,D3229+1-C3229,D3229-C3229)*24</f>
        <v/>
      </c>
      <c r="H3229" s="18">
        <f>MAX(0,G3229-8)</f>
        <v/>
      </c>
    </row>
    <row r="3230">
      <c r="A3230" t="n">
        <v>1118</v>
      </c>
      <c r="B3230" s="14" t="n">
        <v>46289</v>
      </c>
      <c r="C3230" s="17" t="n">
        <v>0.02083333333333333</v>
      </c>
      <c r="D3230" s="17" t="n">
        <v>0.4791666666666667</v>
      </c>
      <c r="E3230" t="inlineStr">
        <is>
          <t>Night</t>
        </is>
      </c>
      <c r="F3230" t="inlineStr">
        <is>
          <t>Sep</t>
        </is>
      </c>
      <c r="G3230" s="18">
        <f>IF(D3230&lt;C3230,D3230+1-C3230,D3230-C3230)*24</f>
        <v/>
      </c>
      <c r="H3230" s="18">
        <f>MAX(0,G3230-8)</f>
        <v/>
      </c>
    </row>
    <row r="3231">
      <c r="A3231" t="n">
        <v>1122</v>
      </c>
      <c r="B3231" s="14" t="n">
        <v>46289</v>
      </c>
      <c r="C3231" s="17" t="n">
        <v>0.01041666666666667</v>
      </c>
      <c r="D3231" s="17" t="n">
        <v>0.3854166666666667</v>
      </c>
      <c r="E3231" t="inlineStr">
        <is>
          <t>Night</t>
        </is>
      </c>
      <c r="F3231" t="inlineStr">
        <is>
          <t>Sep</t>
        </is>
      </c>
      <c r="G3231" s="18">
        <f>IF(D3231&lt;C3231,D3231+1-C3231,D3231-C3231)*24</f>
        <v/>
      </c>
      <c r="H3231" s="18">
        <f>MAX(0,G3231-8)</f>
        <v/>
      </c>
    </row>
    <row r="3232">
      <c r="A3232" t="n">
        <v>1201</v>
      </c>
      <c r="B3232" s="14" t="n">
        <v>46289</v>
      </c>
      <c r="C3232" s="17" t="n">
        <v>0.2708333333333333</v>
      </c>
      <c r="D3232" s="17" t="n">
        <v>0.6458333333333334</v>
      </c>
      <c r="E3232" t="inlineStr">
        <is>
          <t>Day</t>
        </is>
      </c>
      <c r="F3232" t="inlineStr">
        <is>
          <t>Sep</t>
        </is>
      </c>
      <c r="G3232" s="18">
        <f>IF(D3232&lt;C3232,D3232+1-C3232,D3232-C3232)*24</f>
        <v/>
      </c>
      <c r="H3232" s="18">
        <f>MAX(0,G3232-8)</f>
        <v/>
      </c>
    </row>
    <row r="3233">
      <c r="A3233" t="n">
        <v>1202</v>
      </c>
      <c r="B3233" s="14" t="n">
        <v>46289</v>
      </c>
      <c r="C3233" s="17" t="n">
        <v>0.2708333333333333</v>
      </c>
      <c r="D3233" s="17" t="n">
        <v>0.6458333333333334</v>
      </c>
      <c r="E3233" t="inlineStr">
        <is>
          <t>Day</t>
        </is>
      </c>
      <c r="F3233" t="inlineStr">
        <is>
          <t>Sep</t>
        </is>
      </c>
      <c r="G3233" s="18">
        <f>IF(D3233&lt;C3233,D3233+1-C3233,D3233-C3233)*24</f>
        <v/>
      </c>
      <c r="H3233" s="18">
        <f>MAX(0,G3233-8)</f>
        <v/>
      </c>
    </row>
    <row r="3234">
      <c r="A3234" t="n">
        <v>1203</v>
      </c>
      <c r="B3234" s="14" t="n">
        <v>46289</v>
      </c>
      <c r="C3234" s="17" t="n">
        <v>0.25</v>
      </c>
      <c r="D3234" s="17" t="n">
        <v>0.625</v>
      </c>
      <c r="E3234" t="inlineStr">
        <is>
          <t>Day</t>
        </is>
      </c>
      <c r="F3234" t="inlineStr">
        <is>
          <t>Sep</t>
        </is>
      </c>
      <c r="G3234" s="18">
        <f>IF(D3234&lt;C3234,D3234+1-C3234,D3234-C3234)*24</f>
        <v/>
      </c>
      <c r="H3234" s="18">
        <f>MAX(0,G3234-8)</f>
        <v/>
      </c>
    </row>
    <row r="3235">
      <c r="A3235" t="n">
        <v>1204</v>
      </c>
      <c r="B3235" s="14" t="n">
        <v>46289</v>
      </c>
      <c r="C3235" s="17" t="n">
        <v>0.25</v>
      </c>
      <c r="D3235" s="17" t="n">
        <v>0.5833333333333334</v>
      </c>
      <c r="E3235" t="inlineStr">
        <is>
          <t>Day</t>
        </is>
      </c>
      <c r="F3235" t="inlineStr">
        <is>
          <t>Sep</t>
        </is>
      </c>
      <c r="G3235" s="18">
        <f>IF(D3235&lt;C3235,D3235+1-C3235,D3235-C3235)*24</f>
        <v/>
      </c>
      <c r="H3235" s="18">
        <f>MAX(0,G3235-8)</f>
        <v/>
      </c>
    </row>
    <row r="3236">
      <c r="A3236" t="n">
        <v>1205</v>
      </c>
      <c r="B3236" s="14" t="n">
        <v>46289</v>
      </c>
      <c r="C3236" s="17" t="n">
        <v>0.25</v>
      </c>
      <c r="D3236" s="17" t="n">
        <v>0.5833333333333334</v>
      </c>
      <c r="E3236" t="inlineStr">
        <is>
          <t>Day</t>
        </is>
      </c>
      <c r="F3236" t="inlineStr">
        <is>
          <t>Sep</t>
        </is>
      </c>
      <c r="G3236" s="18">
        <f>IF(D3236&lt;C3236,D3236+1-C3236,D3236-C3236)*24</f>
        <v/>
      </c>
      <c r="H3236" s="18">
        <f>MAX(0,G3236-8)</f>
        <v/>
      </c>
    </row>
    <row r="3237">
      <c r="A3237" t="n">
        <v>1206</v>
      </c>
      <c r="B3237" s="14" t="n">
        <v>46289</v>
      </c>
      <c r="C3237" s="17" t="n">
        <v>0.25</v>
      </c>
      <c r="D3237" s="17" t="n">
        <v>0.6666666666666666</v>
      </c>
      <c r="E3237" t="inlineStr">
        <is>
          <t>Day</t>
        </is>
      </c>
      <c r="F3237" t="inlineStr">
        <is>
          <t>Sep</t>
        </is>
      </c>
      <c r="G3237" s="18">
        <f>IF(D3237&lt;C3237,D3237+1-C3237,D3237-C3237)*24</f>
        <v/>
      </c>
      <c r="H3237" s="18">
        <f>MAX(0,G3237-8)</f>
        <v/>
      </c>
    </row>
    <row r="3238">
      <c r="A3238" t="n">
        <v>1207</v>
      </c>
      <c r="B3238" s="14" t="n">
        <v>46289</v>
      </c>
      <c r="C3238" s="17" t="n">
        <v>0.25</v>
      </c>
      <c r="D3238" s="17" t="n">
        <v>0.5833333333333334</v>
      </c>
      <c r="E3238" t="inlineStr">
        <is>
          <t>Day</t>
        </is>
      </c>
      <c r="F3238" t="inlineStr">
        <is>
          <t>Sep</t>
        </is>
      </c>
      <c r="G3238" s="18">
        <f>IF(D3238&lt;C3238,D3238+1-C3238,D3238-C3238)*24</f>
        <v/>
      </c>
      <c r="H3238" s="18">
        <f>MAX(0,G3238-8)</f>
        <v/>
      </c>
    </row>
    <row r="3239">
      <c r="A3239" t="n">
        <v>1208</v>
      </c>
      <c r="B3239" s="14" t="n">
        <v>46289</v>
      </c>
      <c r="C3239" s="17" t="n">
        <v>0.25</v>
      </c>
      <c r="D3239" s="17" t="n">
        <v>0.625</v>
      </c>
      <c r="E3239" t="inlineStr">
        <is>
          <t>Day</t>
        </is>
      </c>
      <c r="F3239" t="inlineStr">
        <is>
          <t>Sep</t>
        </is>
      </c>
      <c r="G3239" s="18">
        <f>IF(D3239&lt;C3239,D3239+1-C3239,D3239-C3239)*24</f>
        <v/>
      </c>
      <c r="H3239" s="18">
        <f>MAX(0,G3239-8)</f>
        <v/>
      </c>
    </row>
    <row r="3240">
      <c r="A3240" t="n">
        <v>1209</v>
      </c>
      <c r="B3240" s="14" t="n">
        <v>46289</v>
      </c>
      <c r="C3240" s="17" t="n">
        <v>0.2708333333333333</v>
      </c>
      <c r="D3240" s="17" t="n">
        <v>0.6875</v>
      </c>
      <c r="E3240" t="inlineStr">
        <is>
          <t>Day</t>
        </is>
      </c>
      <c r="F3240" t="inlineStr">
        <is>
          <t>Sep</t>
        </is>
      </c>
      <c r="G3240" s="18">
        <f>IF(D3240&lt;C3240,D3240+1-C3240,D3240-C3240)*24</f>
        <v/>
      </c>
      <c r="H3240" s="18">
        <f>MAX(0,G3240-8)</f>
        <v/>
      </c>
    </row>
    <row r="3241">
      <c r="A3241" t="n">
        <v>1210</v>
      </c>
      <c r="B3241" s="14" t="n">
        <v>46289</v>
      </c>
      <c r="C3241" s="17" t="n">
        <v>0.25</v>
      </c>
      <c r="D3241" s="17" t="n">
        <v>0.6041666666666666</v>
      </c>
      <c r="E3241" t="inlineStr">
        <is>
          <t>Day</t>
        </is>
      </c>
      <c r="F3241" t="inlineStr">
        <is>
          <t>Sep</t>
        </is>
      </c>
      <c r="G3241" s="18">
        <f>IF(D3241&lt;C3241,D3241+1-C3241,D3241-C3241)*24</f>
        <v/>
      </c>
      <c r="H3241" s="18">
        <f>MAX(0,G3241-8)</f>
        <v/>
      </c>
    </row>
    <row r="3242">
      <c r="A3242" t="n">
        <v>1211</v>
      </c>
      <c r="B3242" s="14" t="n">
        <v>46289</v>
      </c>
      <c r="C3242" s="17" t="n">
        <v>0.2708333333333333</v>
      </c>
      <c r="D3242" s="17" t="n">
        <v>0.6041666666666666</v>
      </c>
      <c r="E3242" t="inlineStr">
        <is>
          <t>Day</t>
        </is>
      </c>
      <c r="F3242" t="inlineStr">
        <is>
          <t>Sep</t>
        </is>
      </c>
      <c r="G3242" s="18">
        <f>IF(D3242&lt;C3242,D3242+1-C3242,D3242-C3242)*24</f>
        <v/>
      </c>
      <c r="H3242" s="18">
        <f>MAX(0,G3242-8)</f>
        <v/>
      </c>
    </row>
    <row r="3243">
      <c r="A3243" t="n">
        <v>1212</v>
      </c>
      <c r="B3243" s="14" t="n">
        <v>46289</v>
      </c>
      <c r="C3243" s="17" t="n">
        <v>0.25</v>
      </c>
      <c r="D3243" s="17" t="n">
        <v>0.6041666666666666</v>
      </c>
      <c r="E3243" t="inlineStr">
        <is>
          <t>Day</t>
        </is>
      </c>
      <c r="F3243" t="inlineStr">
        <is>
          <t>Sep</t>
        </is>
      </c>
      <c r="G3243" s="18">
        <f>IF(D3243&lt;C3243,D3243+1-C3243,D3243-C3243)*24</f>
        <v/>
      </c>
      <c r="H3243" s="18">
        <f>MAX(0,G3243-8)</f>
        <v/>
      </c>
    </row>
    <row r="3244">
      <c r="A3244" t="n">
        <v>1213</v>
      </c>
      <c r="B3244" s="14" t="n">
        <v>46289</v>
      </c>
      <c r="C3244" s="17" t="n">
        <v>0.25</v>
      </c>
      <c r="D3244" s="17" t="n">
        <v>0.5833333333333334</v>
      </c>
      <c r="E3244" t="inlineStr">
        <is>
          <t>Day</t>
        </is>
      </c>
      <c r="F3244" t="inlineStr">
        <is>
          <t>Sep</t>
        </is>
      </c>
      <c r="G3244" s="18">
        <f>IF(D3244&lt;C3244,D3244+1-C3244,D3244-C3244)*24</f>
        <v/>
      </c>
      <c r="H3244" s="18">
        <f>MAX(0,G3244-8)</f>
        <v/>
      </c>
    </row>
    <row r="3245">
      <c r="A3245" t="n">
        <v>1214</v>
      </c>
      <c r="B3245" s="14" t="n">
        <v>46289</v>
      </c>
      <c r="C3245" s="17" t="n">
        <v>0.2708333333333333</v>
      </c>
      <c r="D3245" s="17" t="n">
        <v>0.6875</v>
      </c>
      <c r="E3245" t="inlineStr">
        <is>
          <t>Day</t>
        </is>
      </c>
      <c r="F3245" t="inlineStr">
        <is>
          <t>Sep</t>
        </is>
      </c>
      <c r="G3245" s="18">
        <f>IF(D3245&lt;C3245,D3245+1-C3245,D3245-C3245)*24</f>
        <v/>
      </c>
      <c r="H3245" s="18">
        <f>MAX(0,G3245-8)</f>
        <v/>
      </c>
    </row>
    <row r="3246">
      <c r="A3246" t="n">
        <v>1215</v>
      </c>
      <c r="B3246" s="14" t="n">
        <v>46289</v>
      </c>
      <c r="C3246" s="17" t="n">
        <v>0.25</v>
      </c>
      <c r="D3246" s="17" t="n">
        <v>0.5833333333333334</v>
      </c>
      <c r="E3246" t="inlineStr">
        <is>
          <t>Day</t>
        </is>
      </c>
      <c r="F3246" t="inlineStr">
        <is>
          <t>Sep</t>
        </is>
      </c>
      <c r="G3246" s="18">
        <f>IF(D3246&lt;C3246,D3246+1-C3246,D3246-C3246)*24</f>
        <v/>
      </c>
      <c r="H3246" s="18">
        <f>MAX(0,G3246-8)</f>
        <v/>
      </c>
    </row>
    <row r="3247">
      <c r="A3247" t="n">
        <v>1216</v>
      </c>
      <c r="B3247" s="14" t="n">
        <v>46289</v>
      </c>
      <c r="C3247" s="17" t="n">
        <v>0.2708333333333333</v>
      </c>
      <c r="D3247" s="17" t="n">
        <v>0.6041666666666666</v>
      </c>
      <c r="E3247" t="inlineStr">
        <is>
          <t>Day</t>
        </is>
      </c>
      <c r="F3247" t="inlineStr">
        <is>
          <t>Sep</t>
        </is>
      </c>
      <c r="G3247" s="18">
        <f>IF(D3247&lt;C3247,D3247+1-C3247,D3247-C3247)*24</f>
        <v/>
      </c>
      <c r="H3247" s="18">
        <f>MAX(0,G3247-8)</f>
        <v/>
      </c>
    </row>
    <row r="3248">
      <c r="A3248" t="n">
        <v>1217</v>
      </c>
      <c r="B3248" s="14" t="n">
        <v>46289</v>
      </c>
      <c r="C3248" s="17" t="n">
        <v>0.25</v>
      </c>
      <c r="D3248" s="17" t="n">
        <v>0.625</v>
      </c>
      <c r="E3248" t="inlineStr">
        <is>
          <t>Day</t>
        </is>
      </c>
      <c r="F3248" t="inlineStr">
        <is>
          <t>Sep</t>
        </is>
      </c>
      <c r="G3248" s="18">
        <f>IF(D3248&lt;C3248,D3248+1-C3248,D3248-C3248)*24</f>
        <v/>
      </c>
      <c r="H3248" s="18">
        <f>MAX(0,G3248-8)</f>
        <v/>
      </c>
    </row>
    <row r="3249">
      <c r="A3249" t="n">
        <v>1218</v>
      </c>
      <c r="B3249" s="14" t="n">
        <v>46289</v>
      </c>
      <c r="C3249" s="17" t="n">
        <v>0.2708333333333333</v>
      </c>
      <c r="D3249" s="17" t="n">
        <v>0.6875</v>
      </c>
      <c r="E3249" t="inlineStr">
        <is>
          <t>Day</t>
        </is>
      </c>
      <c r="F3249" t="inlineStr">
        <is>
          <t>Sep</t>
        </is>
      </c>
      <c r="G3249" s="18">
        <f>IF(D3249&lt;C3249,D3249+1-C3249,D3249-C3249)*24</f>
        <v/>
      </c>
      <c r="H3249" s="18">
        <f>MAX(0,G3249-8)</f>
        <v/>
      </c>
    </row>
    <row r="3250">
      <c r="A3250" t="n">
        <v>1101</v>
      </c>
      <c r="B3250" s="14" t="n">
        <v>46290</v>
      </c>
      <c r="C3250" s="17" t="n">
        <v>0.9375</v>
      </c>
      <c r="D3250" s="17" t="n">
        <v>0.2916666666666667</v>
      </c>
      <c r="E3250" t="inlineStr">
        <is>
          <t>Night</t>
        </is>
      </c>
      <c r="F3250" t="inlineStr">
        <is>
          <t>Sep</t>
        </is>
      </c>
      <c r="G3250" s="18">
        <f>IF(D3250&lt;C3250,D3250+1-C3250,D3250-C3250)*24</f>
        <v/>
      </c>
      <c r="H3250" s="18">
        <f>MAX(0,G3250-8)</f>
        <v/>
      </c>
    </row>
    <row r="3251">
      <c r="A3251" t="n">
        <v>1102</v>
      </c>
      <c r="B3251" s="14" t="n">
        <v>46290</v>
      </c>
      <c r="C3251" s="17" t="n">
        <v>0.9270833333333334</v>
      </c>
      <c r="D3251" s="17" t="n">
        <v>0.28125</v>
      </c>
      <c r="E3251" t="inlineStr">
        <is>
          <t>Night</t>
        </is>
      </c>
      <c r="F3251" t="inlineStr">
        <is>
          <t>Sep</t>
        </is>
      </c>
      <c r="G3251" s="18">
        <f>IF(D3251&lt;C3251,D3251+1-C3251,D3251-C3251)*24</f>
        <v/>
      </c>
      <c r="H3251" s="18">
        <f>MAX(0,G3251-8)</f>
        <v/>
      </c>
    </row>
    <row r="3252">
      <c r="A3252" t="n">
        <v>1103</v>
      </c>
      <c r="B3252" s="14" t="n">
        <v>46290</v>
      </c>
      <c r="C3252" s="17" t="n">
        <v>0.9166666666666666</v>
      </c>
      <c r="D3252" s="17" t="n">
        <v>0.2916666666666667</v>
      </c>
      <c r="E3252" t="inlineStr">
        <is>
          <t>Night</t>
        </is>
      </c>
      <c r="F3252" t="inlineStr">
        <is>
          <t>Sep</t>
        </is>
      </c>
      <c r="G3252" s="18">
        <f>IF(D3252&lt;C3252,D3252+1-C3252,D3252-C3252)*24</f>
        <v/>
      </c>
      <c r="H3252" s="18">
        <f>MAX(0,G3252-8)</f>
        <v/>
      </c>
    </row>
    <row r="3253">
      <c r="A3253" t="n">
        <v>1104</v>
      </c>
      <c r="B3253" s="14" t="n">
        <v>46290</v>
      </c>
      <c r="C3253" s="17" t="n">
        <v>0.9166666666666666</v>
      </c>
      <c r="D3253" s="17" t="n">
        <v>0.2916666666666667</v>
      </c>
      <c r="E3253" t="inlineStr">
        <is>
          <t>Night</t>
        </is>
      </c>
      <c r="F3253" t="inlineStr">
        <is>
          <t>Sep</t>
        </is>
      </c>
      <c r="G3253" s="18">
        <f>IF(D3253&lt;C3253,D3253+1-C3253,D3253-C3253)*24</f>
        <v/>
      </c>
      <c r="H3253" s="18">
        <f>MAX(0,G3253-8)</f>
        <v/>
      </c>
    </row>
    <row r="3254">
      <c r="A3254" t="n">
        <v>1106</v>
      </c>
      <c r="B3254" s="14" t="n">
        <v>46290</v>
      </c>
      <c r="C3254" s="17" t="n">
        <v>0.9166666666666666</v>
      </c>
      <c r="D3254" s="17" t="n">
        <v>0.2708333333333333</v>
      </c>
      <c r="E3254" t="inlineStr">
        <is>
          <t>Night</t>
        </is>
      </c>
      <c r="F3254" t="inlineStr">
        <is>
          <t>Sep</t>
        </is>
      </c>
      <c r="G3254" s="18">
        <f>IF(D3254&lt;C3254,D3254+1-C3254,D3254-C3254)*24</f>
        <v/>
      </c>
      <c r="H3254" s="18">
        <f>MAX(0,G3254-8)</f>
        <v/>
      </c>
    </row>
    <row r="3255">
      <c r="A3255" t="n">
        <v>1107</v>
      </c>
      <c r="B3255" s="14" t="n">
        <v>46290</v>
      </c>
      <c r="C3255" s="17" t="n">
        <v>0.9270833333333334</v>
      </c>
      <c r="D3255" s="17" t="n">
        <v>0.34375</v>
      </c>
      <c r="E3255" t="inlineStr">
        <is>
          <t>Night</t>
        </is>
      </c>
      <c r="F3255" t="inlineStr">
        <is>
          <t>Sep</t>
        </is>
      </c>
      <c r="G3255" s="18">
        <f>IF(D3255&lt;C3255,D3255+1-C3255,D3255-C3255)*24</f>
        <v/>
      </c>
      <c r="H3255" s="18">
        <f>MAX(0,G3255-8)</f>
        <v/>
      </c>
    </row>
    <row r="3256">
      <c r="A3256" t="n">
        <v>1108</v>
      </c>
      <c r="B3256" s="14" t="n">
        <v>46290</v>
      </c>
      <c r="C3256" s="17" t="n">
        <v>0.9166666666666666</v>
      </c>
      <c r="D3256" s="17" t="n">
        <v>0.25</v>
      </c>
      <c r="E3256" t="inlineStr">
        <is>
          <t>Night</t>
        </is>
      </c>
      <c r="F3256" t="inlineStr">
        <is>
          <t>Sep</t>
        </is>
      </c>
      <c r="G3256" s="18">
        <f>IF(D3256&lt;C3256,D3256+1-C3256,D3256-C3256)*24</f>
        <v/>
      </c>
      <c r="H3256" s="18">
        <f>MAX(0,G3256-8)</f>
        <v/>
      </c>
    </row>
    <row r="3257">
      <c r="A3257" t="n">
        <v>1110</v>
      </c>
      <c r="B3257" s="14" t="n">
        <v>46290</v>
      </c>
      <c r="C3257" s="17" t="n">
        <v>0.9270833333333334</v>
      </c>
      <c r="D3257" s="17" t="n">
        <v>0.2604166666666667</v>
      </c>
      <c r="E3257" t="inlineStr">
        <is>
          <t>Night</t>
        </is>
      </c>
      <c r="F3257" t="inlineStr">
        <is>
          <t>Sep</t>
        </is>
      </c>
      <c r="G3257" s="18">
        <f>IF(D3257&lt;C3257,D3257+1-C3257,D3257-C3257)*24</f>
        <v/>
      </c>
      <c r="H3257" s="18">
        <f>MAX(0,G3257-8)</f>
        <v/>
      </c>
    </row>
    <row r="3258">
      <c r="A3258" t="n">
        <v>1111</v>
      </c>
      <c r="B3258" s="14" t="n">
        <v>46290</v>
      </c>
      <c r="C3258" s="17" t="n">
        <v>0.9166666666666666</v>
      </c>
      <c r="D3258" s="17" t="n">
        <v>0.2708333333333333</v>
      </c>
      <c r="E3258" t="inlineStr">
        <is>
          <t>Night</t>
        </is>
      </c>
      <c r="F3258" t="inlineStr">
        <is>
          <t>Sep</t>
        </is>
      </c>
      <c r="G3258" s="18">
        <f>IF(D3258&lt;C3258,D3258+1-C3258,D3258-C3258)*24</f>
        <v/>
      </c>
      <c r="H3258" s="18">
        <f>MAX(0,G3258-8)</f>
        <v/>
      </c>
    </row>
    <row r="3259">
      <c r="A3259" t="n">
        <v>1114</v>
      </c>
      <c r="B3259" s="14" t="n">
        <v>46290</v>
      </c>
      <c r="C3259" s="17" t="n">
        <v>0.9270833333333334</v>
      </c>
      <c r="D3259" s="17" t="n">
        <v>0.28125</v>
      </c>
      <c r="E3259" t="inlineStr">
        <is>
          <t>Night</t>
        </is>
      </c>
      <c r="F3259" t="inlineStr">
        <is>
          <t>Sep</t>
        </is>
      </c>
      <c r="G3259" s="18">
        <f>IF(D3259&lt;C3259,D3259+1-C3259,D3259-C3259)*24</f>
        <v/>
      </c>
      <c r="H3259" s="18">
        <f>MAX(0,G3259-8)</f>
        <v/>
      </c>
    </row>
    <row r="3260">
      <c r="A3260" t="n">
        <v>1116</v>
      </c>
      <c r="B3260" s="14" t="n">
        <v>46290</v>
      </c>
      <c r="C3260" s="17" t="n">
        <v>0.9166666666666666</v>
      </c>
      <c r="D3260" s="17" t="n">
        <v>0.3958333333333333</v>
      </c>
      <c r="E3260" t="inlineStr">
        <is>
          <t>Night</t>
        </is>
      </c>
      <c r="F3260" t="inlineStr">
        <is>
          <t>Sep</t>
        </is>
      </c>
      <c r="G3260" s="18">
        <f>IF(D3260&lt;C3260,D3260+1-C3260,D3260-C3260)*24</f>
        <v/>
      </c>
      <c r="H3260" s="18">
        <f>MAX(0,G3260-8)</f>
        <v/>
      </c>
    </row>
    <row r="3261">
      <c r="A3261" t="n">
        <v>1117</v>
      </c>
      <c r="B3261" s="14" t="n">
        <v>46290</v>
      </c>
      <c r="C3261" s="17" t="n">
        <v>0.9270833333333334</v>
      </c>
      <c r="D3261" s="17" t="n">
        <v>0.3020833333333333</v>
      </c>
      <c r="E3261" t="inlineStr">
        <is>
          <t>Night</t>
        </is>
      </c>
      <c r="F3261" t="inlineStr">
        <is>
          <t>Sep</t>
        </is>
      </c>
      <c r="G3261" s="18">
        <f>IF(D3261&lt;C3261,D3261+1-C3261,D3261-C3261)*24</f>
        <v/>
      </c>
      <c r="H3261" s="18">
        <f>MAX(0,G3261-8)</f>
        <v/>
      </c>
    </row>
    <row r="3262">
      <c r="A3262" t="n">
        <v>1118</v>
      </c>
      <c r="B3262" s="14" t="n">
        <v>46290</v>
      </c>
      <c r="C3262" s="17" t="n">
        <v>0.9166666666666666</v>
      </c>
      <c r="D3262" s="17" t="n">
        <v>0.3333333333333333</v>
      </c>
      <c r="E3262" t="inlineStr">
        <is>
          <t>Night</t>
        </is>
      </c>
      <c r="F3262" t="inlineStr">
        <is>
          <t>Sep</t>
        </is>
      </c>
      <c r="G3262" s="18">
        <f>IF(D3262&lt;C3262,D3262+1-C3262,D3262-C3262)*24</f>
        <v/>
      </c>
      <c r="H3262" s="18">
        <f>MAX(0,G3262-8)</f>
        <v/>
      </c>
    </row>
    <row r="3263">
      <c r="A3263" t="n">
        <v>1119</v>
      </c>
      <c r="B3263" s="14" t="n">
        <v>46290</v>
      </c>
      <c r="C3263" s="17" t="n">
        <v>0.9270833333333334</v>
      </c>
      <c r="D3263" s="17" t="n">
        <v>0.40625</v>
      </c>
      <c r="E3263" t="inlineStr">
        <is>
          <t>Night</t>
        </is>
      </c>
      <c r="F3263" t="inlineStr">
        <is>
          <t>Sep</t>
        </is>
      </c>
      <c r="G3263" s="18">
        <f>IF(D3263&lt;C3263,D3263+1-C3263,D3263-C3263)*24</f>
        <v/>
      </c>
      <c r="H3263" s="18">
        <f>MAX(0,G3263-8)</f>
        <v/>
      </c>
    </row>
    <row r="3264">
      <c r="A3264" t="n">
        <v>1120</v>
      </c>
      <c r="B3264" s="14" t="n">
        <v>46290</v>
      </c>
      <c r="C3264" s="17" t="n">
        <v>0.9166666666666666</v>
      </c>
      <c r="D3264" s="17" t="n">
        <v>0.2708333333333333</v>
      </c>
      <c r="E3264" t="inlineStr">
        <is>
          <t>Night</t>
        </is>
      </c>
      <c r="F3264" t="inlineStr">
        <is>
          <t>Sep</t>
        </is>
      </c>
      <c r="G3264" s="18">
        <f>IF(D3264&lt;C3264,D3264+1-C3264,D3264-C3264)*24</f>
        <v/>
      </c>
      <c r="H3264" s="18">
        <f>MAX(0,G3264-8)</f>
        <v/>
      </c>
    </row>
    <row r="3265">
      <c r="A3265" t="n">
        <v>1121</v>
      </c>
      <c r="B3265" s="14" t="n">
        <v>46290</v>
      </c>
      <c r="C3265" s="17" t="n">
        <v>0.9166666666666666</v>
      </c>
      <c r="D3265" s="17" t="n">
        <v>0.3541666666666667</v>
      </c>
      <c r="E3265" t="inlineStr">
        <is>
          <t>Night</t>
        </is>
      </c>
      <c r="F3265" t="inlineStr">
        <is>
          <t>Sep</t>
        </is>
      </c>
      <c r="G3265" s="18">
        <f>IF(D3265&lt;C3265,D3265+1-C3265,D3265-C3265)*24</f>
        <v/>
      </c>
      <c r="H3265" s="18">
        <f>MAX(0,G3265-8)</f>
        <v/>
      </c>
    </row>
    <row r="3266">
      <c r="A3266" t="n">
        <v>1122</v>
      </c>
      <c r="B3266" s="14" t="n">
        <v>46290</v>
      </c>
      <c r="C3266" s="17" t="n">
        <v>0.9166666666666666</v>
      </c>
      <c r="D3266" s="17" t="n">
        <v>0.3125</v>
      </c>
      <c r="E3266" t="inlineStr">
        <is>
          <t>Night</t>
        </is>
      </c>
      <c r="F3266" t="inlineStr">
        <is>
          <t>Sep</t>
        </is>
      </c>
      <c r="G3266" s="18">
        <f>IF(D3266&lt;C3266,D3266+1-C3266,D3266-C3266)*24</f>
        <v/>
      </c>
      <c r="H3266" s="18">
        <f>MAX(0,G3266-8)</f>
        <v/>
      </c>
    </row>
    <row r="3267">
      <c r="A3267" t="n">
        <v>1123</v>
      </c>
      <c r="B3267" s="14" t="n">
        <v>46290</v>
      </c>
      <c r="C3267" s="17" t="n">
        <v>0.9166666666666666</v>
      </c>
      <c r="D3267" s="17" t="n">
        <v>0.2916666666666667</v>
      </c>
      <c r="E3267" t="inlineStr">
        <is>
          <t>Night</t>
        </is>
      </c>
      <c r="F3267" t="inlineStr">
        <is>
          <t>Sep</t>
        </is>
      </c>
      <c r="G3267" s="18">
        <f>IF(D3267&lt;C3267,D3267+1-C3267,D3267-C3267)*24</f>
        <v/>
      </c>
      <c r="H3267" s="18">
        <f>MAX(0,G3267-8)</f>
        <v/>
      </c>
    </row>
    <row r="3268">
      <c r="A3268" t="n">
        <v>1126</v>
      </c>
      <c r="B3268" s="14" t="n">
        <v>46290</v>
      </c>
      <c r="C3268" s="17" t="n">
        <v>0.9166666666666666</v>
      </c>
      <c r="D3268" s="17" t="n">
        <v>0.3333333333333333</v>
      </c>
      <c r="E3268" t="inlineStr">
        <is>
          <t>Night</t>
        </is>
      </c>
      <c r="F3268" t="inlineStr">
        <is>
          <t>Sep</t>
        </is>
      </c>
      <c r="G3268" s="18">
        <f>IF(D3268&lt;C3268,D3268+1-C3268,D3268-C3268)*24</f>
        <v/>
      </c>
      <c r="H3268" s="18">
        <f>MAX(0,G3268-8)</f>
        <v/>
      </c>
    </row>
    <row r="3269">
      <c r="A3269" t="n">
        <v>1128</v>
      </c>
      <c r="B3269" s="14" t="n">
        <v>46290</v>
      </c>
      <c r="C3269" s="17" t="n">
        <v>0.9166666666666666</v>
      </c>
      <c r="D3269" s="17" t="n">
        <v>0.375</v>
      </c>
      <c r="E3269" t="inlineStr">
        <is>
          <t>Night</t>
        </is>
      </c>
      <c r="F3269" t="inlineStr">
        <is>
          <t>Sep</t>
        </is>
      </c>
      <c r="G3269" s="18">
        <f>IF(D3269&lt;C3269,D3269+1-C3269,D3269-C3269)*24</f>
        <v/>
      </c>
      <c r="H3269" s="18">
        <f>MAX(0,G3269-8)</f>
        <v/>
      </c>
    </row>
    <row r="3270">
      <c r="A3270" t="n">
        <v>1129</v>
      </c>
      <c r="B3270" s="14" t="n">
        <v>46290</v>
      </c>
      <c r="C3270" s="17" t="n">
        <v>0.9375</v>
      </c>
      <c r="D3270" s="17" t="n">
        <v>0.2708333333333333</v>
      </c>
      <c r="E3270" t="inlineStr">
        <is>
          <t>Night</t>
        </is>
      </c>
      <c r="F3270" t="inlineStr">
        <is>
          <t>Sep</t>
        </is>
      </c>
      <c r="G3270" s="18">
        <f>IF(D3270&lt;C3270,D3270+1-C3270,D3270-C3270)*24</f>
        <v/>
      </c>
      <c r="H3270" s="18">
        <f>MAX(0,G3270-8)</f>
        <v/>
      </c>
    </row>
    <row r="3271">
      <c r="A3271" t="n">
        <v>1130</v>
      </c>
      <c r="B3271" s="14" t="n">
        <v>46290</v>
      </c>
      <c r="C3271" s="17" t="n">
        <v>0.9166666666666666</v>
      </c>
      <c r="D3271" s="17" t="n">
        <v>0.3125</v>
      </c>
      <c r="E3271" t="inlineStr">
        <is>
          <t>Night</t>
        </is>
      </c>
      <c r="F3271" t="inlineStr">
        <is>
          <t>Sep</t>
        </is>
      </c>
      <c r="G3271" s="18">
        <f>IF(D3271&lt;C3271,D3271+1-C3271,D3271-C3271)*24</f>
        <v/>
      </c>
      <c r="H3271" s="18">
        <f>MAX(0,G3271-8)</f>
        <v/>
      </c>
    </row>
    <row r="3272">
      <c r="A3272" t="n">
        <v>1131</v>
      </c>
      <c r="B3272" s="14" t="n">
        <v>46290</v>
      </c>
      <c r="C3272" s="17" t="n">
        <v>0.9375</v>
      </c>
      <c r="D3272" s="17" t="n">
        <v>0.4166666666666667</v>
      </c>
      <c r="E3272" t="inlineStr">
        <is>
          <t>Night</t>
        </is>
      </c>
      <c r="F3272" t="inlineStr">
        <is>
          <t>Sep</t>
        </is>
      </c>
      <c r="G3272" s="18">
        <f>IF(D3272&lt;C3272,D3272+1-C3272,D3272-C3272)*24</f>
        <v/>
      </c>
      <c r="H3272" s="18">
        <f>MAX(0,G3272-8)</f>
        <v/>
      </c>
    </row>
    <row r="3273">
      <c r="A3273" t="n">
        <v>1132</v>
      </c>
      <c r="B3273" s="14" t="n">
        <v>46290</v>
      </c>
      <c r="C3273" s="17" t="n">
        <v>0.9375</v>
      </c>
      <c r="D3273" s="17" t="n">
        <v>0.2708333333333333</v>
      </c>
      <c r="E3273" t="inlineStr">
        <is>
          <t>Night</t>
        </is>
      </c>
      <c r="F3273" t="inlineStr">
        <is>
          <t>Sep</t>
        </is>
      </c>
      <c r="G3273" s="18">
        <f>IF(D3273&lt;C3273,D3273+1-C3273,D3273-C3273)*24</f>
        <v/>
      </c>
      <c r="H3273" s="18">
        <f>MAX(0,G3273-8)</f>
        <v/>
      </c>
    </row>
    <row r="3274">
      <c r="A3274" t="n">
        <v>1133</v>
      </c>
      <c r="B3274" s="14" t="n">
        <v>46290</v>
      </c>
      <c r="C3274" s="17" t="n">
        <v>0.9375</v>
      </c>
      <c r="D3274" s="17" t="n">
        <v>0.3125</v>
      </c>
      <c r="E3274" t="inlineStr">
        <is>
          <t>Night</t>
        </is>
      </c>
      <c r="F3274" t="inlineStr">
        <is>
          <t>Sep</t>
        </is>
      </c>
      <c r="G3274" s="18">
        <f>IF(D3274&lt;C3274,D3274+1-C3274,D3274-C3274)*24</f>
        <v/>
      </c>
      <c r="H3274" s="18">
        <f>MAX(0,G3274-8)</f>
        <v/>
      </c>
    </row>
    <row r="3275">
      <c r="A3275" t="n">
        <v>1134</v>
      </c>
      <c r="B3275" s="14" t="n">
        <v>46290</v>
      </c>
      <c r="C3275" s="17" t="n">
        <v>0.9166666666666666</v>
      </c>
      <c r="D3275" s="17" t="n">
        <v>0.25</v>
      </c>
      <c r="E3275" t="inlineStr">
        <is>
          <t>Night</t>
        </is>
      </c>
      <c r="F3275" t="inlineStr">
        <is>
          <t>Sep</t>
        </is>
      </c>
      <c r="G3275" s="18">
        <f>IF(D3275&lt;C3275,D3275+1-C3275,D3275-C3275)*24</f>
        <v/>
      </c>
      <c r="H3275" s="18">
        <f>MAX(0,G3275-8)</f>
        <v/>
      </c>
    </row>
    <row r="3276">
      <c r="A3276" t="n">
        <v>1135</v>
      </c>
      <c r="B3276" s="14" t="n">
        <v>46290</v>
      </c>
      <c r="C3276" s="17" t="n">
        <v>0.9270833333333334</v>
      </c>
      <c r="D3276" s="17" t="n">
        <v>0.3854166666666667</v>
      </c>
      <c r="E3276" t="inlineStr">
        <is>
          <t>Night</t>
        </is>
      </c>
      <c r="F3276" t="inlineStr">
        <is>
          <t>Sep</t>
        </is>
      </c>
      <c r="G3276" s="18">
        <f>IF(D3276&lt;C3276,D3276+1-C3276,D3276-C3276)*24</f>
        <v/>
      </c>
      <c r="H3276" s="18">
        <f>MAX(0,G3276-8)</f>
        <v/>
      </c>
    </row>
    <row r="3277">
      <c r="A3277" t="n">
        <v>1136</v>
      </c>
      <c r="B3277" s="14" t="n">
        <v>46290</v>
      </c>
      <c r="C3277" s="17" t="n">
        <v>0.9270833333333334</v>
      </c>
      <c r="D3277" s="17" t="n">
        <v>0.3854166666666667</v>
      </c>
      <c r="E3277" t="inlineStr">
        <is>
          <t>Night</t>
        </is>
      </c>
      <c r="F3277" t="inlineStr">
        <is>
          <t>Sep</t>
        </is>
      </c>
      <c r="G3277" s="18">
        <f>IF(D3277&lt;C3277,D3277+1-C3277,D3277-C3277)*24</f>
        <v/>
      </c>
      <c r="H3277" s="18">
        <f>MAX(0,G3277-8)</f>
        <v/>
      </c>
    </row>
    <row r="3278">
      <c r="A3278" t="n">
        <v>1137</v>
      </c>
      <c r="B3278" s="14" t="n">
        <v>46290</v>
      </c>
      <c r="C3278" s="17" t="n">
        <v>0.9166666666666666</v>
      </c>
      <c r="D3278" s="17" t="n">
        <v>0.3125</v>
      </c>
      <c r="E3278" t="inlineStr">
        <is>
          <t>Night</t>
        </is>
      </c>
      <c r="F3278" t="inlineStr">
        <is>
          <t>Sep</t>
        </is>
      </c>
      <c r="G3278" s="18">
        <f>IF(D3278&lt;C3278,D3278+1-C3278,D3278-C3278)*24</f>
        <v/>
      </c>
      <c r="H3278" s="18">
        <f>MAX(0,G3278-8)</f>
        <v/>
      </c>
    </row>
    <row r="3279">
      <c r="A3279" t="n">
        <v>1147</v>
      </c>
      <c r="B3279" s="14" t="n">
        <v>46290</v>
      </c>
      <c r="C3279" s="17" t="n">
        <v>0.9270833333333334</v>
      </c>
      <c r="D3279" s="17" t="n">
        <v>0.28125</v>
      </c>
      <c r="E3279" t="inlineStr">
        <is>
          <t>Night</t>
        </is>
      </c>
      <c r="F3279" t="inlineStr">
        <is>
          <t>Sep</t>
        </is>
      </c>
      <c r="G3279" s="18">
        <f>IF(D3279&lt;C3279,D3279+1-C3279,D3279-C3279)*24</f>
        <v/>
      </c>
      <c r="H3279" s="18">
        <f>MAX(0,G3279-8)</f>
        <v/>
      </c>
    </row>
    <row r="3280">
      <c r="A3280" t="n">
        <v>1112</v>
      </c>
      <c r="B3280" s="14" t="n">
        <v>46290</v>
      </c>
      <c r="C3280" s="17" t="n">
        <v>0.01041666666666667</v>
      </c>
      <c r="D3280" s="17" t="n">
        <v>0.34375</v>
      </c>
      <c r="E3280" t="inlineStr">
        <is>
          <t>Night</t>
        </is>
      </c>
      <c r="F3280" t="inlineStr">
        <is>
          <t>Sep</t>
        </is>
      </c>
      <c r="G3280" s="18">
        <f>IF(D3280&lt;C3280,D3280+1-C3280,D3280-C3280)*24</f>
        <v/>
      </c>
      <c r="H3280" s="18">
        <f>MAX(0,G3280-8)</f>
        <v/>
      </c>
    </row>
    <row r="3281">
      <c r="A3281" t="n">
        <v>1113</v>
      </c>
      <c r="B3281" s="14" t="n">
        <v>46290</v>
      </c>
      <c r="C3281" s="17" t="n">
        <v>0.01041666666666667</v>
      </c>
      <c r="D3281" s="17" t="n">
        <v>0.3854166666666667</v>
      </c>
      <c r="E3281" t="inlineStr">
        <is>
          <t>Night</t>
        </is>
      </c>
      <c r="F3281" t="inlineStr">
        <is>
          <t>Sep</t>
        </is>
      </c>
      <c r="G3281" s="18">
        <f>IF(D3281&lt;C3281,D3281+1-C3281,D3281-C3281)*24</f>
        <v/>
      </c>
      <c r="H3281" s="18">
        <f>MAX(0,G3281-8)</f>
        <v/>
      </c>
    </row>
    <row r="3282">
      <c r="A3282" t="n">
        <v>1115</v>
      </c>
      <c r="B3282" s="14" t="n">
        <v>46290</v>
      </c>
      <c r="C3282" s="17" t="n">
        <v>0.02083333333333333</v>
      </c>
      <c r="D3282" s="17" t="n">
        <v>0.4791666666666667</v>
      </c>
      <c r="E3282" t="inlineStr">
        <is>
          <t>Night</t>
        </is>
      </c>
      <c r="F3282" t="inlineStr">
        <is>
          <t>Sep</t>
        </is>
      </c>
      <c r="G3282" s="18">
        <f>IF(D3282&lt;C3282,D3282+1-C3282,D3282-C3282)*24</f>
        <v/>
      </c>
      <c r="H3282" s="18">
        <f>MAX(0,G3282-8)</f>
        <v/>
      </c>
    </row>
    <row r="3283">
      <c r="A3283" t="n">
        <v>1125</v>
      </c>
      <c r="B3283" s="14" t="n">
        <v>46290</v>
      </c>
      <c r="C3283" s="17" t="n">
        <v>0.02083333333333333</v>
      </c>
      <c r="D3283" s="17" t="n">
        <v>0.375</v>
      </c>
      <c r="E3283" t="inlineStr">
        <is>
          <t>Night</t>
        </is>
      </c>
      <c r="F3283" t="inlineStr">
        <is>
          <t>Sep</t>
        </is>
      </c>
      <c r="G3283" s="18">
        <f>IF(D3283&lt;C3283,D3283+1-C3283,D3283-C3283)*24</f>
        <v/>
      </c>
      <c r="H3283" s="18">
        <f>MAX(0,G3283-8)</f>
        <v/>
      </c>
    </row>
    <row r="3284">
      <c r="A3284" t="n">
        <v>1201</v>
      </c>
      <c r="B3284" s="14" t="n">
        <v>46290</v>
      </c>
      <c r="C3284" s="17" t="n">
        <v>0.2708333333333333</v>
      </c>
      <c r="D3284" s="17" t="n">
        <v>0.6875</v>
      </c>
      <c r="E3284" t="inlineStr">
        <is>
          <t>Day</t>
        </is>
      </c>
      <c r="F3284" t="inlineStr">
        <is>
          <t>Sep</t>
        </is>
      </c>
      <c r="G3284" s="18">
        <f>IF(D3284&lt;C3284,D3284+1-C3284,D3284-C3284)*24</f>
        <v/>
      </c>
      <c r="H3284" s="18">
        <f>MAX(0,G3284-8)</f>
        <v/>
      </c>
    </row>
    <row r="3285">
      <c r="A3285" t="n">
        <v>1203</v>
      </c>
      <c r="B3285" s="14" t="n">
        <v>46290</v>
      </c>
      <c r="C3285" s="17" t="n">
        <v>0.2708333333333333</v>
      </c>
      <c r="D3285" s="17" t="n">
        <v>0.625</v>
      </c>
      <c r="E3285" t="inlineStr">
        <is>
          <t>Day</t>
        </is>
      </c>
      <c r="F3285" t="inlineStr">
        <is>
          <t>Sep</t>
        </is>
      </c>
      <c r="G3285" s="18">
        <f>IF(D3285&lt;C3285,D3285+1-C3285,D3285-C3285)*24</f>
        <v/>
      </c>
      <c r="H3285" s="18">
        <f>MAX(0,G3285-8)</f>
        <v/>
      </c>
    </row>
    <row r="3286">
      <c r="A3286" t="n">
        <v>1204</v>
      </c>
      <c r="B3286" s="14" t="n">
        <v>46290</v>
      </c>
      <c r="C3286" s="17" t="n">
        <v>0.2708333333333333</v>
      </c>
      <c r="D3286" s="17" t="n">
        <v>0.6041666666666666</v>
      </c>
      <c r="E3286" t="inlineStr">
        <is>
          <t>Day</t>
        </is>
      </c>
      <c r="F3286" t="inlineStr">
        <is>
          <t>Sep</t>
        </is>
      </c>
      <c r="G3286" s="18">
        <f>IF(D3286&lt;C3286,D3286+1-C3286,D3286-C3286)*24</f>
        <v/>
      </c>
      <c r="H3286" s="18">
        <f>MAX(0,G3286-8)</f>
        <v/>
      </c>
    </row>
    <row r="3287">
      <c r="A3287" t="n">
        <v>1205</v>
      </c>
      <c r="B3287" s="14" t="n">
        <v>46290</v>
      </c>
      <c r="C3287" s="17" t="n">
        <v>0.25</v>
      </c>
      <c r="D3287" s="17" t="n">
        <v>0.5833333333333334</v>
      </c>
      <c r="E3287" t="inlineStr">
        <is>
          <t>Day</t>
        </is>
      </c>
      <c r="F3287" t="inlineStr">
        <is>
          <t>Sep</t>
        </is>
      </c>
      <c r="G3287" s="18">
        <f>IF(D3287&lt;C3287,D3287+1-C3287,D3287-C3287)*24</f>
        <v/>
      </c>
      <c r="H3287" s="18">
        <f>MAX(0,G3287-8)</f>
        <v/>
      </c>
    </row>
    <row r="3288">
      <c r="A3288" t="n">
        <v>1206</v>
      </c>
      <c r="B3288" s="14" t="n">
        <v>46290</v>
      </c>
      <c r="C3288" s="17" t="n">
        <v>0.2708333333333333</v>
      </c>
      <c r="D3288" s="17" t="n">
        <v>0.6458333333333334</v>
      </c>
      <c r="E3288" t="inlineStr">
        <is>
          <t>Day</t>
        </is>
      </c>
      <c r="F3288" t="inlineStr">
        <is>
          <t>Sep</t>
        </is>
      </c>
      <c r="G3288" s="18">
        <f>IF(D3288&lt;C3288,D3288+1-C3288,D3288-C3288)*24</f>
        <v/>
      </c>
      <c r="H3288" s="18">
        <f>MAX(0,G3288-8)</f>
        <v/>
      </c>
    </row>
    <row r="3289">
      <c r="A3289" t="n">
        <v>1207</v>
      </c>
      <c r="B3289" s="14" t="n">
        <v>46290</v>
      </c>
      <c r="C3289" s="17" t="n">
        <v>0.25</v>
      </c>
      <c r="D3289" s="17" t="n">
        <v>0.6666666666666666</v>
      </c>
      <c r="E3289" t="inlineStr">
        <is>
          <t>Day</t>
        </is>
      </c>
      <c r="F3289" t="inlineStr">
        <is>
          <t>Sep</t>
        </is>
      </c>
      <c r="G3289" s="18">
        <f>IF(D3289&lt;C3289,D3289+1-C3289,D3289-C3289)*24</f>
        <v/>
      </c>
      <c r="H3289" s="18">
        <f>MAX(0,G3289-8)</f>
        <v/>
      </c>
    </row>
    <row r="3290">
      <c r="A3290" t="n">
        <v>1208</v>
      </c>
      <c r="B3290" s="14" t="n">
        <v>46290</v>
      </c>
      <c r="C3290" s="17" t="n">
        <v>0.25</v>
      </c>
      <c r="D3290" s="17" t="n">
        <v>0.5833333333333334</v>
      </c>
      <c r="E3290" t="inlineStr">
        <is>
          <t>Day</t>
        </is>
      </c>
      <c r="F3290" t="inlineStr">
        <is>
          <t>Sep</t>
        </is>
      </c>
      <c r="G3290" s="18">
        <f>IF(D3290&lt;C3290,D3290+1-C3290,D3290-C3290)*24</f>
        <v/>
      </c>
      <c r="H3290" s="18">
        <f>MAX(0,G3290-8)</f>
        <v/>
      </c>
    </row>
    <row r="3291">
      <c r="A3291" t="n">
        <v>1209</v>
      </c>
      <c r="B3291" s="14" t="n">
        <v>46290</v>
      </c>
      <c r="C3291" s="17" t="n">
        <v>0.2708333333333333</v>
      </c>
      <c r="D3291" s="17" t="n">
        <v>0.6458333333333334</v>
      </c>
      <c r="E3291" t="inlineStr">
        <is>
          <t>Day</t>
        </is>
      </c>
      <c r="F3291" t="inlineStr">
        <is>
          <t>Sep</t>
        </is>
      </c>
      <c r="G3291" s="18">
        <f>IF(D3291&lt;C3291,D3291+1-C3291,D3291-C3291)*24</f>
        <v/>
      </c>
      <c r="H3291" s="18">
        <f>MAX(0,G3291-8)</f>
        <v/>
      </c>
    </row>
    <row r="3292">
      <c r="A3292" t="n">
        <v>1210</v>
      </c>
      <c r="B3292" s="14" t="n">
        <v>46290</v>
      </c>
      <c r="C3292" s="17" t="n">
        <v>0.25</v>
      </c>
      <c r="D3292" s="17" t="n">
        <v>0.5833333333333334</v>
      </c>
      <c r="E3292" t="inlineStr">
        <is>
          <t>Day</t>
        </is>
      </c>
      <c r="F3292" t="inlineStr">
        <is>
          <t>Sep</t>
        </is>
      </c>
      <c r="G3292" s="18">
        <f>IF(D3292&lt;C3292,D3292+1-C3292,D3292-C3292)*24</f>
        <v/>
      </c>
      <c r="H3292" s="18">
        <f>MAX(0,G3292-8)</f>
        <v/>
      </c>
    </row>
    <row r="3293">
      <c r="A3293" t="n">
        <v>1211</v>
      </c>
      <c r="B3293" s="14" t="n">
        <v>46290</v>
      </c>
      <c r="C3293" s="17" t="n">
        <v>0.25</v>
      </c>
      <c r="D3293" s="17" t="n">
        <v>0.6666666666666666</v>
      </c>
      <c r="E3293" t="inlineStr">
        <is>
          <t>Day</t>
        </is>
      </c>
      <c r="F3293" t="inlineStr">
        <is>
          <t>Sep</t>
        </is>
      </c>
      <c r="G3293" s="18">
        <f>IF(D3293&lt;C3293,D3293+1-C3293,D3293-C3293)*24</f>
        <v/>
      </c>
      <c r="H3293" s="18">
        <f>MAX(0,G3293-8)</f>
        <v/>
      </c>
    </row>
    <row r="3294">
      <c r="A3294" t="n">
        <v>1212</v>
      </c>
      <c r="B3294" s="14" t="n">
        <v>46290</v>
      </c>
      <c r="C3294" s="17" t="n">
        <v>0.25</v>
      </c>
      <c r="D3294" s="17" t="n">
        <v>0.6041666666666666</v>
      </c>
      <c r="E3294" t="inlineStr">
        <is>
          <t>Day</t>
        </is>
      </c>
      <c r="F3294" t="inlineStr">
        <is>
          <t>Sep</t>
        </is>
      </c>
      <c r="G3294" s="18">
        <f>IF(D3294&lt;C3294,D3294+1-C3294,D3294-C3294)*24</f>
        <v/>
      </c>
      <c r="H3294" s="18">
        <f>MAX(0,G3294-8)</f>
        <v/>
      </c>
    </row>
    <row r="3295">
      <c r="A3295" t="n">
        <v>1213</v>
      </c>
      <c r="B3295" s="14" t="n">
        <v>46290</v>
      </c>
      <c r="C3295" s="17" t="n">
        <v>0.25</v>
      </c>
      <c r="D3295" s="17" t="n">
        <v>0.625</v>
      </c>
      <c r="E3295" t="inlineStr">
        <is>
          <t>Day</t>
        </is>
      </c>
      <c r="F3295" t="inlineStr">
        <is>
          <t>Sep</t>
        </is>
      </c>
      <c r="G3295" s="18">
        <f>IF(D3295&lt;C3295,D3295+1-C3295,D3295-C3295)*24</f>
        <v/>
      </c>
      <c r="H3295" s="18">
        <f>MAX(0,G3295-8)</f>
        <v/>
      </c>
    </row>
    <row r="3296">
      <c r="A3296" t="n">
        <v>1214</v>
      </c>
      <c r="B3296" s="14" t="n">
        <v>46290</v>
      </c>
      <c r="C3296" s="17" t="n">
        <v>0.25</v>
      </c>
      <c r="D3296" s="17" t="n">
        <v>0.5833333333333334</v>
      </c>
      <c r="E3296" t="inlineStr">
        <is>
          <t>Day</t>
        </is>
      </c>
      <c r="F3296" t="inlineStr">
        <is>
          <t>Sep</t>
        </is>
      </c>
      <c r="G3296" s="18">
        <f>IF(D3296&lt;C3296,D3296+1-C3296,D3296-C3296)*24</f>
        <v/>
      </c>
      <c r="H3296" s="18">
        <f>MAX(0,G3296-8)</f>
        <v/>
      </c>
    </row>
    <row r="3297">
      <c r="A3297" t="n">
        <v>1215</v>
      </c>
      <c r="B3297" s="14" t="n">
        <v>46290</v>
      </c>
      <c r="C3297" s="17" t="n">
        <v>0.25</v>
      </c>
      <c r="D3297" s="17" t="n">
        <v>0.625</v>
      </c>
      <c r="E3297" t="inlineStr">
        <is>
          <t>Day</t>
        </is>
      </c>
      <c r="F3297" t="inlineStr">
        <is>
          <t>Sep</t>
        </is>
      </c>
      <c r="G3297" s="18">
        <f>IF(D3297&lt;C3297,D3297+1-C3297,D3297-C3297)*24</f>
        <v/>
      </c>
      <c r="H3297" s="18">
        <f>MAX(0,G3297-8)</f>
        <v/>
      </c>
    </row>
    <row r="3298">
      <c r="A3298" t="n">
        <v>1216</v>
      </c>
      <c r="B3298" s="14" t="n">
        <v>46290</v>
      </c>
      <c r="C3298" s="17" t="n">
        <v>0.2708333333333333</v>
      </c>
      <c r="D3298" s="17" t="n">
        <v>0.6458333333333334</v>
      </c>
      <c r="E3298" t="inlineStr">
        <is>
          <t>Day</t>
        </is>
      </c>
      <c r="F3298" t="inlineStr">
        <is>
          <t>Sep</t>
        </is>
      </c>
      <c r="G3298" s="18">
        <f>IF(D3298&lt;C3298,D3298+1-C3298,D3298-C3298)*24</f>
        <v/>
      </c>
      <c r="H3298" s="18">
        <f>MAX(0,G3298-8)</f>
        <v/>
      </c>
    </row>
    <row r="3299">
      <c r="A3299" t="n">
        <v>1217</v>
      </c>
      <c r="B3299" s="14" t="n">
        <v>46290</v>
      </c>
      <c r="C3299" s="17" t="n">
        <v>0.25</v>
      </c>
      <c r="D3299" s="17" t="n">
        <v>0.6666666666666666</v>
      </c>
      <c r="E3299" t="inlineStr">
        <is>
          <t>Day</t>
        </is>
      </c>
      <c r="F3299" t="inlineStr">
        <is>
          <t>Sep</t>
        </is>
      </c>
      <c r="G3299" s="18">
        <f>IF(D3299&lt;C3299,D3299+1-C3299,D3299-C3299)*24</f>
        <v/>
      </c>
      <c r="H3299" s="18">
        <f>MAX(0,G3299-8)</f>
        <v/>
      </c>
    </row>
    <row r="3300">
      <c r="A3300" t="n">
        <v>1218</v>
      </c>
      <c r="B3300" s="14" t="n">
        <v>46290</v>
      </c>
      <c r="C3300" s="17" t="n">
        <v>0.25</v>
      </c>
      <c r="D3300" s="17" t="n">
        <v>0.6666666666666666</v>
      </c>
      <c r="E3300" t="inlineStr">
        <is>
          <t>Day</t>
        </is>
      </c>
      <c r="F3300" t="inlineStr">
        <is>
          <t>Sep</t>
        </is>
      </c>
      <c r="G3300" s="18">
        <f>IF(D3300&lt;C3300,D3300+1-C3300,D3300-C3300)*24</f>
        <v/>
      </c>
      <c r="H3300" s="18">
        <f>MAX(0,G3300-8)</f>
        <v/>
      </c>
    </row>
    <row r="3301">
      <c r="A3301" t="n">
        <v>1219</v>
      </c>
      <c r="B3301" s="14" t="n">
        <v>46290</v>
      </c>
      <c r="C3301" s="17" t="n">
        <v>0.25</v>
      </c>
      <c r="D3301" s="17" t="n">
        <v>0.6041666666666666</v>
      </c>
      <c r="E3301" t="inlineStr">
        <is>
          <t>Day</t>
        </is>
      </c>
      <c r="F3301" t="inlineStr">
        <is>
          <t>Sep</t>
        </is>
      </c>
      <c r="G3301" s="18">
        <f>IF(D3301&lt;C3301,D3301+1-C3301,D3301-C3301)*24</f>
        <v/>
      </c>
      <c r="H3301" s="18">
        <f>MAX(0,G3301-8)</f>
        <v/>
      </c>
    </row>
    <row r="3302">
      <c r="A3302" t="n">
        <v>1220</v>
      </c>
      <c r="B3302" s="14" t="n">
        <v>46290</v>
      </c>
      <c r="C3302" s="17" t="n">
        <v>0.25</v>
      </c>
      <c r="D3302" s="17" t="n">
        <v>0.6041666666666666</v>
      </c>
      <c r="E3302" t="inlineStr">
        <is>
          <t>Day</t>
        </is>
      </c>
      <c r="F3302" t="inlineStr">
        <is>
          <t>Sep</t>
        </is>
      </c>
      <c r="G3302" s="18">
        <f>IF(D3302&lt;C3302,D3302+1-C3302,D3302-C3302)*24</f>
        <v/>
      </c>
      <c r="H3302" s="18">
        <f>MAX(0,G3302-8)</f>
        <v/>
      </c>
    </row>
    <row r="3303">
      <c r="A3303" t="n">
        <v>1101</v>
      </c>
      <c r="B3303" s="14" t="n">
        <v>46293</v>
      </c>
      <c r="C3303" s="17" t="n">
        <v>0.9166666666666666</v>
      </c>
      <c r="D3303" s="17" t="n">
        <v>0.2916666666666667</v>
      </c>
      <c r="E3303" t="inlineStr">
        <is>
          <t>Night</t>
        </is>
      </c>
      <c r="F3303" t="inlineStr">
        <is>
          <t>Sep</t>
        </is>
      </c>
      <c r="G3303" s="18">
        <f>IF(D3303&lt;C3303,D3303+1-C3303,D3303-C3303)*24</f>
        <v/>
      </c>
      <c r="H3303" s="18">
        <f>MAX(0,G3303-8)</f>
        <v/>
      </c>
    </row>
    <row r="3304">
      <c r="A3304" t="n">
        <v>1102</v>
      </c>
      <c r="B3304" s="14" t="n">
        <v>46293</v>
      </c>
      <c r="C3304" s="17" t="n">
        <v>0.9166666666666666</v>
      </c>
      <c r="D3304" s="17" t="n">
        <v>0.2708333333333333</v>
      </c>
      <c r="E3304" t="inlineStr">
        <is>
          <t>Night</t>
        </is>
      </c>
      <c r="F3304" t="inlineStr">
        <is>
          <t>Sep</t>
        </is>
      </c>
      <c r="G3304" s="18">
        <f>IF(D3304&lt;C3304,D3304+1-C3304,D3304-C3304)*24</f>
        <v/>
      </c>
      <c r="H3304" s="18">
        <f>MAX(0,G3304-8)</f>
        <v/>
      </c>
    </row>
    <row r="3305">
      <c r="A3305" t="n">
        <v>1104</v>
      </c>
      <c r="B3305" s="14" t="n">
        <v>46293</v>
      </c>
      <c r="C3305" s="17" t="n">
        <v>0.9166666666666666</v>
      </c>
      <c r="D3305" s="17" t="n">
        <v>0.25</v>
      </c>
      <c r="E3305" t="inlineStr">
        <is>
          <t>Night</t>
        </is>
      </c>
      <c r="F3305" t="inlineStr">
        <is>
          <t>Sep</t>
        </is>
      </c>
      <c r="G3305" s="18">
        <f>IF(D3305&lt;C3305,D3305+1-C3305,D3305-C3305)*24</f>
        <v/>
      </c>
      <c r="H3305" s="18">
        <f>MAX(0,G3305-8)</f>
        <v/>
      </c>
    </row>
    <row r="3306">
      <c r="A3306" t="n">
        <v>1106</v>
      </c>
      <c r="B3306" s="14" t="n">
        <v>46293</v>
      </c>
      <c r="C3306" s="17" t="n">
        <v>0.9166666666666666</v>
      </c>
      <c r="D3306" s="17" t="n">
        <v>0.2916666666666667</v>
      </c>
      <c r="E3306" t="inlineStr">
        <is>
          <t>Night</t>
        </is>
      </c>
      <c r="F3306" t="inlineStr">
        <is>
          <t>Sep</t>
        </is>
      </c>
      <c r="G3306" s="18">
        <f>IF(D3306&lt;C3306,D3306+1-C3306,D3306-C3306)*24</f>
        <v/>
      </c>
      <c r="H3306" s="18">
        <f>MAX(0,G3306-8)</f>
        <v/>
      </c>
    </row>
    <row r="3307">
      <c r="A3307" t="n">
        <v>1107</v>
      </c>
      <c r="B3307" s="14" t="n">
        <v>46293</v>
      </c>
      <c r="C3307" s="17" t="n">
        <v>0.9166666666666666</v>
      </c>
      <c r="D3307" s="17" t="n">
        <v>0.25</v>
      </c>
      <c r="E3307" t="inlineStr">
        <is>
          <t>Night</t>
        </is>
      </c>
      <c r="F3307" t="inlineStr">
        <is>
          <t>Sep</t>
        </is>
      </c>
      <c r="G3307" s="18">
        <f>IF(D3307&lt;C3307,D3307+1-C3307,D3307-C3307)*24</f>
        <v/>
      </c>
      <c r="H3307" s="18">
        <f>MAX(0,G3307-8)</f>
        <v/>
      </c>
    </row>
    <row r="3308">
      <c r="A3308" t="n">
        <v>1109</v>
      </c>
      <c r="B3308" s="14" t="n">
        <v>46293</v>
      </c>
      <c r="C3308" s="17" t="n">
        <v>0.9166666666666666</v>
      </c>
      <c r="D3308" s="17" t="n">
        <v>0.3333333333333333</v>
      </c>
      <c r="E3308" t="inlineStr">
        <is>
          <t>Night</t>
        </is>
      </c>
      <c r="F3308" t="inlineStr">
        <is>
          <t>Sep</t>
        </is>
      </c>
      <c r="G3308" s="18">
        <f>IF(D3308&lt;C3308,D3308+1-C3308,D3308-C3308)*24</f>
        <v/>
      </c>
      <c r="H3308" s="18">
        <f>MAX(0,G3308-8)</f>
        <v/>
      </c>
    </row>
    <row r="3309">
      <c r="A3309" t="n">
        <v>1110</v>
      </c>
      <c r="B3309" s="14" t="n">
        <v>46293</v>
      </c>
      <c r="C3309" s="17" t="n">
        <v>0.9270833333333334</v>
      </c>
      <c r="D3309" s="17" t="n">
        <v>0.3854166666666667</v>
      </c>
      <c r="E3309" t="inlineStr">
        <is>
          <t>Night</t>
        </is>
      </c>
      <c r="F3309" t="inlineStr">
        <is>
          <t>Sep</t>
        </is>
      </c>
      <c r="G3309" s="18">
        <f>IF(D3309&lt;C3309,D3309+1-C3309,D3309-C3309)*24</f>
        <v/>
      </c>
      <c r="H3309" s="18">
        <f>MAX(0,G3309-8)</f>
        <v/>
      </c>
    </row>
    <row r="3310">
      <c r="A3310" t="n">
        <v>1111</v>
      </c>
      <c r="B3310" s="14" t="n">
        <v>46293</v>
      </c>
      <c r="C3310" s="17" t="n">
        <v>0.9375</v>
      </c>
      <c r="D3310" s="17" t="n">
        <v>0.3333333333333333</v>
      </c>
      <c r="E3310" t="inlineStr">
        <is>
          <t>Night</t>
        </is>
      </c>
      <c r="F3310" t="inlineStr">
        <is>
          <t>Sep</t>
        </is>
      </c>
      <c r="G3310" s="18">
        <f>IF(D3310&lt;C3310,D3310+1-C3310,D3310-C3310)*24</f>
        <v/>
      </c>
      <c r="H3310" s="18">
        <f>MAX(0,G3310-8)</f>
        <v/>
      </c>
    </row>
    <row r="3311">
      <c r="A3311" t="n">
        <v>1112</v>
      </c>
      <c r="B3311" s="14" t="n">
        <v>46293</v>
      </c>
      <c r="C3311" s="17" t="n">
        <v>0.9375</v>
      </c>
      <c r="D3311" s="17" t="n">
        <v>0.2708333333333333</v>
      </c>
      <c r="E3311" t="inlineStr">
        <is>
          <t>Night</t>
        </is>
      </c>
      <c r="F3311" t="inlineStr">
        <is>
          <t>Sep</t>
        </is>
      </c>
      <c r="G3311" s="18">
        <f>IF(D3311&lt;C3311,D3311+1-C3311,D3311-C3311)*24</f>
        <v/>
      </c>
      <c r="H3311" s="18">
        <f>MAX(0,G3311-8)</f>
        <v/>
      </c>
    </row>
    <row r="3312">
      <c r="A3312" t="n">
        <v>1113</v>
      </c>
      <c r="B3312" s="14" t="n">
        <v>46293</v>
      </c>
      <c r="C3312" s="17" t="n">
        <v>0.9270833333333334</v>
      </c>
      <c r="D3312" s="17" t="n">
        <v>0.40625</v>
      </c>
      <c r="E3312" t="inlineStr">
        <is>
          <t>Night</t>
        </is>
      </c>
      <c r="F3312" t="inlineStr">
        <is>
          <t>Sep</t>
        </is>
      </c>
      <c r="G3312" s="18">
        <f>IF(D3312&lt;C3312,D3312+1-C3312,D3312-C3312)*24</f>
        <v/>
      </c>
      <c r="H3312" s="18">
        <f>MAX(0,G3312-8)</f>
        <v/>
      </c>
    </row>
    <row r="3313">
      <c r="A3313" t="n">
        <v>1114</v>
      </c>
      <c r="B3313" s="14" t="n">
        <v>46293</v>
      </c>
      <c r="C3313" s="17" t="n">
        <v>0.9166666666666666</v>
      </c>
      <c r="D3313" s="17" t="n">
        <v>0.3333333333333333</v>
      </c>
      <c r="E3313" t="inlineStr">
        <is>
          <t>Night</t>
        </is>
      </c>
      <c r="F3313" t="inlineStr">
        <is>
          <t>Sep</t>
        </is>
      </c>
      <c r="G3313" s="18">
        <f>IF(D3313&lt;C3313,D3313+1-C3313,D3313-C3313)*24</f>
        <v/>
      </c>
      <c r="H3313" s="18">
        <f>MAX(0,G3313-8)</f>
        <v/>
      </c>
    </row>
    <row r="3314">
      <c r="A3314" t="n">
        <v>1116</v>
      </c>
      <c r="B3314" s="14" t="n">
        <v>46293</v>
      </c>
      <c r="C3314" s="17" t="n">
        <v>0.9375</v>
      </c>
      <c r="D3314" s="17" t="n">
        <v>0.4166666666666667</v>
      </c>
      <c r="E3314" t="inlineStr">
        <is>
          <t>Night</t>
        </is>
      </c>
      <c r="F3314" t="inlineStr">
        <is>
          <t>Sep</t>
        </is>
      </c>
      <c r="G3314" s="18">
        <f>IF(D3314&lt;C3314,D3314+1-C3314,D3314-C3314)*24</f>
        <v/>
      </c>
      <c r="H3314" s="18">
        <f>MAX(0,G3314-8)</f>
        <v/>
      </c>
    </row>
    <row r="3315">
      <c r="A3315" t="n">
        <v>1118</v>
      </c>
      <c r="B3315" s="14" t="n">
        <v>46293</v>
      </c>
      <c r="C3315" s="17" t="n">
        <v>0.9166666666666666</v>
      </c>
      <c r="D3315" s="17" t="n">
        <v>0.2708333333333333</v>
      </c>
      <c r="E3315" t="inlineStr">
        <is>
          <t>Night</t>
        </is>
      </c>
      <c r="F3315" t="inlineStr">
        <is>
          <t>Sep</t>
        </is>
      </c>
      <c r="G3315" s="18">
        <f>IF(D3315&lt;C3315,D3315+1-C3315,D3315-C3315)*24</f>
        <v/>
      </c>
      <c r="H3315" s="18">
        <f>MAX(0,G3315-8)</f>
        <v/>
      </c>
    </row>
    <row r="3316">
      <c r="A3316" t="n">
        <v>1120</v>
      </c>
      <c r="B3316" s="14" t="n">
        <v>46293</v>
      </c>
      <c r="C3316" s="17" t="n">
        <v>0.9375</v>
      </c>
      <c r="D3316" s="17" t="n">
        <v>0.3958333333333333</v>
      </c>
      <c r="E3316" t="inlineStr">
        <is>
          <t>Night</t>
        </is>
      </c>
      <c r="F3316" t="inlineStr">
        <is>
          <t>Sep</t>
        </is>
      </c>
      <c r="G3316" s="18">
        <f>IF(D3316&lt;C3316,D3316+1-C3316,D3316-C3316)*24</f>
        <v/>
      </c>
      <c r="H3316" s="18">
        <f>MAX(0,G3316-8)</f>
        <v/>
      </c>
    </row>
    <row r="3317">
      <c r="A3317" t="n">
        <v>1121</v>
      </c>
      <c r="B3317" s="14" t="n">
        <v>46293</v>
      </c>
      <c r="C3317" s="17" t="n">
        <v>0.9270833333333334</v>
      </c>
      <c r="D3317" s="17" t="n">
        <v>0.3229166666666667</v>
      </c>
      <c r="E3317" t="inlineStr">
        <is>
          <t>Night</t>
        </is>
      </c>
      <c r="F3317" t="inlineStr">
        <is>
          <t>Sep</t>
        </is>
      </c>
      <c r="G3317" s="18">
        <f>IF(D3317&lt;C3317,D3317+1-C3317,D3317-C3317)*24</f>
        <v/>
      </c>
      <c r="H3317" s="18">
        <f>MAX(0,G3317-8)</f>
        <v/>
      </c>
    </row>
    <row r="3318">
      <c r="A3318" t="n">
        <v>1122</v>
      </c>
      <c r="B3318" s="14" t="n">
        <v>46293</v>
      </c>
      <c r="C3318" s="17" t="n">
        <v>0.9166666666666666</v>
      </c>
      <c r="D3318" s="17" t="n">
        <v>0.3958333333333333</v>
      </c>
      <c r="E3318" t="inlineStr">
        <is>
          <t>Night</t>
        </is>
      </c>
      <c r="F3318" t="inlineStr">
        <is>
          <t>Sep</t>
        </is>
      </c>
      <c r="G3318" s="18">
        <f>IF(D3318&lt;C3318,D3318+1-C3318,D3318-C3318)*24</f>
        <v/>
      </c>
      <c r="H3318" s="18">
        <f>MAX(0,G3318-8)</f>
        <v/>
      </c>
    </row>
    <row r="3319">
      <c r="A3319" t="n">
        <v>1123</v>
      </c>
      <c r="B3319" s="14" t="n">
        <v>46293</v>
      </c>
      <c r="C3319" s="17" t="n">
        <v>0.9166666666666666</v>
      </c>
      <c r="D3319" s="17" t="n">
        <v>0.375</v>
      </c>
      <c r="E3319" t="inlineStr">
        <is>
          <t>Night</t>
        </is>
      </c>
      <c r="F3319" t="inlineStr">
        <is>
          <t>Sep</t>
        </is>
      </c>
      <c r="G3319" s="18">
        <f>IF(D3319&lt;C3319,D3319+1-C3319,D3319-C3319)*24</f>
        <v/>
      </c>
      <c r="H3319" s="18">
        <f>MAX(0,G3319-8)</f>
        <v/>
      </c>
    </row>
    <row r="3320">
      <c r="A3320" t="n">
        <v>1124</v>
      </c>
      <c r="B3320" s="14" t="n">
        <v>46293</v>
      </c>
      <c r="C3320" s="17" t="n">
        <v>0.9270833333333334</v>
      </c>
      <c r="D3320" s="17" t="n">
        <v>0.3229166666666667</v>
      </c>
      <c r="E3320" t="inlineStr">
        <is>
          <t>Night</t>
        </is>
      </c>
      <c r="F3320" t="inlineStr">
        <is>
          <t>Sep</t>
        </is>
      </c>
      <c r="G3320" s="18">
        <f>IF(D3320&lt;C3320,D3320+1-C3320,D3320-C3320)*24</f>
        <v/>
      </c>
      <c r="H3320" s="18">
        <f>MAX(0,G3320-8)</f>
        <v/>
      </c>
    </row>
    <row r="3321">
      <c r="A3321" t="n">
        <v>1125</v>
      </c>
      <c r="B3321" s="14" t="n">
        <v>46293</v>
      </c>
      <c r="C3321" s="17" t="n">
        <v>0.9166666666666666</v>
      </c>
      <c r="D3321" s="17" t="n">
        <v>0.25</v>
      </c>
      <c r="E3321" t="inlineStr">
        <is>
          <t>Night</t>
        </is>
      </c>
      <c r="F3321" t="inlineStr">
        <is>
          <t>Sep</t>
        </is>
      </c>
      <c r="G3321" s="18">
        <f>IF(D3321&lt;C3321,D3321+1-C3321,D3321-C3321)*24</f>
        <v/>
      </c>
      <c r="H3321" s="18">
        <f>MAX(0,G3321-8)</f>
        <v/>
      </c>
    </row>
    <row r="3322">
      <c r="A3322" t="n">
        <v>1126</v>
      </c>
      <c r="B3322" s="14" t="n">
        <v>46293</v>
      </c>
      <c r="C3322" s="17" t="n">
        <v>0.9270833333333334</v>
      </c>
      <c r="D3322" s="17" t="n">
        <v>0.2604166666666667</v>
      </c>
      <c r="E3322" t="inlineStr">
        <is>
          <t>Night</t>
        </is>
      </c>
      <c r="F3322" t="inlineStr">
        <is>
          <t>Sep</t>
        </is>
      </c>
      <c r="G3322" s="18">
        <f>IF(D3322&lt;C3322,D3322+1-C3322,D3322-C3322)*24</f>
        <v/>
      </c>
      <c r="H3322" s="18">
        <f>MAX(0,G3322-8)</f>
        <v/>
      </c>
    </row>
    <row r="3323">
      <c r="A3323" t="n">
        <v>1127</v>
      </c>
      <c r="B3323" s="14" t="n">
        <v>46293</v>
      </c>
      <c r="C3323" s="17" t="n">
        <v>0.9270833333333334</v>
      </c>
      <c r="D3323" s="17" t="n">
        <v>0.40625</v>
      </c>
      <c r="E3323" t="inlineStr">
        <is>
          <t>Night</t>
        </is>
      </c>
      <c r="F3323" t="inlineStr">
        <is>
          <t>Sep</t>
        </is>
      </c>
      <c r="G3323" s="18">
        <f>IF(D3323&lt;C3323,D3323+1-C3323,D3323-C3323)*24</f>
        <v/>
      </c>
      <c r="H3323" s="18">
        <f>MAX(0,G3323-8)</f>
        <v/>
      </c>
    </row>
    <row r="3324">
      <c r="A3324" t="n">
        <v>1128</v>
      </c>
      <c r="B3324" s="14" t="n">
        <v>46293</v>
      </c>
      <c r="C3324" s="17" t="n">
        <v>0.9166666666666666</v>
      </c>
      <c r="D3324" s="17" t="n">
        <v>0.375</v>
      </c>
      <c r="E3324" t="inlineStr">
        <is>
          <t>Night</t>
        </is>
      </c>
      <c r="F3324" t="inlineStr">
        <is>
          <t>Sep</t>
        </is>
      </c>
      <c r="G3324" s="18">
        <f>IF(D3324&lt;C3324,D3324+1-C3324,D3324-C3324)*24</f>
        <v/>
      </c>
      <c r="H3324" s="18">
        <f>MAX(0,G3324-8)</f>
        <v/>
      </c>
    </row>
    <row r="3325">
      <c r="A3325" t="n">
        <v>1129</v>
      </c>
      <c r="B3325" s="14" t="n">
        <v>46293</v>
      </c>
      <c r="C3325" s="17" t="n">
        <v>0.9166666666666666</v>
      </c>
      <c r="D3325" s="17" t="n">
        <v>0.3125</v>
      </c>
      <c r="E3325" t="inlineStr">
        <is>
          <t>Night</t>
        </is>
      </c>
      <c r="F3325" t="inlineStr">
        <is>
          <t>Sep</t>
        </is>
      </c>
      <c r="G3325" s="18">
        <f>IF(D3325&lt;C3325,D3325+1-C3325,D3325-C3325)*24</f>
        <v/>
      </c>
      <c r="H3325" s="18">
        <f>MAX(0,G3325-8)</f>
        <v/>
      </c>
    </row>
    <row r="3326">
      <c r="A3326" t="n">
        <v>1130</v>
      </c>
      <c r="B3326" s="14" t="n">
        <v>46293</v>
      </c>
      <c r="C3326" s="17" t="n">
        <v>0.9166666666666666</v>
      </c>
      <c r="D3326" s="17" t="n">
        <v>0.3958333333333333</v>
      </c>
      <c r="E3326" t="inlineStr">
        <is>
          <t>Night</t>
        </is>
      </c>
      <c r="F3326" t="inlineStr">
        <is>
          <t>Sep</t>
        </is>
      </c>
      <c r="G3326" s="18">
        <f>IF(D3326&lt;C3326,D3326+1-C3326,D3326-C3326)*24</f>
        <v/>
      </c>
      <c r="H3326" s="18">
        <f>MAX(0,G3326-8)</f>
        <v/>
      </c>
    </row>
    <row r="3327">
      <c r="A3327" t="n">
        <v>1131</v>
      </c>
      <c r="B3327" s="14" t="n">
        <v>46293</v>
      </c>
      <c r="C3327" s="17" t="n">
        <v>0.9166666666666666</v>
      </c>
      <c r="D3327" s="17" t="n">
        <v>0.2916666666666667</v>
      </c>
      <c r="E3327" t="inlineStr">
        <is>
          <t>Night</t>
        </is>
      </c>
      <c r="F3327" t="inlineStr">
        <is>
          <t>Sep</t>
        </is>
      </c>
      <c r="G3327" s="18">
        <f>IF(D3327&lt;C3327,D3327+1-C3327,D3327-C3327)*24</f>
        <v/>
      </c>
      <c r="H3327" s="18">
        <f>MAX(0,G3327-8)</f>
        <v/>
      </c>
    </row>
    <row r="3328">
      <c r="A3328" t="n">
        <v>1132</v>
      </c>
      <c r="B3328" s="14" t="n">
        <v>46293</v>
      </c>
      <c r="C3328" s="17" t="n">
        <v>0.9166666666666666</v>
      </c>
      <c r="D3328" s="17" t="n">
        <v>0.25</v>
      </c>
      <c r="E3328" t="inlineStr">
        <is>
          <t>Night</t>
        </is>
      </c>
      <c r="F3328" t="inlineStr">
        <is>
          <t>Sep</t>
        </is>
      </c>
      <c r="G3328" s="18">
        <f>IF(D3328&lt;C3328,D3328+1-C3328,D3328-C3328)*24</f>
        <v/>
      </c>
      <c r="H3328" s="18">
        <f>MAX(0,G3328-8)</f>
        <v/>
      </c>
    </row>
    <row r="3329">
      <c r="A3329" t="n">
        <v>1133</v>
      </c>
      <c r="B3329" s="14" t="n">
        <v>46293</v>
      </c>
      <c r="C3329" s="17" t="n">
        <v>0.9166666666666666</v>
      </c>
      <c r="D3329" s="17" t="n">
        <v>0.375</v>
      </c>
      <c r="E3329" t="inlineStr">
        <is>
          <t>Night</t>
        </is>
      </c>
      <c r="F3329" t="inlineStr">
        <is>
          <t>Sep</t>
        </is>
      </c>
      <c r="G3329" s="18">
        <f>IF(D3329&lt;C3329,D3329+1-C3329,D3329-C3329)*24</f>
        <v/>
      </c>
      <c r="H3329" s="18">
        <f>MAX(0,G3329-8)</f>
        <v/>
      </c>
    </row>
    <row r="3330">
      <c r="A3330" t="n">
        <v>1134</v>
      </c>
      <c r="B3330" s="14" t="n">
        <v>46293</v>
      </c>
      <c r="C3330" s="17" t="n">
        <v>0.9166666666666666</v>
      </c>
      <c r="D3330" s="17" t="n">
        <v>0.3333333333333333</v>
      </c>
      <c r="E3330" t="inlineStr">
        <is>
          <t>Night</t>
        </is>
      </c>
      <c r="F3330" t="inlineStr">
        <is>
          <t>Sep</t>
        </is>
      </c>
      <c r="G3330" s="18">
        <f>IF(D3330&lt;C3330,D3330+1-C3330,D3330-C3330)*24</f>
        <v/>
      </c>
      <c r="H3330" s="18">
        <f>MAX(0,G3330-8)</f>
        <v/>
      </c>
    </row>
    <row r="3331">
      <c r="A3331" t="n">
        <v>1135</v>
      </c>
      <c r="B3331" s="14" t="n">
        <v>46293</v>
      </c>
      <c r="C3331" s="17" t="n">
        <v>0.9375</v>
      </c>
      <c r="D3331" s="17" t="n">
        <v>0.2708333333333333</v>
      </c>
      <c r="E3331" t="inlineStr">
        <is>
          <t>Night</t>
        </is>
      </c>
      <c r="F3331" t="inlineStr">
        <is>
          <t>Sep</t>
        </is>
      </c>
      <c r="G3331" s="18">
        <f>IF(D3331&lt;C3331,D3331+1-C3331,D3331-C3331)*24</f>
        <v/>
      </c>
      <c r="H3331" s="18">
        <f>MAX(0,G3331-8)</f>
        <v/>
      </c>
    </row>
    <row r="3332">
      <c r="A3332" t="n">
        <v>1137</v>
      </c>
      <c r="B3332" s="14" t="n">
        <v>46293</v>
      </c>
      <c r="C3332" s="17" t="n">
        <v>0.9166666666666666</v>
      </c>
      <c r="D3332" s="17" t="n">
        <v>0.3125</v>
      </c>
      <c r="E3332" t="inlineStr">
        <is>
          <t>Night</t>
        </is>
      </c>
      <c r="F3332" t="inlineStr">
        <is>
          <t>Sep</t>
        </is>
      </c>
      <c r="G3332" s="18">
        <f>IF(D3332&lt;C3332,D3332+1-C3332,D3332-C3332)*24</f>
        <v/>
      </c>
      <c r="H3332" s="18">
        <f>MAX(0,G3332-8)</f>
        <v/>
      </c>
    </row>
    <row r="3333">
      <c r="A3333" t="n">
        <v>1147</v>
      </c>
      <c r="B3333" s="14" t="n">
        <v>46293</v>
      </c>
      <c r="C3333" s="17" t="n">
        <v>0.9166666666666666</v>
      </c>
      <c r="D3333" s="17" t="n">
        <v>0.3958333333333333</v>
      </c>
      <c r="E3333" t="inlineStr">
        <is>
          <t>Night</t>
        </is>
      </c>
      <c r="F3333" t="inlineStr">
        <is>
          <t>Sep</t>
        </is>
      </c>
      <c r="G3333" s="18">
        <f>IF(D3333&lt;C3333,D3333+1-C3333,D3333-C3333)*24</f>
        <v/>
      </c>
      <c r="H3333" s="18">
        <f>MAX(0,G3333-8)</f>
        <v/>
      </c>
    </row>
    <row r="3334">
      <c r="A3334" t="n">
        <v>1103</v>
      </c>
      <c r="B3334" s="14" t="n">
        <v>46293</v>
      </c>
      <c r="C3334" s="17" t="n">
        <v>0.02083333333333333</v>
      </c>
      <c r="D3334" s="17" t="n">
        <v>0.3958333333333333</v>
      </c>
      <c r="E3334" t="inlineStr">
        <is>
          <t>Night</t>
        </is>
      </c>
      <c r="F3334" t="inlineStr">
        <is>
          <t>Sep</t>
        </is>
      </c>
      <c r="G3334" s="18">
        <f>IF(D3334&lt;C3334,D3334+1-C3334,D3334-C3334)*24</f>
        <v/>
      </c>
      <c r="H3334" s="18">
        <f>MAX(0,G3334-8)</f>
        <v/>
      </c>
    </row>
    <row r="3335">
      <c r="A3335" t="n">
        <v>1108</v>
      </c>
      <c r="B3335" s="14" t="n">
        <v>46293</v>
      </c>
      <c r="C3335" s="17" t="n">
        <v>0.02083333333333333</v>
      </c>
      <c r="D3335" s="17" t="n">
        <v>0.4583333333333333</v>
      </c>
      <c r="E3335" t="inlineStr">
        <is>
          <t>Night</t>
        </is>
      </c>
      <c r="F3335" t="inlineStr">
        <is>
          <t>Sep</t>
        </is>
      </c>
      <c r="G3335" s="18">
        <f>IF(D3335&lt;C3335,D3335+1-C3335,D3335-C3335)*24</f>
        <v/>
      </c>
      <c r="H3335" s="18">
        <f>MAX(0,G3335-8)</f>
        <v/>
      </c>
    </row>
    <row r="3336">
      <c r="A3336" t="n">
        <v>1115</v>
      </c>
      <c r="B3336" s="14" t="n">
        <v>46293</v>
      </c>
      <c r="C3336" s="17" t="n">
        <v>0.02083333333333333</v>
      </c>
      <c r="D3336" s="17" t="n">
        <v>0.4375</v>
      </c>
      <c r="E3336" t="inlineStr">
        <is>
          <t>Night</t>
        </is>
      </c>
      <c r="F3336" t="inlineStr">
        <is>
          <t>Sep</t>
        </is>
      </c>
      <c r="G3336" s="18">
        <f>IF(D3336&lt;C3336,D3336+1-C3336,D3336-C3336)*24</f>
        <v/>
      </c>
      <c r="H3336" s="18">
        <f>MAX(0,G3336-8)</f>
        <v/>
      </c>
    </row>
    <row r="3337">
      <c r="A3337" t="n">
        <v>1201</v>
      </c>
      <c r="B3337" s="14" t="n">
        <v>46293</v>
      </c>
      <c r="C3337" s="17" t="n">
        <v>0.25</v>
      </c>
      <c r="D3337" s="17" t="n">
        <v>0.5833333333333334</v>
      </c>
      <c r="E3337" t="inlineStr">
        <is>
          <t>Day</t>
        </is>
      </c>
      <c r="F3337" t="inlineStr">
        <is>
          <t>Sep</t>
        </is>
      </c>
      <c r="G3337" s="18">
        <f>IF(D3337&lt;C3337,D3337+1-C3337,D3337-C3337)*24</f>
        <v/>
      </c>
      <c r="H3337" s="18">
        <f>MAX(0,G3337-8)</f>
        <v/>
      </c>
    </row>
    <row r="3338">
      <c r="A3338" t="n">
        <v>1203</v>
      </c>
      <c r="B3338" s="14" t="n">
        <v>46293</v>
      </c>
      <c r="C3338" s="17" t="n">
        <v>0.25</v>
      </c>
      <c r="D3338" s="17" t="n">
        <v>0.625</v>
      </c>
      <c r="E3338" t="inlineStr">
        <is>
          <t>Day</t>
        </is>
      </c>
      <c r="F3338" t="inlineStr">
        <is>
          <t>Sep</t>
        </is>
      </c>
      <c r="G3338" s="18">
        <f>IF(D3338&lt;C3338,D3338+1-C3338,D3338-C3338)*24</f>
        <v/>
      </c>
      <c r="H3338" s="18">
        <f>MAX(0,G3338-8)</f>
        <v/>
      </c>
    </row>
    <row r="3339">
      <c r="A3339" t="n">
        <v>1205</v>
      </c>
      <c r="B3339" s="14" t="n">
        <v>46293</v>
      </c>
      <c r="C3339" s="17" t="n">
        <v>0.2708333333333333</v>
      </c>
      <c r="D3339" s="17" t="n">
        <v>0.6875</v>
      </c>
      <c r="E3339" t="inlineStr">
        <is>
          <t>Day</t>
        </is>
      </c>
      <c r="F3339" t="inlineStr">
        <is>
          <t>Sep</t>
        </is>
      </c>
      <c r="G3339" s="18">
        <f>IF(D3339&lt;C3339,D3339+1-C3339,D3339-C3339)*24</f>
        <v/>
      </c>
      <c r="H3339" s="18">
        <f>MAX(0,G3339-8)</f>
        <v/>
      </c>
    </row>
    <row r="3340">
      <c r="A3340" t="n">
        <v>1206</v>
      </c>
      <c r="B3340" s="14" t="n">
        <v>46293</v>
      </c>
      <c r="C3340" s="17" t="n">
        <v>0.2708333333333333</v>
      </c>
      <c r="D3340" s="17" t="n">
        <v>0.6875</v>
      </c>
      <c r="E3340" t="inlineStr">
        <is>
          <t>Day</t>
        </is>
      </c>
      <c r="F3340" t="inlineStr">
        <is>
          <t>Sep</t>
        </is>
      </c>
      <c r="G3340" s="18">
        <f>IF(D3340&lt;C3340,D3340+1-C3340,D3340-C3340)*24</f>
        <v/>
      </c>
      <c r="H3340" s="18">
        <f>MAX(0,G3340-8)</f>
        <v/>
      </c>
    </row>
    <row r="3341">
      <c r="A3341" t="n">
        <v>1207</v>
      </c>
      <c r="B3341" s="14" t="n">
        <v>46293</v>
      </c>
      <c r="C3341" s="17" t="n">
        <v>0.25</v>
      </c>
      <c r="D3341" s="17" t="n">
        <v>0.5833333333333334</v>
      </c>
      <c r="E3341" t="inlineStr">
        <is>
          <t>Day</t>
        </is>
      </c>
      <c r="F3341" t="inlineStr">
        <is>
          <t>Sep</t>
        </is>
      </c>
      <c r="G3341" s="18">
        <f>IF(D3341&lt;C3341,D3341+1-C3341,D3341-C3341)*24</f>
        <v/>
      </c>
      <c r="H3341" s="18">
        <f>MAX(0,G3341-8)</f>
        <v/>
      </c>
    </row>
    <row r="3342">
      <c r="A3342" t="n">
        <v>1208</v>
      </c>
      <c r="B3342" s="14" t="n">
        <v>46293</v>
      </c>
      <c r="C3342" s="17" t="n">
        <v>0.25</v>
      </c>
      <c r="D3342" s="17" t="n">
        <v>0.625</v>
      </c>
      <c r="E3342" t="inlineStr">
        <is>
          <t>Day</t>
        </is>
      </c>
      <c r="F3342" t="inlineStr">
        <is>
          <t>Sep</t>
        </is>
      </c>
      <c r="G3342" s="18">
        <f>IF(D3342&lt;C3342,D3342+1-C3342,D3342-C3342)*24</f>
        <v/>
      </c>
      <c r="H3342" s="18">
        <f>MAX(0,G3342-8)</f>
        <v/>
      </c>
    </row>
    <row r="3343">
      <c r="A3343" t="n">
        <v>1209</v>
      </c>
      <c r="B3343" s="14" t="n">
        <v>46293</v>
      </c>
      <c r="C3343" s="17" t="n">
        <v>0.2708333333333333</v>
      </c>
      <c r="D3343" s="17" t="n">
        <v>0.6041666666666666</v>
      </c>
      <c r="E3343" t="inlineStr">
        <is>
          <t>Day</t>
        </is>
      </c>
      <c r="F3343" t="inlineStr">
        <is>
          <t>Sep</t>
        </is>
      </c>
      <c r="G3343" s="18">
        <f>IF(D3343&lt;C3343,D3343+1-C3343,D3343-C3343)*24</f>
        <v/>
      </c>
      <c r="H3343" s="18">
        <f>MAX(0,G3343-8)</f>
        <v/>
      </c>
    </row>
    <row r="3344">
      <c r="A3344" t="n">
        <v>1210</v>
      </c>
      <c r="B3344" s="14" t="n">
        <v>46293</v>
      </c>
      <c r="C3344" s="17" t="n">
        <v>0.25</v>
      </c>
      <c r="D3344" s="17" t="n">
        <v>0.5833333333333334</v>
      </c>
      <c r="E3344" t="inlineStr">
        <is>
          <t>Day</t>
        </is>
      </c>
      <c r="F3344" t="inlineStr">
        <is>
          <t>Sep</t>
        </is>
      </c>
      <c r="G3344" s="18">
        <f>IF(D3344&lt;C3344,D3344+1-C3344,D3344-C3344)*24</f>
        <v/>
      </c>
      <c r="H3344" s="18">
        <f>MAX(0,G3344-8)</f>
        <v/>
      </c>
    </row>
    <row r="3345">
      <c r="A3345" t="n">
        <v>1212</v>
      </c>
      <c r="B3345" s="14" t="n">
        <v>46293</v>
      </c>
      <c r="C3345" s="17" t="n">
        <v>0.2708333333333333</v>
      </c>
      <c r="D3345" s="17" t="n">
        <v>0.6875</v>
      </c>
      <c r="E3345" t="inlineStr">
        <is>
          <t>Day</t>
        </is>
      </c>
      <c r="F3345" t="inlineStr">
        <is>
          <t>Sep</t>
        </is>
      </c>
      <c r="G3345" s="18">
        <f>IF(D3345&lt;C3345,D3345+1-C3345,D3345-C3345)*24</f>
        <v/>
      </c>
      <c r="H3345" s="18">
        <f>MAX(0,G3345-8)</f>
        <v/>
      </c>
    </row>
    <row r="3346">
      <c r="A3346" t="n">
        <v>1214</v>
      </c>
      <c r="B3346" s="14" t="n">
        <v>46293</v>
      </c>
      <c r="C3346" s="17" t="n">
        <v>0.2708333333333333</v>
      </c>
      <c r="D3346" s="17" t="n">
        <v>0.6041666666666666</v>
      </c>
      <c r="E3346" t="inlineStr">
        <is>
          <t>Day</t>
        </is>
      </c>
      <c r="F3346" t="inlineStr">
        <is>
          <t>Sep</t>
        </is>
      </c>
      <c r="G3346" s="18">
        <f>IF(D3346&lt;C3346,D3346+1-C3346,D3346-C3346)*24</f>
        <v/>
      </c>
      <c r="H3346" s="18">
        <f>MAX(0,G3346-8)</f>
        <v/>
      </c>
    </row>
    <row r="3347">
      <c r="A3347" t="n">
        <v>1216</v>
      </c>
      <c r="B3347" s="14" t="n">
        <v>46293</v>
      </c>
      <c r="C3347" s="17" t="n">
        <v>0.25</v>
      </c>
      <c r="D3347" s="17" t="n">
        <v>0.5833333333333334</v>
      </c>
      <c r="E3347" t="inlineStr">
        <is>
          <t>Day</t>
        </is>
      </c>
      <c r="F3347" t="inlineStr">
        <is>
          <t>Sep</t>
        </is>
      </c>
      <c r="G3347" s="18">
        <f>IF(D3347&lt;C3347,D3347+1-C3347,D3347-C3347)*24</f>
        <v/>
      </c>
      <c r="H3347" s="18">
        <f>MAX(0,G3347-8)</f>
        <v/>
      </c>
    </row>
    <row r="3348">
      <c r="A3348" t="n">
        <v>1217</v>
      </c>
      <c r="B3348" s="14" t="n">
        <v>46293</v>
      </c>
      <c r="C3348" s="17" t="n">
        <v>0.2708333333333333</v>
      </c>
      <c r="D3348" s="17" t="n">
        <v>0.6041666666666666</v>
      </c>
      <c r="E3348" t="inlineStr">
        <is>
          <t>Day</t>
        </is>
      </c>
      <c r="F3348" t="inlineStr">
        <is>
          <t>Sep</t>
        </is>
      </c>
      <c r="G3348" s="18">
        <f>IF(D3348&lt;C3348,D3348+1-C3348,D3348-C3348)*24</f>
        <v/>
      </c>
      <c r="H3348" s="18">
        <f>MAX(0,G3348-8)</f>
        <v/>
      </c>
    </row>
    <row r="3349">
      <c r="A3349" t="n">
        <v>1218</v>
      </c>
      <c r="B3349" s="14" t="n">
        <v>46293</v>
      </c>
      <c r="C3349" s="17" t="n">
        <v>0.25</v>
      </c>
      <c r="D3349" s="17" t="n">
        <v>0.6666666666666666</v>
      </c>
      <c r="E3349" t="inlineStr">
        <is>
          <t>Day</t>
        </is>
      </c>
      <c r="F3349" t="inlineStr">
        <is>
          <t>Sep</t>
        </is>
      </c>
      <c r="G3349" s="18">
        <f>IF(D3349&lt;C3349,D3349+1-C3349,D3349-C3349)*24</f>
        <v/>
      </c>
      <c r="H3349" s="18">
        <f>MAX(0,G3349-8)</f>
        <v/>
      </c>
    </row>
    <row r="3350">
      <c r="A3350" t="n">
        <v>1219</v>
      </c>
      <c r="B3350" s="14" t="n">
        <v>46293</v>
      </c>
      <c r="C3350" s="17" t="n">
        <v>0.25</v>
      </c>
      <c r="D3350" s="17" t="n">
        <v>0.625</v>
      </c>
      <c r="E3350" t="inlineStr">
        <is>
          <t>Day</t>
        </is>
      </c>
      <c r="F3350" t="inlineStr">
        <is>
          <t>Sep</t>
        </is>
      </c>
      <c r="G3350" s="18">
        <f>IF(D3350&lt;C3350,D3350+1-C3350,D3350-C3350)*24</f>
        <v/>
      </c>
      <c r="H3350" s="18">
        <f>MAX(0,G3350-8)</f>
        <v/>
      </c>
    </row>
    <row r="3351">
      <c r="A3351" t="n">
        <v>1101</v>
      </c>
      <c r="B3351" s="14" t="n">
        <v>46294</v>
      </c>
      <c r="C3351" s="17" t="n">
        <v>0.9166666666666666</v>
      </c>
      <c r="D3351" s="17" t="n">
        <v>0.25</v>
      </c>
      <c r="E3351" t="inlineStr">
        <is>
          <t>Night</t>
        </is>
      </c>
      <c r="F3351" t="inlineStr">
        <is>
          <t>Sep</t>
        </is>
      </c>
      <c r="G3351" s="18">
        <f>IF(D3351&lt;C3351,D3351+1-C3351,D3351-C3351)*24</f>
        <v/>
      </c>
      <c r="H3351" s="18">
        <f>MAX(0,G3351-8)</f>
        <v/>
      </c>
    </row>
    <row r="3352">
      <c r="A3352" t="n">
        <v>1102</v>
      </c>
      <c r="B3352" s="14" t="n">
        <v>46294</v>
      </c>
      <c r="C3352" s="17" t="n">
        <v>0.9166666666666666</v>
      </c>
      <c r="D3352" s="17" t="n">
        <v>0.2916666666666667</v>
      </c>
      <c r="E3352" t="inlineStr">
        <is>
          <t>Night</t>
        </is>
      </c>
      <c r="F3352" t="inlineStr">
        <is>
          <t>Sep</t>
        </is>
      </c>
      <c r="G3352" s="18">
        <f>IF(D3352&lt;C3352,D3352+1-C3352,D3352-C3352)*24</f>
        <v/>
      </c>
      <c r="H3352" s="18">
        <f>MAX(0,G3352-8)</f>
        <v/>
      </c>
    </row>
    <row r="3353">
      <c r="A3353" t="n">
        <v>1103</v>
      </c>
      <c r="B3353" s="14" t="n">
        <v>46294</v>
      </c>
      <c r="C3353" s="17" t="n">
        <v>0.9166666666666666</v>
      </c>
      <c r="D3353" s="17" t="n">
        <v>0.2708333333333333</v>
      </c>
      <c r="E3353" t="inlineStr">
        <is>
          <t>Night</t>
        </is>
      </c>
      <c r="F3353" t="inlineStr">
        <is>
          <t>Sep</t>
        </is>
      </c>
      <c r="G3353" s="18">
        <f>IF(D3353&lt;C3353,D3353+1-C3353,D3353-C3353)*24</f>
        <v/>
      </c>
      <c r="H3353" s="18">
        <f>MAX(0,G3353-8)</f>
        <v/>
      </c>
    </row>
    <row r="3354">
      <c r="A3354" t="n">
        <v>1104</v>
      </c>
      <c r="B3354" s="14" t="n">
        <v>46294</v>
      </c>
      <c r="C3354" s="17" t="n">
        <v>0.9166666666666666</v>
      </c>
      <c r="D3354" s="17" t="n">
        <v>0.3541666666666667</v>
      </c>
      <c r="E3354" t="inlineStr">
        <is>
          <t>Night</t>
        </is>
      </c>
      <c r="F3354" t="inlineStr">
        <is>
          <t>Sep</t>
        </is>
      </c>
      <c r="G3354" s="18">
        <f>IF(D3354&lt;C3354,D3354+1-C3354,D3354-C3354)*24</f>
        <v/>
      </c>
      <c r="H3354" s="18">
        <f>MAX(0,G3354-8)</f>
        <v/>
      </c>
    </row>
    <row r="3355">
      <c r="A3355" t="n">
        <v>1106</v>
      </c>
      <c r="B3355" s="14" t="n">
        <v>46294</v>
      </c>
      <c r="C3355" s="17" t="n">
        <v>0.9166666666666666</v>
      </c>
      <c r="D3355" s="17" t="n">
        <v>0.2916666666666667</v>
      </c>
      <c r="E3355" t="inlineStr">
        <is>
          <t>Night</t>
        </is>
      </c>
      <c r="F3355" t="inlineStr">
        <is>
          <t>Sep</t>
        </is>
      </c>
      <c r="G3355" s="18">
        <f>IF(D3355&lt;C3355,D3355+1-C3355,D3355-C3355)*24</f>
        <v/>
      </c>
      <c r="H3355" s="18">
        <f>MAX(0,G3355-8)</f>
        <v/>
      </c>
    </row>
    <row r="3356">
      <c r="A3356" t="n">
        <v>1107</v>
      </c>
      <c r="B3356" s="14" t="n">
        <v>46294</v>
      </c>
      <c r="C3356" s="17" t="n">
        <v>0.9166666666666666</v>
      </c>
      <c r="D3356" s="17" t="n">
        <v>0.3958333333333333</v>
      </c>
      <c r="E3356" t="inlineStr">
        <is>
          <t>Night</t>
        </is>
      </c>
      <c r="F3356" t="inlineStr">
        <is>
          <t>Sep</t>
        </is>
      </c>
      <c r="G3356" s="18">
        <f>IF(D3356&lt;C3356,D3356+1-C3356,D3356-C3356)*24</f>
        <v/>
      </c>
      <c r="H3356" s="18">
        <f>MAX(0,G3356-8)</f>
        <v/>
      </c>
    </row>
    <row r="3357">
      <c r="A3357" t="n">
        <v>1108</v>
      </c>
      <c r="B3357" s="14" t="n">
        <v>46294</v>
      </c>
      <c r="C3357" s="17" t="n">
        <v>0.9166666666666666</v>
      </c>
      <c r="D3357" s="17" t="n">
        <v>0.2708333333333333</v>
      </c>
      <c r="E3357" t="inlineStr">
        <is>
          <t>Night</t>
        </is>
      </c>
      <c r="F3357" t="inlineStr">
        <is>
          <t>Sep</t>
        </is>
      </c>
      <c r="G3357" s="18">
        <f>IF(D3357&lt;C3357,D3357+1-C3357,D3357-C3357)*24</f>
        <v/>
      </c>
      <c r="H3357" s="18">
        <f>MAX(0,G3357-8)</f>
        <v/>
      </c>
    </row>
    <row r="3358">
      <c r="A3358" t="n">
        <v>1109</v>
      </c>
      <c r="B3358" s="14" t="n">
        <v>46294</v>
      </c>
      <c r="C3358" s="17" t="n">
        <v>0.9270833333333334</v>
      </c>
      <c r="D3358" s="17" t="n">
        <v>0.34375</v>
      </c>
      <c r="E3358" t="inlineStr">
        <is>
          <t>Night</t>
        </is>
      </c>
      <c r="F3358" t="inlineStr">
        <is>
          <t>Sep</t>
        </is>
      </c>
      <c r="G3358" s="18">
        <f>IF(D3358&lt;C3358,D3358+1-C3358,D3358-C3358)*24</f>
        <v/>
      </c>
      <c r="H3358" s="18">
        <f>MAX(0,G3358-8)</f>
        <v/>
      </c>
    </row>
    <row r="3359">
      <c r="A3359" t="n">
        <v>1110</v>
      </c>
      <c r="B3359" s="14" t="n">
        <v>46294</v>
      </c>
      <c r="C3359" s="17" t="n">
        <v>0.9270833333333334</v>
      </c>
      <c r="D3359" s="17" t="n">
        <v>0.28125</v>
      </c>
      <c r="E3359" t="inlineStr">
        <is>
          <t>Night</t>
        </is>
      </c>
      <c r="F3359" t="inlineStr">
        <is>
          <t>Sep</t>
        </is>
      </c>
      <c r="G3359" s="18">
        <f>IF(D3359&lt;C3359,D3359+1-C3359,D3359-C3359)*24</f>
        <v/>
      </c>
      <c r="H3359" s="18">
        <f>MAX(0,G3359-8)</f>
        <v/>
      </c>
    </row>
    <row r="3360">
      <c r="A3360" t="n">
        <v>1111</v>
      </c>
      <c r="B3360" s="14" t="n">
        <v>46294</v>
      </c>
      <c r="C3360" s="17" t="n">
        <v>0.9166666666666666</v>
      </c>
      <c r="D3360" s="17" t="n">
        <v>0.3958333333333333</v>
      </c>
      <c r="E3360" t="inlineStr">
        <is>
          <t>Night</t>
        </is>
      </c>
      <c r="F3360" t="inlineStr">
        <is>
          <t>Sep</t>
        </is>
      </c>
      <c r="G3360" s="18">
        <f>IF(D3360&lt;C3360,D3360+1-C3360,D3360-C3360)*24</f>
        <v/>
      </c>
      <c r="H3360" s="18">
        <f>MAX(0,G3360-8)</f>
        <v/>
      </c>
    </row>
    <row r="3361">
      <c r="A3361" t="n">
        <v>1112</v>
      </c>
      <c r="B3361" s="14" t="n">
        <v>46294</v>
      </c>
      <c r="C3361" s="17" t="n">
        <v>0.9166666666666666</v>
      </c>
      <c r="D3361" s="17" t="n">
        <v>0.3541666666666667</v>
      </c>
      <c r="E3361" t="inlineStr">
        <is>
          <t>Night</t>
        </is>
      </c>
      <c r="F3361" t="inlineStr">
        <is>
          <t>Sep</t>
        </is>
      </c>
      <c r="G3361" s="18">
        <f>IF(D3361&lt;C3361,D3361+1-C3361,D3361-C3361)*24</f>
        <v/>
      </c>
      <c r="H3361" s="18">
        <f>MAX(0,G3361-8)</f>
        <v/>
      </c>
    </row>
    <row r="3362">
      <c r="A3362" t="n">
        <v>1113</v>
      </c>
      <c r="B3362" s="14" t="n">
        <v>46294</v>
      </c>
      <c r="C3362" s="17" t="n">
        <v>0.9166666666666666</v>
      </c>
      <c r="D3362" s="17" t="n">
        <v>0.2916666666666667</v>
      </c>
      <c r="E3362" t="inlineStr">
        <is>
          <t>Night</t>
        </is>
      </c>
      <c r="F3362" t="inlineStr">
        <is>
          <t>Sep</t>
        </is>
      </c>
      <c r="G3362" s="18">
        <f>IF(D3362&lt;C3362,D3362+1-C3362,D3362-C3362)*24</f>
        <v/>
      </c>
      <c r="H3362" s="18">
        <f>MAX(0,G3362-8)</f>
        <v/>
      </c>
    </row>
    <row r="3363">
      <c r="A3363" t="n">
        <v>1114</v>
      </c>
      <c r="B3363" s="14" t="n">
        <v>46294</v>
      </c>
      <c r="C3363" s="17" t="n">
        <v>0.9166666666666666</v>
      </c>
      <c r="D3363" s="17" t="n">
        <v>0.375</v>
      </c>
      <c r="E3363" t="inlineStr">
        <is>
          <t>Night</t>
        </is>
      </c>
      <c r="F3363" t="inlineStr">
        <is>
          <t>Sep</t>
        </is>
      </c>
      <c r="G3363" s="18">
        <f>IF(D3363&lt;C3363,D3363+1-C3363,D3363-C3363)*24</f>
        <v/>
      </c>
      <c r="H3363" s="18">
        <f>MAX(0,G3363-8)</f>
        <v/>
      </c>
    </row>
    <row r="3364">
      <c r="A3364" t="n">
        <v>1115</v>
      </c>
      <c r="B3364" s="14" t="n">
        <v>46294</v>
      </c>
      <c r="C3364" s="17" t="n">
        <v>0.9270833333333334</v>
      </c>
      <c r="D3364" s="17" t="n">
        <v>0.3229166666666667</v>
      </c>
      <c r="E3364" t="inlineStr">
        <is>
          <t>Night</t>
        </is>
      </c>
      <c r="F3364" t="inlineStr">
        <is>
          <t>Sep</t>
        </is>
      </c>
      <c r="G3364" s="18">
        <f>IF(D3364&lt;C3364,D3364+1-C3364,D3364-C3364)*24</f>
        <v/>
      </c>
      <c r="H3364" s="18">
        <f>MAX(0,G3364-8)</f>
        <v/>
      </c>
    </row>
    <row r="3365">
      <c r="A3365" t="n">
        <v>1116</v>
      </c>
      <c r="B3365" s="14" t="n">
        <v>46294</v>
      </c>
      <c r="C3365" s="17" t="n">
        <v>0.9375</v>
      </c>
      <c r="D3365" s="17" t="n">
        <v>0.3333333333333333</v>
      </c>
      <c r="E3365" t="inlineStr">
        <is>
          <t>Night</t>
        </is>
      </c>
      <c r="F3365" t="inlineStr">
        <is>
          <t>Sep</t>
        </is>
      </c>
      <c r="G3365" s="18">
        <f>IF(D3365&lt;C3365,D3365+1-C3365,D3365-C3365)*24</f>
        <v/>
      </c>
      <c r="H3365" s="18">
        <f>MAX(0,G3365-8)</f>
        <v/>
      </c>
    </row>
    <row r="3366">
      <c r="A3366" t="n">
        <v>1117</v>
      </c>
      <c r="B3366" s="14" t="n">
        <v>46294</v>
      </c>
      <c r="C3366" s="17" t="n">
        <v>0.9166666666666666</v>
      </c>
      <c r="D3366" s="17" t="n">
        <v>0.3125</v>
      </c>
      <c r="E3366" t="inlineStr">
        <is>
          <t>Night</t>
        </is>
      </c>
      <c r="F3366" t="inlineStr">
        <is>
          <t>Sep</t>
        </is>
      </c>
      <c r="G3366" s="18">
        <f>IF(D3366&lt;C3366,D3366+1-C3366,D3366-C3366)*24</f>
        <v/>
      </c>
      <c r="H3366" s="18">
        <f>MAX(0,G3366-8)</f>
        <v/>
      </c>
    </row>
    <row r="3367">
      <c r="A3367" t="n">
        <v>1119</v>
      </c>
      <c r="B3367" s="14" t="n">
        <v>46294</v>
      </c>
      <c r="C3367" s="17" t="n">
        <v>0.9166666666666666</v>
      </c>
      <c r="D3367" s="17" t="n">
        <v>0.3333333333333333</v>
      </c>
      <c r="E3367" t="inlineStr">
        <is>
          <t>Night</t>
        </is>
      </c>
      <c r="F3367" t="inlineStr">
        <is>
          <t>Sep</t>
        </is>
      </c>
      <c r="G3367" s="18">
        <f>IF(D3367&lt;C3367,D3367+1-C3367,D3367-C3367)*24</f>
        <v/>
      </c>
      <c r="H3367" s="18">
        <f>MAX(0,G3367-8)</f>
        <v/>
      </c>
    </row>
    <row r="3368">
      <c r="A3368" t="n">
        <v>1120</v>
      </c>
      <c r="B3368" s="14" t="n">
        <v>46294</v>
      </c>
      <c r="C3368" s="17" t="n">
        <v>0.9166666666666666</v>
      </c>
      <c r="D3368" s="17" t="n">
        <v>0.2916666666666667</v>
      </c>
      <c r="E3368" t="inlineStr">
        <is>
          <t>Night</t>
        </is>
      </c>
      <c r="F3368" t="inlineStr">
        <is>
          <t>Sep</t>
        </is>
      </c>
      <c r="G3368" s="18">
        <f>IF(D3368&lt;C3368,D3368+1-C3368,D3368-C3368)*24</f>
        <v/>
      </c>
      <c r="H3368" s="18">
        <f>MAX(0,G3368-8)</f>
        <v/>
      </c>
    </row>
    <row r="3369">
      <c r="A3369" t="n">
        <v>1121</v>
      </c>
      <c r="B3369" s="14" t="n">
        <v>46294</v>
      </c>
      <c r="C3369" s="17" t="n">
        <v>0.9166666666666666</v>
      </c>
      <c r="D3369" s="17" t="n">
        <v>0.3541666666666667</v>
      </c>
      <c r="E3369" t="inlineStr">
        <is>
          <t>Night</t>
        </is>
      </c>
      <c r="F3369" t="inlineStr">
        <is>
          <t>Sep</t>
        </is>
      </c>
      <c r="G3369" s="18">
        <f>IF(D3369&lt;C3369,D3369+1-C3369,D3369-C3369)*24</f>
        <v/>
      </c>
      <c r="H3369" s="18">
        <f>MAX(0,G3369-8)</f>
        <v/>
      </c>
    </row>
    <row r="3370">
      <c r="A3370" t="n">
        <v>1122</v>
      </c>
      <c r="B3370" s="14" t="n">
        <v>46294</v>
      </c>
      <c r="C3370" s="17" t="n">
        <v>0.9166666666666666</v>
      </c>
      <c r="D3370" s="17" t="n">
        <v>0.375</v>
      </c>
      <c r="E3370" t="inlineStr">
        <is>
          <t>Night</t>
        </is>
      </c>
      <c r="F3370" t="inlineStr">
        <is>
          <t>Sep</t>
        </is>
      </c>
      <c r="G3370" s="18">
        <f>IF(D3370&lt;C3370,D3370+1-C3370,D3370-C3370)*24</f>
        <v/>
      </c>
      <c r="H3370" s="18">
        <f>MAX(0,G3370-8)</f>
        <v/>
      </c>
    </row>
    <row r="3371">
      <c r="A3371" t="n">
        <v>1124</v>
      </c>
      <c r="B3371" s="14" t="n">
        <v>46294</v>
      </c>
      <c r="C3371" s="17" t="n">
        <v>0.9166666666666666</v>
      </c>
      <c r="D3371" s="17" t="n">
        <v>0.3958333333333333</v>
      </c>
      <c r="E3371" t="inlineStr">
        <is>
          <t>Night</t>
        </is>
      </c>
      <c r="F3371" t="inlineStr">
        <is>
          <t>Sep</t>
        </is>
      </c>
      <c r="G3371" s="18">
        <f>IF(D3371&lt;C3371,D3371+1-C3371,D3371-C3371)*24</f>
        <v/>
      </c>
      <c r="H3371" s="18">
        <f>MAX(0,G3371-8)</f>
        <v/>
      </c>
    </row>
    <row r="3372">
      <c r="A3372" t="n">
        <v>1125</v>
      </c>
      <c r="B3372" s="14" t="n">
        <v>46294</v>
      </c>
      <c r="C3372" s="17" t="n">
        <v>0.9270833333333334</v>
      </c>
      <c r="D3372" s="17" t="n">
        <v>0.2604166666666667</v>
      </c>
      <c r="E3372" t="inlineStr">
        <is>
          <t>Night</t>
        </is>
      </c>
      <c r="F3372" t="inlineStr">
        <is>
          <t>Sep</t>
        </is>
      </c>
      <c r="G3372" s="18">
        <f>IF(D3372&lt;C3372,D3372+1-C3372,D3372-C3372)*24</f>
        <v/>
      </c>
      <c r="H3372" s="18">
        <f>MAX(0,G3372-8)</f>
        <v/>
      </c>
    </row>
    <row r="3373">
      <c r="A3373" t="n">
        <v>1126</v>
      </c>
      <c r="B3373" s="14" t="n">
        <v>46294</v>
      </c>
      <c r="C3373" s="17" t="n">
        <v>0.9270833333333334</v>
      </c>
      <c r="D3373" s="17" t="n">
        <v>0.3645833333333333</v>
      </c>
      <c r="E3373" t="inlineStr">
        <is>
          <t>Night</t>
        </is>
      </c>
      <c r="F3373" t="inlineStr">
        <is>
          <t>Sep</t>
        </is>
      </c>
      <c r="G3373" s="18">
        <f>IF(D3373&lt;C3373,D3373+1-C3373,D3373-C3373)*24</f>
        <v/>
      </c>
      <c r="H3373" s="18">
        <f>MAX(0,G3373-8)</f>
        <v/>
      </c>
    </row>
    <row r="3374">
      <c r="A3374" t="n">
        <v>1127</v>
      </c>
      <c r="B3374" s="14" t="n">
        <v>46294</v>
      </c>
      <c r="C3374" s="17" t="n">
        <v>0.9270833333333334</v>
      </c>
      <c r="D3374" s="17" t="n">
        <v>0.3229166666666667</v>
      </c>
      <c r="E3374" t="inlineStr">
        <is>
          <t>Night</t>
        </is>
      </c>
      <c r="F3374" t="inlineStr">
        <is>
          <t>Sep</t>
        </is>
      </c>
      <c r="G3374" s="18">
        <f>IF(D3374&lt;C3374,D3374+1-C3374,D3374-C3374)*24</f>
        <v/>
      </c>
      <c r="H3374" s="18">
        <f>MAX(0,G3374-8)</f>
        <v/>
      </c>
    </row>
    <row r="3375">
      <c r="A3375" t="n">
        <v>1129</v>
      </c>
      <c r="B3375" s="14" t="n">
        <v>46294</v>
      </c>
      <c r="C3375" s="17" t="n">
        <v>0.9166666666666666</v>
      </c>
      <c r="D3375" s="17" t="n">
        <v>0.375</v>
      </c>
      <c r="E3375" t="inlineStr">
        <is>
          <t>Night</t>
        </is>
      </c>
      <c r="F3375" t="inlineStr">
        <is>
          <t>Sep</t>
        </is>
      </c>
      <c r="G3375" s="18">
        <f>IF(D3375&lt;C3375,D3375+1-C3375,D3375-C3375)*24</f>
        <v/>
      </c>
      <c r="H3375" s="18">
        <f>MAX(0,G3375-8)</f>
        <v/>
      </c>
    </row>
    <row r="3376">
      <c r="A3376" t="n">
        <v>1130</v>
      </c>
      <c r="B3376" s="14" t="n">
        <v>46294</v>
      </c>
      <c r="C3376" s="17" t="n">
        <v>0.9375</v>
      </c>
      <c r="D3376" s="17" t="n">
        <v>0.2916666666666667</v>
      </c>
      <c r="E3376" t="inlineStr">
        <is>
          <t>Night</t>
        </is>
      </c>
      <c r="F3376" t="inlineStr">
        <is>
          <t>Sep</t>
        </is>
      </c>
      <c r="G3376" s="18">
        <f>IF(D3376&lt;C3376,D3376+1-C3376,D3376-C3376)*24</f>
        <v/>
      </c>
      <c r="H3376" s="18">
        <f>MAX(0,G3376-8)</f>
        <v/>
      </c>
    </row>
    <row r="3377">
      <c r="A3377" t="n">
        <v>1131</v>
      </c>
      <c r="B3377" s="14" t="n">
        <v>46294</v>
      </c>
      <c r="C3377" s="17" t="n">
        <v>0.9166666666666666</v>
      </c>
      <c r="D3377" s="17" t="n">
        <v>0.2708333333333333</v>
      </c>
      <c r="E3377" t="inlineStr">
        <is>
          <t>Night</t>
        </is>
      </c>
      <c r="F3377" t="inlineStr">
        <is>
          <t>Sep</t>
        </is>
      </c>
      <c r="G3377" s="18">
        <f>IF(D3377&lt;C3377,D3377+1-C3377,D3377-C3377)*24</f>
        <v/>
      </c>
      <c r="H3377" s="18">
        <f>MAX(0,G3377-8)</f>
        <v/>
      </c>
    </row>
    <row r="3378">
      <c r="A3378" t="n">
        <v>1132</v>
      </c>
      <c r="B3378" s="14" t="n">
        <v>46294</v>
      </c>
      <c r="C3378" s="17" t="n">
        <v>0.9166666666666666</v>
      </c>
      <c r="D3378" s="17" t="n">
        <v>0.3125</v>
      </c>
      <c r="E3378" t="inlineStr">
        <is>
          <t>Night</t>
        </is>
      </c>
      <c r="F3378" t="inlineStr">
        <is>
          <t>Sep</t>
        </is>
      </c>
      <c r="G3378" s="18">
        <f>IF(D3378&lt;C3378,D3378+1-C3378,D3378-C3378)*24</f>
        <v/>
      </c>
      <c r="H3378" s="18">
        <f>MAX(0,G3378-8)</f>
        <v/>
      </c>
    </row>
    <row r="3379">
      <c r="A3379" t="n">
        <v>1133</v>
      </c>
      <c r="B3379" s="14" t="n">
        <v>46294</v>
      </c>
      <c r="C3379" s="17" t="n">
        <v>0.9166666666666666</v>
      </c>
      <c r="D3379" s="17" t="n">
        <v>0.25</v>
      </c>
      <c r="E3379" t="inlineStr">
        <is>
          <t>Night</t>
        </is>
      </c>
      <c r="F3379" t="inlineStr">
        <is>
          <t>Sep</t>
        </is>
      </c>
      <c r="G3379" s="18">
        <f>IF(D3379&lt;C3379,D3379+1-C3379,D3379-C3379)*24</f>
        <v/>
      </c>
      <c r="H3379" s="18">
        <f>MAX(0,G3379-8)</f>
        <v/>
      </c>
    </row>
    <row r="3380">
      <c r="A3380" t="n">
        <v>1134</v>
      </c>
      <c r="B3380" s="14" t="n">
        <v>46294</v>
      </c>
      <c r="C3380" s="17" t="n">
        <v>0.9166666666666666</v>
      </c>
      <c r="D3380" s="17" t="n">
        <v>0.25</v>
      </c>
      <c r="E3380" t="inlineStr">
        <is>
          <t>Night</t>
        </is>
      </c>
      <c r="F3380" t="inlineStr">
        <is>
          <t>Sep</t>
        </is>
      </c>
      <c r="G3380" s="18">
        <f>IF(D3380&lt;C3380,D3380+1-C3380,D3380-C3380)*24</f>
        <v/>
      </c>
      <c r="H3380" s="18">
        <f>MAX(0,G3380-8)</f>
        <v/>
      </c>
    </row>
    <row r="3381">
      <c r="A3381" t="n">
        <v>1135</v>
      </c>
      <c r="B3381" s="14" t="n">
        <v>46294</v>
      </c>
      <c r="C3381" s="17" t="n">
        <v>0.9270833333333334</v>
      </c>
      <c r="D3381" s="17" t="n">
        <v>0.28125</v>
      </c>
      <c r="E3381" t="inlineStr">
        <is>
          <t>Night</t>
        </is>
      </c>
      <c r="F3381" t="inlineStr">
        <is>
          <t>Sep</t>
        </is>
      </c>
      <c r="G3381" s="18">
        <f>IF(D3381&lt;C3381,D3381+1-C3381,D3381-C3381)*24</f>
        <v/>
      </c>
      <c r="H3381" s="18">
        <f>MAX(0,G3381-8)</f>
        <v/>
      </c>
    </row>
    <row r="3382">
      <c r="A3382" t="n">
        <v>1136</v>
      </c>
      <c r="B3382" s="14" t="n">
        <v>46294</v>
      </c>
      <c r="C3382" s="17" t="n">
        <v>0.9166666666666666</v>
      </c>
      <c r="D3382" s="17" t="n">
        <v>0.3333333333333333</v>
      </c>
      <c r="E3382" t="inlineStr">
        <is>
          <t>Night</t>
        </is>
      </c>
      <c r="F3382" t="inlineStr">
        <is>
          <t>Sep</t>
        </is>
      </c>
      <c r="G3382" s="18">
        <f>IF(D3382&lt;C3382,D3382+1-C3382,D3382-C3382)*24</f>
        <v/>
      </c>
      <c r="H3382" s="18">
        <f>MAX(0,G3382-8)</f>
        <v/>
      </c>
    </row>
    <row r="3383">
      <c r="A3383" t="n">
        <v>1137</v>
      </c>
      <c r="B3383" s="14" t="n">
        <v>46294</v>
      </c>
      <c r="C3383" s="17" t="n">
        <v>0.9166666666666666</v>
      </c>
      <c r="D3383" s="17" t="n">
        <v>0.3958333333333333</v>
      </c>
      <c r="E3383" t="inlineStr">
        <is>
          <t>Night</t>
        </is>
      </c>
      <c r="F3383" t="inlineStr">
        <is>
          <t>Sep</t>
        </is>
      </c>
      <c r="G3383" s="18">
        <f>IF(D3383&lt;C3383,D3383+1-C3383,D3383-C3383)*24</f>
        <v/>
      </c>
      <c r="H3383" s="18">
        <f>MAX(0,G3383-8)</f>
        <v/>
      </c>
    </row>
    <row r="3384">
      <c r="A3384" t="n">
        <v>1147</v>
      </c>
      <c r="B3384" s="14" t="n">
        <v>46294</v>
      </c>
      <c r="C3384" s="17" t="n">
        <v>0.9166666666666666</v>
      </c>
      <c r="D3384" s="17" t="n">
        <v>0.2708333333333333</v>
      </c>
      <c r="E3384" t="inlineStr">
        <is>
          <t>Night</t>
        </is>
      </c>
      <c r="F3384" t="inlineStr">
        <is>
          <t>Sep</t>
        </is>
      </c>
      <c r="G3384" s="18">
        <f>IF(D3384&lt;C3384,D3384+1-C3384,D3384-C3384)*24</f>
        <v/>
      </c>
      <c r="H3384" s="18">
        <f>MAX(0,G3384-8)</f>
        <v/>
      </c>
    </row>
    <row r="3385">
      <c r="A3385" t="n">
        <v>1118</v>
      </c>
      <c r="B3385" s="14" t="n">
        <v>46294</v>
      </c>
      <c r="C3385" s="17" t="n">
        <v>0.01041666666666667</v>
      </c>
      <c r="D3385" s="17" t="n">
        <v>0.3645833333333333</v>
      </c>
      <c r="E3385" t="inlineStr">
        <is>
          <t>Night</t>
        </is>
      </c>
      <c r="F3385" t="inlineStr">
        <is>
          <t>Sep</t>
        </is>
      </c>
      <c r="G3385" s="18">
        <f>IF(D3385&lt;C3385,D3385+1-C3385,D3385-C3385)*24</f>
        <v/>
      </c>
      <c r="H3385" s="18">
        <f>MAX(0,G3385-8)</f>
        <v/>
      </c>
    </row>
    <row r="3386">
      <c r="A3386" t="n">
        <v>1123</v>
      </c>
      <c r="B3386" s="14" t="n">
        <v>46294</v>
      </c>
      <c r="C3386" s="17" t="n">
        <v>0.01041666666666667</v>
      </c>
      <c r="D3386" s="17" t="n">
        <v>0.3854166666666667</v>
      </c>
      <c r="E3386" t="inlineStr">
        <is>
          <t>Night</t>
        </is>
      </c>
      <c r="F3386" t="inlineStr">
        <is>
          <t>Sep</t>
        </is>
      </c>
      <c r="G3386" s="18">
        <f>IF(D3386&lt;C3386,D3386+1-C3386,D3386-C3386)*24</f>
        <v/>
      </c>
      <c r="H3386" s="18">
        <f>MAX(0,G3386-8)</f>
        <v/>
      </c>
    </row>
    <row r="3387">
      <c r="A3387" t="n">
        <v>1128</v>
      </c>
      <c r="B3387" s="14" t="n">
        <v>46294</v>
      </c>
      <c r="C3387" s="17" t="n">
        <v>0.01041666666666667</v>
      </c>
      <c r="D3387" s="17" t="n">
        <v>0.40625</v>
      </c>
      <c r="E3387" t="inlineStr">
        <is>
          <t>Night</t>
        </is>
      </c>
      <c r="F3387" t="inlineStr">
        <is>
          <t>Sep</t>
        </is>
      </c>
      <c r="G3387" s="18">
        <f>IF(D3387&lt;C3387,D3387+1-C3387,D3387-C3387)*24</f>
        <v/>
      </c>
      <c r="H3387" s="18">
        <f>MAX(0,G3387-8)</f>
        <v/>
      </c>
    </row>
    <row r="3388">
      <c r="A3388" t="n">
        <v>1201</v>
      </c>
      <c r="B3388" s="14" t="n">
        <v>46294</v>
      </c>
      <c r="C3388" s="17" t="n">
        <v>0.2708333333333333</v>
      </c>
      <c r="D3388" s="17" t="n">
        <v>0.6875</v>
      </c>
      <c r="E3388" t="inlineStr">
        <is>
          <t>Day</t>
        </is>
      </c>
      <c r="F3388" t="inlineStr">
        <is>
          <t>Sep</t>
        </is>
      </c>
      <c r="G3388" s="18">
        <f>IF(D3388&lt;C3388,D3388+1-C3388,D3388-C3388)*24</f>
        <v/>
      </c>
      <c r="H3388" s="18">
        <f>MAX(0,G3388-8)</f>
        <v/>
      </c>
    </row>
    <row r="3389">
      <c r="A3389" t="n">
        <v>1202</v>
      </c>
      <c r="B3389" s="14" t="n">
        <v>46294</v>
      </c>
      <c r="C3389" s="17" t="n">
        <v>0.25</v>
      </c>
      <c r="D3389" s="17" t="n">
        <v>0.6666666666666666</v>
      </c>
      <c r="E3389" t="inlineStr">
        <is>
          <t>Day</t>
        </is>
      </c>
      <c r="F3389" t="inlineStr">
        <is>
          <t>Sep</t>
        </is>
      </c>
      <c r="G3389" s="18">
        <f>IF(D3389&lt;C3389,D3389+1-C3389,D3389-C3389)*24</f>
        <v/>
      </c>
      <c r="H3389" s="18">
        <f>MAX(0,G3389-8)</f>
        <v/>
      </c>
    </row>
    <row r="3390">
      <c r="A3390" t="n">
        <v>1203</v>
      </c>
      <c r="B3390" s="14" t="n">
        <v>46294</v>
      </c>
      <c r="C3390" s="17" t="n">
        <v>0.25</v>
      </c>
      <c r="D3390" s="17" t="n">
        <v>0.5833333333333334</v>
      </c>
      <c r="E3390" t="inlineStr">
        <is>
          <t>Day</t>
        </is>
      </c>
      <c r="F3390" t="inlineStr">
        <is>
          <t>Sep</t>
        </is>
      </c>
      <c r="G3390" s="18">
        <f>IF(D3390&lt;C3390,D3390+1-C3390,D3390-C3390)*24</f>
        <v/>
      </c>
      <c r="H3390" s="18">
        <f>MAX(0,G3390-8)</f>
        <v/>
      </c>
    </row>
    <row r="3391">
      <c r="A3391" t="n">
        <v>1204</v>
      </c>
      <c r="B3391" s="14" t="n">
        <v>46294</v>
      </c>
      <c r="C3391" s="17" t="n">
        <v>0.25</v>
      </c>
      <c r="D3391" s="17" t="n">
        <v>0.6666666666666666</v>
      </c>
      <c r="E3391" t="inlineStr">
        <is>
          <t>Day</t>
        </is>
      </c>
      <c r="F3391" t="inlineStr">
        <is>
          <t>Sep</t>
        </is>
      </c>
      <c r="G3391" s="18">
        <f>IF(D3391&lt;C3391,D3391+1-C3391,D3391-C3391)*24</f>
        <v/>
      </c>
      <c r="H3391" s="18">
        <f>MAX(0,G3391-8)</f>
        <v/>
      </c>
    </row>
    <row r="3392">
      <c r="A3392" t="n">
        <v>1205</v>
      </c>
      <c r="B3392" s="14" t="n">
        <v>46294</v>
      </c>
      <c r="C3392" s="17" t="n">
        <v>0.25</v>
      </c>
      <c r="D3392" s="17" t="n">
        <v>0.5833333333333334</v>
      </c>
      <c r="E3392" t="inlineStr">
        <is>
          <t>Day</t>
        </is>
      </c>
      <c r="F3392" t="inlineStr">
        <is>
          <t>Sep</t>
        </is>
      </c>
      <c r="G3392" s="18">
        <f>IF(D3392&lt;C3392,D3392+1-C3392,D3392-C3392)*24</f>
        <v/>
      </c>
      <c r="H3392" s="18">
        <f>MAX(0,G3392-8)</f>
        <v/>
      </c>
    </row>
    <row r="3393">
      <c r="A3393" t="n">
        <v>1206</v>
      </c>
      <c r="B3393" s="14" t="n">
        <v>46294</v>
      </c>
      <c r="C3393" s="17" t="n">
        <v>0.25</v>
      </c>
      <c r="D3393" s="17" t="n">
        <v>0.625</v>
      </c>
      <c r="E3393" t="inlineStr">
        <is>
          <t>Day</t>
        </is>
      </c>
      <c r="F3393" t="inlineStr">
        <is>
          <t>Sep</t>
        </is>
      </c>
      <c r="G3393" s="18">
        <f>IF(D3393&lt;C3393,D3393+1-C3393,D3393-C3393)*24</f>
        <v/>
      </c>
      <c r="H3393" s="18">
        <f>MAX(0,G3393-8)</f>
        <v/>
      </c>
    </row>
    <row r="3394">
      <c r="A3394" t="n">
        <v>1207</v>
      </c>
      <c r="B3394" s="14" t="n">
        <v>46294</v>
      </c>
      <c r="C3394" s="17" t="n">
        <v>0.2708333333333333</v>
      </c>
      <c r="D3394" s="17" t="n">
        <v>0.6041666666666666</v>
      </c>
      <c r="E3394" t="inlineStr">
        <is>
          <t>Day</t>
        </is>
      </c>
      <c r="F3394" t="inlineStr">
        <is>
          <t>Sep</t>
        </is>
      </c>
      <c r="G3394" s="18">
        <f>IF(D3394&lt;C3394,D3394+1-C3394,D3394-C3394)*24</f>
        <v/>
      </c>
      <c r="H3394" s="18">
        <f>MAX(0,G3394-8)</f>
        <v/>
      </c>
    </row>
    <row r="3395">
      <c r="A3395" t="n">
        <v>1208</v>
      </c>
      <c r="B3395" s="14" t="n">
        <v>46294</v>
      </c>
      <c r="C3395" s="17" t="n">
        <v>0.25</v>
      </c>
      <c r="D3395" s="17" t="n">
        <v>0.6041666666666666</v>
      </c>
      <c r="E3395" t="inlineStr">
        <is>
          <t>Day</t>
        </is>
      </c>
      <c r="F3395" t="inlineStr">
        <is>
          <t>Sep</t>
        </is>
      </c>
      <c r="G3395" s="18">
        <f>IF(D3395&lt;C3395,D3395+1-C3395,D3395-C3395)*24</f>
        <v/>
      </c>
      <c r="H3395" s="18">
        <f>MAX(0,G3395-8)</f>
        <v/>
      </c>
    </row>
    <row r="3396">
      <c r="A3396" t="n">
        <v>1209</v>
      </c>
      <c r="B3396" s="14" t="n">
        <v>46294</v>
      </c>
      <c r="C3396" s="17" t="n">
        <v>0.2708333333333333</v>
      </c>
      <c r="D3396" s="17" t="n">
        <v>0.6041666666666666</v>
      </c>
      <c r="E3396" t="inlineStr">
        <is>
          <t>Day</t>
        </is>
      </c>
      <c r="F3396" t="inlineStr">
        <is>
          <t>Sep</t>
        </is>
      </c>
      <c r="G3396" s="18">
        <f>IF(D3396&lt;C3396,D3396+1-C3396,D3396-C3396)*24</f>
        <v/>
      </c>
      <c r="H3396" s="18">
        <f>MAX(0,G3396-8)</f>
        <v/>
      </c>
    </row>
    <row r="3397">
      <c r="A3397" t="n">
        <v>1210</v>
      </c>
      <c r="B3397" s="14" t="n">
        <v>46294</v>
      </c>
      <c r="C3397" s="17" t="n">
        <v>0.25</v>
      </c>
      <c r="D3397" s="17" t="n">
        <v>0.5833333333333334</v>
      </c>
      <c r="E3397" t="inlineStr">
        <is>
          <t>Day</t>
        </is>
      </c>
      <c r="F3397" t="inlineStr">
        <is>
          <t>Sep</t>
        </is>
      </c>
      <c r="G3397" s="18">
        <f>IF(D3397&lt;C3397,D3397+1-C3397,D3397-C3397)*24</f>
        <v/>
      </c>
      <c r="H3397" s="18">
        <f>MAX(0,G3397-8)</f>
        <v/>
      </c>
    </row>
    <row r="3398">
      <c r="A3398" t="n">
        <v>1211</v>
      </c>
      <c r="B3398" s="14" t="n">
        <v>46294</v>
      </c>
      <c r="C3398" s="17" t="n">
        <v>0.25</v>
      </c>
      <c r="D3398" s="17" t="n">
        <v>0.5833333333333334</v>
      </c>
      <c r="E3398" t="inlineStr">
        <is>
          <t>Day</t>
        </is>
      </c>
      <c r="F3398" t="inlineStr">
        <is>
          <t>Sep</t>
        </is>
      </c>
      <c r="G3398" s="18">
        <f>IF(D3398&lt;C3398,D3398+1-C3398,D3398-C3398)*24</f>
        <v/>
      </c>
      <c r="H3398" s="18">
        <f>MAX(0,G3398-8)</f>
        <v/>
      </c>
    </row>
    <row r="3399">
      <c r="A3399" t="n">
        <v>1212</v>
      </c>
      <c r="B3399" s="14" t="n">
        <v>46294</v>
      </c>
      <c r="C3399" s="17" t="n">
        <v>0.25</v>
      </c>
      <c r="D3399" s="17" t="n">
        <v>0.6041666666666666</v>
      </c>
      <c r="E3399" t="inlineStr">
        <is>
          <t>Day</t>
        </is>
      </c>
      <c r="F3399" t="inlineStr">
        <is>
          <t>Sep</t>
        </is>
      </c>
      <c r="G3399" s="18">
        <f>IF(D3399&lt;C3399,D3399+1-C3399,D3399-C3399)*24</f>
        <v/>
      </c>
      <c r="H3399" s="18">
        <f>MAX(0,G3399-8)</f>
        <v/>
      </c>
    </row>
    <row r="3400">
      <c r="A3400" t="n">
        <v>1213</v>
      </c>
      <c r="B3400" s="14" t="n">
        <v>46294</v>
      </c>
      <c r="C3400" s="17" t="n">
        <v>0.25</v>
      </c>
      <c r="D3400" s="17" t="n">
        <v>0.5833333333333334</v>
      </c>
      <c r="E3400" t="inlineStr">
        <is>
          <t>Day</t>
        </is>
      </c>
      <c r="F3400" t="inlineStr">
        <is>
          <t>Sep</t>
        </is>
      </c>
      <c r="G3400" s="18">
        <f>IF(D3400&lt;C3400,D3400+1-C3400,D3400-C3400)*24</f>
        <v/>
      </c>
      <c r="H3400" s="18">
        <f>MAX(0,G3400-8)</f>
        <v/>
      </c>
    </row>
    <row r="3401">
      <c r="A3401" t="n">
        <v>1214</v>
      </c>
      <c r="B3401" s="14" t="n">
        <v>46294</v>
      </c>
      <c r="C3401" s="17" t="n">
        <v>0.25</v>
      </c>
      <c r="D3401" s="17" t="n">
        <v>0.6666666666666666</v>
      </c>
      <c r="E3401" t="inlineStr">
        <is>
          <t>Day</t>
        </is>
      </c>
      <c r="F3401" t="inlineStr">
        <is>
          <t>Sep</t>
        </is>
      </c>
      <c r="G3401" s="18">
        <f>IF(D3401&lt;C3401,D3401+1-C3401,D3401-C3401)*24</f>
        <v/>
      </c>
      <c r="H3401" s="18">
        <f>MAX(0,G3401-8)</f>
        <v/>
      </c>
    </row>
    <row r="3402">
      <c r="A3402" t="n">
        <v>1215</v>
      </c>
      <c r="B3402" s="14" t="n">
        <v>46294</v>
      </c>
      <c r="C3402" s="17" t="n">
        <v>0.25</v>
      </c>
      <c r="D3402" s="17" t="n">
        <v>0.625</v>
      </c>
      <c r="E3402" t="inlineStr">
        <is>
          <t>Day</t>
        </is>
      </c>
      <c r="F3402" t="inlineStr">
        <is>
          <t>Sep</t>
        </is>
      </c>
      <c r="G3402" s="18">
        <f>IF(D3402&lt;C3402,D3402+1-C3402,D3402-C3402)*24</f>
        <v/>
      </c>
      <c r="H3402" s="18">
        <f>MAX(0,G3402-8)</f>
        <v/>
      </c>
    </row>
    <row r="3403">
      <c r="A3403" t="n">
        <v>1216</v>
      </c>
      <c r="B3403" s="14" t="n">
        <v>46294</v>
      </c>
      <c r="C3403" s="17" t="n">
        <v>0.2708333333333333</v>
      </c>
      <c r="D3403" s="17" t="n">
        <v>0.6875</v>
      </c>
      <c r="E3403" t="inlineStr">
        <is>
          <t>Day</t>
        </is>
      </c>
      <c r="F3403" t="inlineStr">
        <is>
          <t>Sep</t>
        </is>
      </c>
      <c r="G3403" s="18">
        <f>IF(D3403&lt;C3403,D3403+1-C3403,D3403-C3403)*24</f>
        <v/>
      </c>
      <c r="H3403" s="18">
        <f>MAX(0,G3403-8)</f>
        <v/>
      </c>
    </row>
    <row r="3404">
      <c r="A3404" t="n">
        <v>1218</v>
      </c>
      <c r="B3404" s="14" t="n">
        <v>46294</v>
      </c>
      <c r="C3404" s="17" t="n">
        <v>0.25</v>
      </c>
      <c r="D3404" s="17" t="n">
        <v>0.5833333333333334</v>
      </c>
      <c r="E3404" t="inlineStr">
        <is>
          <t>Day</t>
        </is>
      </c>
      <c r="F3404" t="inlineStr">
        <is>
          <t>Sep</t>
        </is>
      </c>
      <c r="G3404" s="18">
        <f>IF(D3404&lt;C3404,D3404+1-C3404,D3404-C3404)*24</f>
        <v/>
      </c>
      <c r="H3404" s="18">
        <f>MAX(0,G3404-8)</f>
        <v/>
      </c>
    </row>
    <row r="3405">
      <c r="A3405" t="n">
        <v>1219</v>
      </c>
      <c r="B3405" s="14" t="n">
        <v>46294</v>
      </c>
      <c r="C3405" s="17" t="n">
        <v>0.2708333333333333</v>
      </c>
      <c r="D3405" s="17" t="n">
        <v>0.6875</v>
      </c>
      <c r="E3405" t="inlineStr">
        <is>
          <t>Day</t>
        </is>
      </c>
      <c r="F3405" t="inlineStr">
        <is>
          <t>Sep</t>
        </is>
      </c>
      <c r="G3405" s="18">
        <f>IF(D3405&lt;C3405,D3405+1-C3405,D3405-C3405)*24</f>
        <v/>
      </c>
      <c r="H3405" s="18">
        <f>MAX(0,G3405-8)</f>
        <v/>
      </c>
    </row>
    <row r="3406">
      <c r="A3406" t="n">
        <v>1220</v>
      </c>
      <c r="B3406" s="14" t="n">
        <v>46294</v>
      </c>
      <c r="C3406" s="17" t="n">
        <v>0.25</v>
      </c>
      <c r="D3406" s="17" t="n">
        <v>0.6666666666666666</v>
      </c>
      <c r="E3406" t="inlineStr">
        <is>
          <t>Day</t>
        </is>
      </c>
      <c r="F3406" t="inlineStr">
        <is>
          <t>Sep</t>
        </is>
      </c>
      <c r="G3406" s="18">
        <f>IF(D3406&lt;C3406,D3406+1-C3406,D3406-C3406)*24</f>
        <v/>
      </c>
      <c r="H3406" s="18">
        <f>MAX(0,G3406-8)</f>
        <v/>
      </c>
    </row>
    <row r="3407">
      <c r="A3407" t="n">
        <v>1101</v>
      </c>
      <c r="B3407" s="14" t="n">
        <v>46295</v>
      </c>
      <c r="C3407" s="17" t="n">
        <v>0.9270833333333334</v>
      </c>
      <c r="D3407" s="17" t="n">
        <v>0.3854166666666667</v>
      </c>
      <c r="E3407" t="inlineStr">
        <is>
          <t>Night</t>
        </is>
      </c>
      <c r="F3407" t="inlineStr">
        <is>
          <t>Sep</t>
        </is>
      </c>
      <c r="G3407" s="18">
        <f>IF(D3407&lt;C3407,D3407+1-C3407,D3407-C3407)*24</f>
        <v/>
      </c>
      <c r="H3407" s="18">
        <f>MAX(0,G3407-8)</f>
        <v/>
      </c>
    </row>
    <row r="3408">
      <c r="A3408" t="n">
        <v>1102</v>
      </c>
      <c r="B3408" s="14" t="n">
        <v>46295</v>
      </c>
      <c r="C3408" s="17" t="n">
        <v>0.9166666666666666</v>
      </c>
      <c r="D3408" s="17" t="n">
        <v>0.375</v>
      </c>
      <c r="E3408" t="inlineStr">
        <is>
          <t>Night</t>
        </is>
      </c>
      <c r="F3408" t="inlineStr">
        <is>
          <t>Sep</t>
        </is>
      </c>
      <c r="G3408" s="18">
        <f>IF(D3408&lt;C3408,D3408+1-C3408,D3408-C3408)*24</f>
        <v/>
      </c>
      <c r="H3408" s="18">
        <f>MAX(0,G3408-8)</f>
        <v/>
      </c>
    </row>
    <row r="3409">
      <c r="A3409" t="n">
        <v>1103</v>
      </c>
      <c r="B3409" s="14" t="n">
        <v>46295</v>
      </c>
      <c r="C3409" s="17" t="n">
        <v>0.9166666666666666</v>
      </c>
      <c r="D3409" s="17" t="n">
        <v>0.3125</v>
      </c>
      <c r="E3409" t="inlineStr">
        <is>
          <t>Night</t>
        </is>
      </c>
      <c r="F3409" t="inlineStr">
        <is>
          <t>Sep</t>
        </is>
      </c>
      <c r="G3409" s="18">
        <f>IF(D3409&lt;C3409,D3409+1-C3409,D3409-C3409)*24</f>
        <v/>
      </c>
      <c r="H3409" s="18">
        <f>MAX(0,G3409-8)</f>
        <v/>
      </c>
    </row>
    <row r="3410">
      <c r="A3410" t="n">
        <v>1104</v>
      </c>
      <c r="B3410" s="14" t="n">
        <v>46295</v>
      </c>
      <c r="C3410" s="17" t="n">
        <v>0.9166666666666666</v>
      </c>
      <c r="D3410" s="17" t="n">
        <v>0.3541666666666667</v>
      </c>
      <c r="E3410" t="inlineStr">
        <is>
          <t>Night</t>
        </is>
      </c>
      <c r="F3410" t="inlineStr">
        <is>
          <t>Sep</t>
        </is>
      </c>
      <c r="G3410" s="18">
        <f>IF(D3410&lt;C3410,D3410+1-C3410,D3410-C3410)*24</f>
        <v/>
      </c>
      <c r="H3410" s="18">
        <f>MAX(0,G3410-8)</f>
        <v/>
      </c>
    </row>
    <row r="3411">
      <c r="A3411" t="n">
        <v>1108</v>
      </c>
      <c r="B3411" s="14" t="n">
        <v>46295</v>
      </c>
      <c r="C3411" s="17" t="n">
        <v>0.9375</v>
      </c>
      <c r="D3411" s="17" t="n">
        <v>0.3541666666666667</v>
      </c>
      <c r="E3411" t="inlineStr">
        <is>
          <t>Night</t>
        </is>
      </c>
      <c r="F3411" t="inlineStr">
        <is>
          <t>Sep</t>
        </is>
      </c>
      <c r="G3411" s="18">
        <f>IF(D3411&lt;C3411,D3411+1-C3411,D3411-C3411)*24</f>
        <v/>
      </c>
      <c r="H3411" s="18">
        <f>MAX(0,G3411-8)</f>
        <v/>
      </c>
    </row>
    <row r="3412">
      <c r="A3412" t="n">
        <v>1109</v>
      </c>
      <c r="B3412" s="14" t="n">
        <v>46295</v>
      </c>
      <c r="C3412" s="17" t="n">
        <v>0.9166666666666666</v>
      </c>
      <c r="D3412" s="17" t="n">
        <v>0.3333333333333333</v>
      </c>
      <c r="E3412" t="inlineStr">
        <is>
          <t>Night</t>
        </is>
      </c>
      <c r="F3412" t="inlineStr">
        <is>
          <t>Sep</t>
        </is>
      </c>
      <c r="G3412" s="18">
        <f>IF(D3412&lt;C3412,D3412+1-C3412,D3412-C3412)*24</f>
        <v/>
      </c>
      <c r="H3412" s="18">
        <f>MAX(0,G3412-8)</f>
        <v/>
      </c>
    </row>
    <row r="3413">
      <c r="A3413" t="n">
        <v>1110</v>
      </c>
      <c r="B3413" s="14" t="n">
        <v>46295</v>
      </c>
      <c r="C3413" s="17" t="n">
        <v>0.9375</v>
      </c>
      <c r="D3413" s="17" t="n">
        <v>0.2708333333333333</v>
      </c>
      <c r="E3413" t="inlineStr">
        <is>
          <t>Night</t>
        </is>
      </c>
      <c r="F3413" t="inlineStr">
        <is>
          <t>Sep</t>
        </is>
      </c>
      <c r="G3413" s="18">
        <f>IF(D3413&lt;C3413,D3413+1-C3413,D3413-C3413)*24</f>
        <v/>
      </c>
      <c r="H3413" s="18">
        <f>MAX(0,G3413-8)</f>
        <v/>
      </c>
    </row>
    <row r="3414">
      <c r="A3414" t="n">
        <v>1112</v>
      </c>
      <c r="B3414" s="14" t="n">
        <v>46295</v>
      </c>
      <c r="C3414" s="17" t="n">
        <v>0.9166666666666666</v>
      </c>
      <c r="D3414" s="17" t="n">
        <v>0.3958333333333333</v>
      </c>
      <c r="E3414" t="inlineStr">
        <is>
          <t>Night</t>
        </is>
      </c>
      <c r="F3414" t="inlineStr">
        <is>
          <t>Sep</t>
        </is>
      </c>
      <c r="G3414" s="18">
        <f>IF(D3414&lt;C3414,D3414+1-C3414,D3414-C3414)*24</f>
        <v/>
      </c>
      <c r="H3414" s="18">
        <f>MAX(0,G3414-8)</f>
        <v/>
      </c>
    </row>
    <row r="3415">
      <c r="A3415" t="n">
        <v>1114</v>
      </c>
      <c r="B3415" s="14" t="n">
        <v>46295</v>
      </c>
      <c r="C3415" s="17" t="n">
        <v>0.9166666666666666</v>
      </c>
      <c r="D3415" s="17" t="n">
        <v>0.2708333333333333</v>
      </c>
      <c r="E3415" t="inlineStr">
        <is>
          <t>Night</t>
        </is>
      </c>
      <c r="F3415" t="inlineStr">
        <is>
          <t>Sep</t>
        </is>
      </c>
      <c r="G3415" s="18">
        <f>IF(D3415&lt;C3415,D3415+1-C3415,D3415-C3415)*24</f>
        <v/>
      </c>
      <c r="H3415" s="18">
        <f>MAX(0,G3415-8)</f>
        <v/>
      </c>
    </row>
    <row r="3416">
      <c r="A3416" t="n">
        <v>1115</v>
      </c>
      <c r="B3416" s="14" t="n">
        <v>46295</v>
      </c>
      <c r="C3416" s="17" t="n">
        <v>0.9166666666666666</v>
      </c>
      <c r="D3416" s="17" t="n">
        <v>0.2708333333333333</v>
      </c>
      <c r="E3416" t="inlineStr">
        <is>
          <t>Night</t>
        </is>
      </c>
      <c r="F3416" t="inlineStr">
        <is>
          <t>Sep</t>
        </is>
      </c>
      <c r="G3416" s="18">
        <f>IF(D3416&lt;C3416,D3416+1-C3416,D3416-C3416)*24</f>
        <v/>
      </c>
      <c r="H3416" s="18">
        <f>MAX(0,G3416-8)</f>
        <v/>
      </c>
    </row>
    <row r="3417">
      <c r="A3417" t="n">
        <v>1116</v>
      </c>
      <c r="B3417" s="14" t="n">
        <v>46295</v>
      </c>
      <c r="C3417" s="17" t="n">
        <v>0.9270833333333334</v>
      </c>
      <c r="D3417" s="17" t="n">
        <v>0.28125</v>
      </c>
      <c r="E3417" t="inlineStr">
        <is>
          <t>Night</t>
        </is>
      </c>
      <c r="F3417" t="inlineStr">
        <is>
          <t>Sep</t>
        </is>
      </c>
      <c r="G3417" s="18">
        <f>IF(D3417&lt;C3417,D3417+1-C3417,D3417-C3417)*24</f>
        <v/>
      </c>
      <c r="H3417" s="18">
        <f>MAX(0,G3417-8)</f>
        <v/>
      </c>
    </row>
    <row r="3418">
      <c r="A3418" t="n">
        <v>1117</v>
      </c>
      <c r="B3418" s="14" t="n">
        <v>46295</v>
      </c>
      <c r="C3418" s="17" t="n">
        <v>0.9166666666666666</v>
      </c>
      <c r="D3418" s="17" t="n">
        <v>0.3958333333333333</v>
      </c>
      <c r="E3418" t="inlineStr">
        <is>
          <t>Night</t>
        </is>
      </c>
      <c r="F3418" t="inlineStr">
        <is>
          <t>Sep</t>
        </is>
      </c>
      <c r="G3418" s="18">
        <f>IF(D3418&lt;C3418,D3418+1-C3418,D3418-C3418)*24</f>
        <v/>
      </c>
      <c r="H3418" s="18">
        <f>MAX(0,G3418-8)</f>
        <v/>
      </c>
    </row>
    <row r="3419">
      <c r="A3419" t="n">
        <v>1118</v>
      </c>
      <c r="B3419" s="14" t="n">
        <v>46295</v>
      </c>
      <c r="C3419" s="17" t="n">
        <v>0.9270833333333334</v>
      </c>
      <c r="D3419" s="17" t="n">
        <v>0.40625</v>
      </c>
      <c r="E3419" t="inlineStr">
        <is>
          <t>Night</t>
        </is>
      </c>
      <c r="F3419" t="inlineStr">
        <is>
          <t>Sep</t>
        </is>
      </c>
      <c r="G3419" s="18">
        <f>IF(D3419&lt;C3419,D3419+1-C3419,D3419-C3419)*24</f>
        <v/>
      </c>
      <c r="H3419" s="18">
        <f>MAX(0,G3419-8)</f>
        <v/>
      </c>
    </row>
    <row r="3420">
      <c r="A3420" t="n">
        <v>1119</v>
      </c>
      <c r="B3420" s="14" t="n">
        <v>46295</v>
      </c>
      <c r="C3420" s="17" t="n">
        <v>0.9375</v>
      </c>
      <c r="D3420" s="17" t="n">
        <v>0.375</v>
      </c>
      <c r="E3420" t="inlineStr">
        <is>
          <t>Night</t>
        </is>
      </c>
      <c r="F3420" t="inlineStr">
        <is>
          <t>Sep</t>
        </is>
      </c>
      <c r="G3420" s="18">
        <f>IF(D3420&lt;C3420,D3420+1-C3420,D3420-C3420)*24</f>
        <v/>
      </c>
      <c r="H3420" s="18">
        <f>MAX(0,G3420-8)</f>
        <v/>
      </c>
    </row>
    <row r="3421">
      <c r="A3421" t="n">
        <v>1121</v>
      </c>
      <c r="B3421" s="14" t="n">
        <v>46295</v>
      </c>
      <c r="C3421" s="17" t="n">
        <v>0.9166666666666666</v>
      </c>
      <c r="D3421" s="17" t="n">
        <v>0.375</v>
      </c>
      <c r="E3421" t="inlineStr">
        <is>
          <t>Night</t>
        </is>
      </c>
      <c r="F3421" t="inlineStr">
        <is>
          <t>Sep</t>
        </is>
      </c>
      <c r="G3421" s="18">
        <f>IF(D3421&lt;C3421,D3421+1-C3421,D3421-C3421)*24</f>
        <v/>
      </c>
      <c r="H3421" s="18">
        <f>MAX(0,G3421-8)</f>
        <v/>
      </c>
    </row>
    <row r="3422">
      <c r="A3422" t="n">
        <v>1123</v>
      </c>
      <c r="B3422" s="14" t="n">
        <v>46295</v>
      </c>
      <c r="C3422" s="17" t="n">
        <v>0.9166666666666666</v>
      </c>
      <c r="D3422" s="17" t="n">
        <v>0.25</v>
      </c>
      <c r="E3422" t="inlineStr">
        <is>
          <t>Night</t>
        </is>
      </c>
      <c r="F3422" t="inlineStr">
        <is>
          <t>Sep</t>
        </is>
      </c>
      <c r="G3422" s="18">
        <f>IF(D3422&lt;C3422,D3422+1-C3422,D3422-C3422)*24</f>
        <v/>
      </c>
      <c r="H3422" s="18">
        <f>MAX(0,G3422-8)</f>
        <v/>
      </c>
    </row>
    <row r="3423">
      <c r="A3423" t="n">
        <v>1124</v>
      </c>
      <c r="B3423" s="14" t="n">
        <v>46295</v>
      </c>
      <c r="C3423" s="17" t="n">
        <v>0.9166666666666666</v>
      </c>
      <c r="D3423" s="17" t="n">
        <v>0.3958333333333333</v>
      </c>
      <c r="E3423" t="inlineStr">
        <is>
          <t>Night</t>
        </is>
      </c>
      <c r="F3423" t="inlineStr">
        <is>
          <t>Sep</t>
        </is>
      </c>
      <c r="G3423" s="18">
        <f>IF(D3423&lt;C3423,D3423+1-C3423,D3423-C3423)*24</f>
        <v/>
      </c>
      <c r="H3423" s="18">
        <f>MAX(0,G3423-8)</f>
        <v/>
      </c>
    </row>
    <row r="3424">
      <c r="A3424" t="n">
        <v>1125</v>
      </c>
      <c r="B3424" s="14" t="n">
        <v>46295</v>
      </c>
      <c r="C3424" s="17" t="n">
        <v>0.9270833333333334</v>
      </c>
      <c r="D3424" s="17" t="n">
        <v>0.3854166666666667</v>
      </c>
      <c r="E3424" t="inlineStr">
        <is>
          <t>Night</t>
        </is>
      </c>
      <c r="F3424" t="inlineStr">
        <is>
          <t>Sep</t>
        </is>
      </c>
      <c r="G3424" s="18">
        <f>IF(D3424&lt;C3424,D3424+1-C3424,D3424-C3424)*24</f>
        <v/>
      </c>
      <c r="H3424" s="18">
        <f>MAX(0,G3424-8)</f>
        <v/>
      </c>
    </row>
    <row r="3425">
      <c r="A3425" t="n">
        <v>1126</v>
      </c>
      <c r="B3425" s="14" t="n">
        <v>46295</v>
      </c>
      <c r="C3425" s="17" t="n">
        <v>0.9270833333333334</v>
      </c>
      <c r="D3425" s="17" t="n">
        <v>0.3854166666666667</v>
      </c>
      <c r="E3425" t="inlineStr">
        <is>
          <t>Night</t>
        </is>
      </c>
      <c r="F3425" t="inlineStr">
        <is>
          <t>Sep</t>
        </is>
      </c>
      <c r="G3425" s="18">
        <f>IF(D3425&lt;C3425,D3425+1-C3425,D3425-C3425)*24</f>
        <v/>
      </c>
      <c r="H3425" s="18">
        <f>MAX(0,G3425-8)</f>
        <v/>
      </c>
    </row>
    <row r="3426">
      <c r="A3426" t="n">
        <v>1127</v>
      </c>
      <c r="B3426" s="14" t="n">
        <v>46295</v>
      </c>
      <c r="C3426" s="17" t="n">
        <v>0.9166666666666666</v>
      </c>
      <c r="D3426" s="17" t="n">
        <v>0.3125</v>
      </c>
      <c r="E3426" t="inlineStr">
        <is>
          <t>Night</t>
        </is>
      </c>
      <c r="F3426" t="inlineStr">
        <is>
          <t>Sep</t>
        </is>
      </c>
      <c r="G3426" s="18">
        <f>IF(D3426&lt;C3426,D3426+1-C3426,D3426-C3426)*24</f>
        <v/>
      </c>
      <c r="H3426" s="18">
        <f>MAX(0,G3426-8)</f>
        <v/>
      </c>
    </row>
    <row r="3427">
      <c r="A3427" t="n">
        <v>1128</v>
      </c>
      <c r="B3427" s="14" t="n">
        <v>46295</v>
      </c>
      <c r="C3427" s="17" t="n">
        <v>0.9270833333333334</v>
      </c>
      <c r="D3427" s="17" t="n">
        <v>0.40625</v>
      </c>
      <c r="E3427" t="inlineStr">
        <is>
          <t>Night</t>
        </is>
      </c>
      <c r="F3427" t="inlineStr">
        <is>
          <t>Sep</t>
        </is>
      </c>
      <c r="G3427" s="18">
        <f>IF(D3427&lt;C3427,D3427+1-C3427,D3427-C3427)*24</f>
        <v/>
      </c>
      <c r="H3427" s="18">
        <f>MAX(0,G3427-8)</f>
        <v/>
      </c>
    </row>
    <row r="3428">
      <c r="A3428" t="n">
        <v>1130</v>
      </c>
      <c r="B3428" s="14" t="n">
        <v>46295</v>
      </c>
      <c r="C3428" s="17" t="n">
        <v>0.9166666666666666</v>
      </c>
      <c r="D3428" s="17" t="n">
        <v>0.3333333333333333</v>
      </c>
      <c r="E3428" t="inlineStr">
        <is>
          <t>Night</t>
        </is>
      </c>
      <c r="F3428" t="inlineStr">
        <is>
          <t>Sep</t>
        </is>
      </c>
      <c r="G3428" s="18">
        <f>IF(D3428&lt;C3428,D3428+1-C3428,D3428-C3428)*24</f>
        <v/>
      </c>
      <c r="H3428" s="18">
        <f>MAX(0,G3428-8)</f>
        <v/>
      </c>
    </row>
    <row r="3429">
      <c r="A3429" t="n">
        <v>1131</v>
      </c>
      <c r="B3429" s="14" t="n">
        <v>46295</v>
      </c>
      <c r="C3429" s="17" t="n">
        <v>0.9375</v>
      </c>
      <c r="D3429" s="17" t="n">
        <v>0.4166666666666667</v>
      </c>
      <c r="E3429" t="inlineStr">
        <is>
          <t>Night</t>
        </is>
      </c>
      <c r="F3429" t="inlineStr">
        <is>
          <t>Sep</t>
        </is>
      </c>
      <c r="G3429" s="18">
        <f>IF(D3429&lt;C3429,D3429+1-C3429,D3429-C3429)*24</f>
        <v/>
      </c>
      <c r="H3429" s="18">
        <f>MAX(0,G3429-8)</f>
        <v/>
      </c>
    </row>
    <row r="3430">
      <c r="A3430" t="n">
        <v>1132</v>
      </c>
      <c r="B3430" s="14" t="n">
        <v>46295</v>
      </c>
      <c r="C3430" s="17" t="n">
        <v>0.9270833333333334</v>
      </c>
      <c r="D3430" s="17" t="n">
        <v>0.28125</v>
      </c>
      <c r="E3430" t="inlineStr">
        <is>
          <t>Night</t>
        </is>
      </c>
      <c r="F3430" t="inlineStr">
        <is>
          <t>Sep</t>
        </is>
      </c>
      <c r="G3430" s="18">
        <f>IF(D3430&lt;C3430,D3430+1-C3430,D3430-C3430)*24</f>
        <v/>
      </c>
      <c r="H3430" s="18">
        <f>MAX(0,G3430-8)</f>
        <v/>
      </c>
    </row>
    <row r="3431">
      <c r="A3431" t="n">
        <v>1133</v>
      </c>
      <c r="B3431" s="14" t="n">
        <v>46295</v>
      </c>
      <c r="C3431" s="17" t="n">
        <v>0.9166666666666666</v>
      </c>
      <c r="D3431" s="17" t="n">
        <v>0.3125</v>
      </c>
      <c r="E3431" t="inlineStr">
        <is>
          <t>Night</t>
        </is>
      </c>
      <c r="F3431" t="inlineStr">
        <is>
          <t>Sep</t>
        </is>
      </c>
      <c r="G3431" s="18">
        <f>IF(D3431&lt;C3431,D3431+1-C3431,D3431-C3431)*24</f>
        <v/>
      </c>
      <c r="H3431" s="18">
        <f>MAX(0,G3431-8)</f>
        <v/>
      </c>
    </row>
    <row r="3432">
      <c r="A3432" t="n">
        <v>1134</v>
      </c>
      <c r="B3432" s="14" t="n">
        <v>46295</v>
      </c>
      <c r="C3432" s="17" t="n">
        <v>0.9270833333333334</v>
      </c>
      <c r="D3432" s="17" t="n">
        <v>0.2604166666666667</v>
      </c>
      <c r="E3432" t="inlineStr">
        <is>
          <t>Night</t>
        </is>
      </c>
      <c r="F3432" t="inlineStr">
        <is>
          <t>Sep</t>
        </is>
      </c>
      <c r="G3432" s="18">
        <f>IF(D3432&lt;C3432,D3432+1-C3432,D3432-C3432)*24</f>
        <v/>
      </c>
      <c r="H3432" s="18">
        <f>MAX(0,G3432-8)</f>
        <v/>
      </c>
    </row>
    <row r="3433">
      <c r="A3433" t="n">
        <v>1135</v>
      </c>
      <c r="B3433" s="14" t="n">
        <v>46295</v>
      </c>
      <c r="C3433" s="17" t="n">
        <v>0.9166666666666666</v>
      </c>
      <c r="D3433" s="17" t="n">
        <v>0.2916666666666667</v>
      </c>
      <c r="E3433" t="inlineStr">
        <is>
          <t>Night</t>
        </is>
      </c>
      <c r="F3433" t="inlineStr">
        <is>
          <t>Sep</t>
        </is>
      </c>
      <c r="G3433" s="18">
        <f>IF(D3433&lt;C3433,D3433+1-C3433,D3433-C3433)*24</f>
        <v/>
      </c>
      <c r="H3433" s="18">
        <f>MAX(0,G3433-8)</f>
        <v/>
      </c>
    </row>
    <row r="3434">
      <c r="A3434" t="n">
        <v>1136</v>
      </c>
      <c r="B3434" s="14" t="n">
        <v>46295</v>
      </c>
      <c r="C3434" s="17" t="n">
        <v>0.9166666666666666</v>
      </c>
      <c r="D3434" s="17" t="n">
        <v>0.3333333333333333</v>
      </c>
      <c r="E3434" t="inlineStr">
        <is>
          <t>Night</t>
        </is>
      </c>
      <c r="F3434" t="inlineStr">
        <is>
          <t>Sep</t>
        </is>
      </c>
      <c r="G3434" s="18">
        <f>IF(D3434&lt;C3434,D3434+1-C3434,D3434-C3434)*24</f>
        <v/>
      </c>
      <c r="H3434" s="18">
        <f>MAX(0,G3434-8)</f>
        <v/>
      </c>
    </row>
    <row r="3435">
      <c r="A3435" t="n">
        <v>1137</v>
      </c>
      <c r="B3435" s="14" t="n">
        <v>46295</v>
      </c>
      <c r="C3435" s="17" t="n">
        <v>0.9166666666666666</v>
      </c>
      <c r="D3435" s="17" t="n">
        <v>0.2916666666666667</v>
      </c>
      <c r="E3435" t="inlineStr">
        <is>
          <t>Night</t>
        </is>
      </c>
      <c r="F3435" t="inlineStr">
        <is>
          <t>Sep</t>
        </is>
      </c>
      <c r="G3435" s="18">
        <f>IF(D3435&lt;C3435,D3435+1-C3435,D3435-C3435)*24</f>
        <v/>
      </c>
      <c r="H3435" s="18">
        <f>MAX(0,G3435-8)</f>
        <v/>
      </c>
    </row>
    <row r="3436">
      <c r="A3436" t="n">
        <v>1147</v>
      </c>
      <c r="B3436" s="14" t="n">
        <v>46295</v>
      </c>
      <c r="C3436" s="17" t="n">
        <v>0.9166666666666666</v>
      </c>
      <c r="D3436" s="17" t="n">
        <v>0.3333333333333333</v>
      </c>
      <c r="E3436" t="inlineStr">
        <is>
          <t>Night</t>
        </is>
      </c>
      <c r="F3436" t="inlineStr">
        <is>
          <t>Sep</t>
        </is>
      </c>
      <c r="G3436" s="18">
        <f>IF(D3436&lt;C3436,D3436+1-C3436,D3436-C3436)*24</f>
        <v/>
      </c>
      <c r="H3436" s="18">
        <f>MAX(0,G3436-8)</f>
        <v/>
      </c>
    </row>
    <row r="3437">
      <c r="A3437" t="n">
        <v>1107</v>
      </c>
      <c r="B3437" s="14" t="n">
        <v>46295</v>
      </c>
      <c r="C3437" s="17" t="n">
        <v>0.02083333333333333</v>
      </c>
      <c r="D3437" s="17" t="n">
        <v>0.4791666666666667</v>
      </c>
      <c r="E3437" t="inlineStr">
        <is>
          <t>Night</t>
        </is>
      </c>
      <c r="F3437" t="inlineStr">
        <is>
          <t>Sep</t>
        </is>
      </c>
      <c r="G3437" s="18">
        <f>IF(D3437&lt;C3437,D3437+1-C3437,D3437-C3437)*24</f>
        <v/>
      </c>
      <c r="H3437" s="18">
        <f>MAX(0,G3437-8)</f>
        <v/>
      </c>
    </row>
    <row r="3438">
      <c r="A3438" t="n">
        <v>1111</v>
      </c>
      <c r="B3438" s="14" t="n">
        <v>46295</v>
      </c>
      <c r="C3438" s="17" t="n">
        <v>0.01041666666666667</v>
      </c>
      <c r="D3438" s="17" t="n">
        <v>0.4270833333333333</v>
      </c>
      <c r="E3438" t="inlineStr">
        <is>
          <t>Night</t>
        </is>
      </c>
      <c r="F3438" t="inlineStr">
        <is>
          <t>Sep</t>
        </is>
      </c>
      <c r="G3438" s="18">
        <f>IF(D3438&lt;C3438,D3438+1-C3438,D3438-C3438)*24</f>
        <v/>
      </c>
      <c r="H3438" s="18">
        <f>MAX(0,G3438-8)</f>
        <v/>
      </c>
    </row>
    <row r="3439">
      <c r="A3439" t="n">
        <v>1120</v>
      </c>
      <c r="B3439" s="14" t="n">
        <v>46295</v>
      </c>
      <c r="C3439" s="17" t="n">
        <v>0.01041666666666667</v>
      </c>
      <c r="D3439" s="17" t="n">
        <v>0.46875</v>
      </c>
      <c r="E3439" t="inlineStr">
        <is>
          <t>Night</t>
        </is>
      </c>
      <c r="F3439" t="inlineStr">
        <is>
          <t>Sep</t>
        </is>
      </c>
      <c r="G3439" s="18">
        <f>IF(D3439&lt;C3439,D3439+1-C3439,D3439-C3439)*24</f>
        <v/>
      </c>
      <c r="H3439" s="18">
        <f>MAX(0,G3439-8)</f>
        <v/>
      </c>
    </row>
    <row r="3440">
      <c r="A3440" t="n">
        <v>1122</v>
      </c>
      <c r="B3440" s="14" t="n">
        <v>46295</v>
      </c>
      <c r="C3440" s="17" t="n">
        <v>0.01041666666666667</v>
      </c>
      <c r="D3440" s="17" t="n">
        <v>0.40625</v>
      </c>
      <c r="E3440" t="inlineStr">
        <is>
          <t>Night</t>
        </is>
      </c>
      <c r="F3440" t="inlineStr">
        <is>
          <t>Sep</t>
        </is>
      </c>
      <c r="G3440" s="18">
        <f>IF(D3440&lt;C3440,D3440+1-C3440,D3440-C3440)*24</f>
        <v/>
      </c>
      <c r="H3440" s="18">
        <f>MAX(0,G3440-8)</f>
        <v/>
      </c>
    </row>
    <row r="3441">
      <c r="A3441" t="n">
        <v>1129</v>
      </c>
      <c r="B3441" s="14" t="n">
        <v>46295</v>
      </c>
      <c r="C3441" s="17" t="n">
        <v>0.02083333333333333</v>
      </c>
      <c r="D3441" s="17" t="n">
        <v>0.375</v>
      </c>
      <c r="E3441" t="inlineStr">
        <is>
          <t>Night</t>
        </is>
      </c>
      <c r="F3441" t="inlineStr">
        <is>
          <t>Sep</t>
        </is>
      </c>
      <c r="G3441" s="18">
        <f>IF(D3441&lt;C3441,D3441+1-C3441,D3441-C3441)*24</f>
        <v/>
      </c>
      <c r="H3441" s="18">
        <f>MAX(0,G3441-8)</f>
        <v/>
      </c>
    </row>
    <row r="3442">
      <c r="A3442" t="n">
        <v>1201</v>
      </c>
      <c r="B3442" s="14" t="n">
        <v>46295</v>
      </c>
      <c r="C3442" s="17" t="n">
        <v>0.2708333333333333</v>
      </c>
      <c r="D3442" s="17" t="n">
        <v>0.6458333333333334</v>
      </c>
      <c r="E3442" t="inlineStr">
        <is>
          <t>Day</t>
        </is>
      </c>
      <c r="F3442" t="inlineStr">
        <is>
          <t>Sep</t>
        </is>
      </c>
      <c r="G3442" s="18">
        <f>IF(D3442&lt;C3442,D3442+1-C3442,D3442-C3442)*24</f>
        <v/>
      </c>
      <c r="H3442" s="18">
        <f>MAX(0,G3442-8)</f>
        <v/>
      </c>
    </row>
    <row r="3443">
      <c r="A3443" t="n">
        <v>1202</v>
      </c>
      <c r="B3443" s="14" t="n">
        <v>46295</v>
      </c>
      <c r="C3443" s="17" t="n">
        <v>0.25</v>
      </c>
      <c r="D3443" s="17" t="n">
        <v>0.5833333333333334</v>
      </c>
      <c r="E3443" t="inlineStr">
        <is>
          <t>Day</t>
        </is>
      </c>
      <c r="F3443" t="inlineStr">
        <is>
          <t>Sep</t>
        </is>
      </c>
      <c r="G3443" s="18">
        <f>IF(D3443&lt;C3443,D3443+1-C3443,D3443-C3443)*24</f>
        <v/>
      </c>
      <c r="H3443" s="18">
        <f>MAX(0,G3443-8)</f>
        <v/>
      </c>
    </row>
    <row r="3444">
      <c r="A3444" t="n">
        <v>1203</v>
      </c>
      <c r="B3444" s="14" t="n">
        <v>46295</v>
      </c>
      <c r="C3444" s="17" t="n">
        <v>0.2708333333333333</v>
      </c>
      <c r="D3444" s="17" t="n">
        <v>0.6458333333333334</v>
      </c>
      <c r="E3444" t="inlineStr">
        <is>
          <t>Day</t>
        </is>
      </c>
      <c r="F3444" t="inlineStr">
        <is>
          <t>Sep</t>
        </is>
      </c>
      <c r="G3444" s="18">
        <f>IF(D3444&lt;C3444,D3444+1-C3444,D3444-C3444)*24</f>
        <v/>
      </c>
      <c r="H3444" s="18">
        <f>MAX(0,G3444-8)</f>
        <v/>
      </c>
    </row>
    <row r="3445">
      <c r="A3445" t="n">
        <v>1204</v>
      </c>
      <c r="B3445" s="14" t="n">
        <v>46295</v>
      </c>
      <c r="C3445" s="17" t="n">
        <v>0.25</v>
      </c>
      <c r="D3445" s="17" t="n">
        <v>0.5833333333333334</v>
      </c>
      <c r="E3445" t="inlineStr">
        <is>
          <t>Day</t>
        </is>
      </c>
      <c r="F3445" t="inlineStr">
        <is>
          <t>Sep</t>
        </is>
      </c>
      <c r="G3445" s="18">
        <f>IF(D3445&lt;C3445,D3445+1-C3445,D3445-C3445)*24</f>
        <v/>
      </c>
      <c r="H3445" s="18">
        <f>MAX(0,G3445-8)</f>
        <v/>
      </c>
    </row>
    <row r="3446">
      <c r="A3446" t="n">
        <v>1205</v>
      </c>
      <c r="B3446" s="14" t="n">
        <v>46295</v>
      </c>
      <c r="C3446" s="17" t="n">
        <v>0.25</v>
      </c>
      <c r="D3446" s="17" t="n">
        <v>0.6666666666666666</v>
      </c>
      <c r="E3446" t="inlineStr">
        <is>
          <t>Day</t>
        </is>
      </c>
      <c r="F3446" t="inlineStr">
        <is>
          <t>Sep</t>
        </is>
      </c>
      <c r="G3446" s="18">
        <f>IF(D3446&lt;C3446,D3446+1-C3446,D3446-C3446)*24</f>
        <v/>
      </c>
      <c r="H3446" s="18">
        <f>MAX(0,G3446-8)</f>
        <v/>
      </c>
    </row>
    <row r="3447">
      <c r="A3447" t="n">
        <v>1206</v>
      </c>
      <c r="B3447" s="14" t="n">
        <v>46295</v>
      </c>
      <c r="C3447" s="17" t="n">
        <v>0.2708333333333333</v>
      </c>
      <c r="D3447" s="17" t="n">
        <v>0.625</v>
      </c>
      <c r="E3447" t="inlineStr">
        <is>
          <t>Day</t>
        </is>
      </c>
      <c r="F3447" t="inlineStr">
        <is>
          <t>Sep</t>
        </is>
      </c>
      <c r="G3447" s="18">
        <f>IF(D3447&lt;C3447,D3447+1-C3447,D3447-C3447)*24</f>
        <v/>
      </c>
      <c r="H3447" s="18">
        <f>MAX(0,G3447-8)</f>
        <v/>
      </c>
    </row>
    <row r="3448">
      <c r="A3448" t="n">
        <v>1207</v>
      </c>
      <c r="B3448" s="14" t="n">
        <v>46295</v>
      </c>
      <c r="C3448" s="17" t="n">
        <v>0.25</v>
      </c>
      <c r="D3448" s="17" t="n">
        <v>0.5833333333333334</v>
      </c>
      <c r="E3448" t="inlineStr">
        <is>
          <t>Day</t>
        </is>
      </c>
      <c r="F3448" t="inlineStr">
        <is>
          <t>Sep</t>
        </is>
      </c>
      <c r="G3448" s="18">
        <f>IF(D3448&lt;C3448,D3448+1-C3448,D3448-C3448)*24</f>
        <v/>
      </c>
      <c r="H3448" s="18">
        <f>MAX(0,G3448-8)</f>
        <v/>
      </c>
    </row>
    <row r="3449">
      <c r="A3449" t="n">
        <v>1208</v>
      </c>
      <c r="B3449" s="14" t="n">
        <v>46295</v>
      </c>
      <c r="C3449" s="17" t="n">
        <v>0.2708333333333333</v>
      </c>
      <c r="D3449" s="17" t="n">
        <v>0.6458333333333334</v>
      </c>
      <c r="E3449" t="inlineStr">
        <is>
          <t>Day</t>
        </is>
      </c>
      <c r="F3449" t="inlineStr">
        <is>
          <t>Sep</t>
        </is>
      </c>
      <c r="G3449" s="18">
        <f>IF(D3449&lt;C3449,D3449+1-C3449,D3449-C3449)*24</f>
        <v/>
      </c>
      <c r="H3449" s="18">
        <f>MAX(0,G3449-8)</f>
        <v/>
      </c>
    </row>
    <row r="3450">
      <c r="A3450" t="n">
        <v>1209</v>
      </c>
      <c r="B3450" s="14" t="n">
        <v>46295</v>
      </c>
      <c r="C3450" s="17" t="n">
        <v>0.25</v>
      </c>
      <c r="D3450" s="17" t="n">
        <v>0.5833333333333334</v>
      </c>
      <c r="E3450" t="inlineStr">
        <is>
          <t>Day</t>
        </is>
      </c>
      <c r="F3450" t="inlineStr">
        <is>
          <t>Sep</t>
        </is>
      </c>
      <c r="G3450" s="18">
        <f>IF(D3450&lt;C3450,D3450+1-C3450,D3450-C3450)*24</f>
        <v/>
      </c>
      <c r="H3450" s="18">
        <f>MAX(0,G3450-8)</f>
        <v/>
      </c>
    </row>
    <row r="3451">
      <c r="A3451" t="n">
        <v>1210</v>
      </c>
      <c r="B3451" s="14" t="n">
        <v>46295</v>
      </c>
      <c r="C3451" s="17" t="n">
        <v>0.2708333333333333</v>
      </c>
      <c r="D3451" s="17" t="n">
        <v>0.6041666666666666</v>
      </c>
      <c r="E3451" t="inlineStr">
        <is>
          <t>Day</t>
        </is>
      </c>
      <c r="F3451" t="inlineStr">
        <is>
          <t>Sep</t>
        </is>
      </c>
      <c r="G3451" s="18">
        <f>IF(D3451&lt;C3451,D3451+1-C3451,D3451-C3451)*24</f>
        <v/>
      </c>
      <c r="H3451" s="18">
        <f>MAX(0,G3451-8)</f>
        <v/>
      </c>
    </row>
    <row r="3452">
      <c r="A3452" t="n">
        <v>1211</v>
      </c>
      <c r="B3452" s="14" t="n">
        <v>46295</v>
      </c>
      <c r="C3452" s="17" t="n">
        <v>0.2708333333333333</v>
      </c>
      <c r="D3452" s="17" t="n">
        <v>0.625</v>
      </c>
      <c r="E3452" t="inlineStr">
        <is>
          <t>Day</t>
        </is>
      </c>
      <c r="F3452" t="inlineStr">
        <is>
          <t>Sep</t>
        </is>
      </c>
      <c r="G3452" s="18">
        <f>IF(D3452&lt;C3452,D3452+1-C3452,D3452-C3452)*24</f>
        <v/>
      </c>
      <c r="H3452" s="18">
        <f>MAX(0,G3452-8)</f>
        <v/>
      </c>
    </row>
    <row r="3453">
      <c r="A3453" t="n">
        <v>1212</v>
      </c>
      <c r="B3453" s="14" t="n">
        <v>46295</v>
      </c>
      <c r="C3453" s="17" t="n">
        <v>0.25</v>
      </c>
      <c r="D3453" s="17" t="n">
        <v>0.5833333333333334</v>
      </c>
      <c r="E3453" t="inlineStr">
        <is>
          <t>Day</t>
        </is>
      </c>
      <c r="F3453" t="inlineStr">
        <is>
          <t>Sep</t>
        </is>
      </c>
      <c r="G3453" s="18">
        <f>IF(D3453&lt;C3453,D3453+1-C3453,D3453-C3453)*24</f>
        <v/>
      </c>
      <c r="H3453" s="18">
        <f>MAX(0,G3453-8)</f>
        <v/>
      </c>
    </row>
    <row r="3454">
      <c r="A3454" t="n">
        <v>1213</v>
      </c>
      <c r="B3454" s="14" t="n">
        <v>46295</v>
      </c>
      <c r="C3454" s="17" t="n">
        <v>0.25</v>
      </c>
      <c r="D3454" s="17" t="n">
        <v>0.6041666666666666</v>
      </c>
      <c r="E3454" t="inlineStr">
        <is>
          <t>Day</t>
        </is>
      </c>
      <c r="F3454" t="inlineStr">
        <is>
          <t>Sep</t>
        </is>
      </c>
      <c r="G3454" s="18">
        <f>IF(D3454&lt;C3454,D3454+1-C3454,D3454-C3454)*24</f>
        <v/>
      </c>
      <c r="H3454" s="18">
        <f>MAX(0,G3454-8)</f>
        <v/>
      </c>
    </row>
    <row r="3455">
      <c r="A3455" t="n">
        <v>1214</v>
      </c>
      <c r="B3455" s="14" t="n">
        <v>46295</v>
      </c>
      <c r="C3455" s="17" t="n">
        <v>0.25</v>
      </c>
      <c r="D3455" s="17" t="n">
        <v>0.6666666666666666</v>
      </c>
      <c r="E3455" t="inlineStr">
        <is>
          <t>Day</t>
        </is>
      </c>
      <c r="F3455" t="inlineStr">
        <is>
          <t>Sep</t>
        </is>
      </c>
      <c r="G3455" s="18">
        <f>IF(D3455&lt;C3455,D3455+1-C3455,D3455-C3455)*24</f>
        <v/>
      </c>
      <c r="H3455" s="18">
        <f>MAX(0,G3455-8)</f>
        <v/>
      </c>
    </row>
    <row r="3456">
      <c r="A3456" t="n">
        <v>1215</v>
      </c>
      <c r="B3456" s="14" t="n">
        <v>46295</v>
      </c>
      <c r="C3456" s="17" t="n">
        <v>0.2708333333333333</v>
      </c>
      <c r="D3456" s="17" t="n">
        <v>0.6041666666666666</v>
      </c>
      <c r="E3456" t="inlineStr">
        <is>
          <t>Day</t>
        </is>
      </c>
      <c r="F3456" t="inlineStr">
        <is>
          <t>Sep</t>
        </is>
      </c>
      <c r="G3456" s="18">
        <f>IF(D3456&lt;C3456,D3456+1-C3456,D3456-C3456)*24</f>
        <v/>
      </c>
      <c r="H3456" s="18">
        <f>MAX(0,G3456-8)</f>
        <v/>
      </c>
    </row>
    <row r="3457">
      <c r="A3457" t="n">
        <v>1216</v>
      </c>
      <c r="B3457" s="14" t="n">
        <v>46295</v>
      </c>
      <c r="C3457" s="17" t="n">
        <v>0.2708333333333333</v>
      </c>
      <c r="D3457" s="17" t="n">
        <v>0.6041666666666666</v>
      </c>
      <c r="E3457" t="inlineStr">
        <is>
          <t>Day</t>
        </is>
      </c>
      <c r="F3457" t="inlineStr">
        <is>
          <t>Sep</t>
        </is>
      </c>
      <c r="G3457" s="18">
        <f>IF(D3457&lt;C3457,D3457+1-C3457,D3457-C3457)*24</f>
        <v/>
      </c>
      <c r="H3457" s="18">
        <f>MAX(0,G3457-8)</f>
        <v/>
      </c>
    </row>
    <row r="3458">
      <c r="A3458" t="n">
        <v>1218</v>
      </c>
      <c r="B3458" s="14" t="n">
        <v>46295</v>
      </c>
      <c r="C3458" s="17" t="n">
        <v>0.25</v>
      </c>
      <c r="D3458" s="17" t="n">
        <v>0.6666666666666666</v>
      </c>
      <c r="E3458" t="inlineStr">
        <is>
          <t>Day</t>
        </is>
      </c>
      <c r="F3458" t="inlineStr">
        <is>
          <t>Sep</t>
        </is>
      </c>
      <c r="G3458" s="18">
        <f>IF(D3458&lt;C3458,D3458+1-C3458,D3458-C3458)*24</f>
        <v/>
      </c>
      <c r="H3458" s="18">
        <f>MAX(0,G3458-8)</f>
        <v/>
      </c>
    </row>
    <row r="3459">
      <c r="A3459" t="n">
        <v>1219</v>
      </c>
      <c r="B3459" s="14" t="n">
        <v>46295</v>
      </c>
      <c r="C3459" s="17" t="n">
        <v>0.25</v>
      </c>
      <c r="D3459" s="17" t="n">
        <v>0.6041666666666666</v>
      </c>
      <c r="E3459" t="inlineStr">
        <is>
          <t>Day</t>
        </is>
      </c>
      <c r="F3459" t="inlineStr">
        <is>
          <t>Sep</t>
        </is>
      </c>
      <c r="G3459" s="18">
        <f>IF(D3459&lt;C3459,D3459+1-C3459,D3459-C3459)*24</f>
        <v/>
      </c>
      <c r="H3459" s="18">
        <f>MAX(0,G3459-8)</f>
        <v/>
      </c>
    </row>
    <row r="3460">
      <c r="A3460" t="n">
        <v>1220</v>
      </c>
      <c r="B3460" s="14" t="n">
        <v>46295</v>
      </c>
      <c r="C3460" s="17" t="n">
        <v>0.2708333333333333</v>
      </c>
      <c r="D3460" s="17" t="n">
        <v>0.625</v>
      </c>
      <c r="E3460" t="inlineStr">
        <is>
          <t>Day</t>
        </is>
      </c>
      <c r="F3460" t="inlineStr">
        <is>
          <t>Sep</t>
        </is>
      </c>
      <c r="G3460" s="18">
        <f>IF(D3460&lt;C3460,D3460+1-C3460,D3460-C3460)*24</f>
        <v/>
      </c>
      <c r="H3460" s="18">
        <f>MAX(0,G3460-8)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11" customWidth="1" min="4" max="4"/>
  </cols>
  <sheetData>
    <row r="1">
      <c r="A1" s="1" t="inlineStr">
        <is>
          <t>Emp ID</t>
        </is>
      </c>
      <c r="B1" s="1" t="inlineStr">
        <is>
          <t>Week of</t>
        </is>
      </c>
      <c r="C1" s="1" t="inlineStr">
        <is>
          <t>Crew</t>
        </is>
      </c>
      <c r="D1" s="1" t="inlineStr">
        <is>
          <t>Pallets/hr</t>
        </is>
      </c>
    </row>
    <row r="2">
      <c r="A2" t="n">
        <v>1101</v>
      </c>
      <c r="B2" s="14" t="n">
        <v>46202</v>
      </c>
      <c r="C2" t="inlineStr">
        <is>
          <t>Night</t>
        </is>
      </c>
      <c r="D2" t="n">
        <v>42</v>
      </c>
    </row>
    <row r="3">
      <c r="A3" t="n">
        <v>1102</v>
      </c>
      <c r="B3" s="14" t="n">
        <v>46202</v>
      </c>
      <c r="C3" t="inlineStr">
        <is>
          <t>Night</t>
        </is>
      </c>
      <c r="D3" t="n">
        <v>62</v>
      </c>
    </row>
    <row r="4">
      <c r="A4" t="n">
        <v>1103</v>
      </c>
      <c r="B4" s="14" t="n">
        <v>46202</v>
      </c>
      <c r="C4" t="inlineStr">
        <is>
          <t>Night</t>
        </is>
      </c>
      <c r="D4" t="n">
        <v>64</v>
      </c>
    </row>
    <row r="5">
      <c r="A5" t="n">
        <v>1104</v>
      </c>
      <c r="B5" s="14" t="n">
        <v>46202</v>
      </c>
      <c r="C5" t="inlineStr">
        <is>
          <t>Night</t>
        </is>
      </c>
      <c r="D5" t="n">
        <v>66</v>
      </c>
    </row>
    <row r="6">
      <c r="A6" t="n">
        <v>1147</v>
      </c>
      <c r="B6" s="14" t="n">
        <v>46202</v>
      </c>
      <c r="C6" t="inlineStr">
        <is>
          <t>Night</t>
        </is>
      </c>
      <c r="D6" t="n">
        <v>50</v>
      </c>
    </row>
    <row r="7">
      <c r="A7" t="n">
        <v>1107</v>
      </c>
      <c r="B7" s="14" t="n">
        <v>46202</v>
      </c>
      <c r="C7" t="inlineStr">
        <is>
          <t>Night</t>
        </is>
      </c>
      <c r="D7" t="n">
        <v>25</v>
      </c>
    </row>
    <row r="8">
      <c r="A8" t="n">
        <v>1108</v>
      </c>
      <c r="B8" s="14" t="n">
        <v>46202</v>
      </c>
      <c r="C8" t="inlineStr">
        <is>
          <t>Night</t>
        </is>
      </c>
      <c r="D8" t="n">
        <v>53</v>
      </c>
    </row>
    <row r="9">
      <c r="A9" t="n">
        <v>1109</v>
      </c>
      <c r="B9" s="14" t="n">
        <v>46202</v>
      </c>
      <c r="C9" t="inlineStr">
        <is>
          <t>Night</t>
        </is>
      </c>
      <c r="D9" t="n">
        <v>42</v>
      </c>
    </row>
    <row r="10">
      <c r="A10" t="n">
        <v>1110</v>
      </c>
      <c r="B10" s="14" t="n">
        <v>46202</v>
      </c>
      <c r="C10" t="inlineStr">
        <is>
          <t>Night</t>
        </is>
      </c>
      <c r="D10" t="n">
        <v>46</v>
      </c>
    </row>
    <row r="11">
      <c r="A11" t="n">
        <v>1111</v>
      </c>
      <c r="B11" s="14" t="n">
        <v>46202</v>
      </c>
      <c r="C11" t="inlineStr">
        <is>
          <t>Night</t>
        </is>
      </c>
      <c r="D11" t="n">
        <v>39</v>
      </c>
    </row>
    <row r="12">
      <c r="A12" t="n">
        <v>1112</v>
      </c>
      <c r="B12" s="14" t="n">
        <v>46202</v>
      </c>
      <c r="C12" t="inlineStr">
        <is>
          <t>Night</t>
        </is>
      </c>
      <c r="D12" t="n">
        <v>70</v>
      </c>
    </row>
    <row r="13">
      <c r="A13" t="n">
        <v>1113</v>
      </c>
      <c r="B13" s="14" t="n">
        <v>46202</v>
      </c>
      <c r="C13" t="inlineStr">
        <is>
          <t>Night</t>
        </is>
      </c>
      <c r="D13" t="n">
        <v>35</v>
      </c>
    </row>
    <row r="14">
      <c r="A14" t="n">
        <v>1114</v>
      </c>
      <c r="B14" s="14" t="n">
        <v>46202</v>
      </c>
      <c r="C14" t="inlineStr">
        <is>
          <t>Night</t>
        </is>
      </c>
      <c r="D14" t="n">
        <v>48</v>
      </c>
    </row>
    <row r="15">
      <c r="A15" t="n">
        <v>1115</v>
      </c>
      <c r="B15" s="14" t="n">
        <v>46202</v>
      </c>
      <c r="C15" t="inlineStr">
        <is>
          <t>Night</t>
        </is>
      </c>
      <c r="D15" t="n">
        <v>38</v>
      </c>
    </row>
    <row r="16">
      <c r="A16" t="n">
        <v>1116</v>
      </c>
      <c r="B16" s="14" t="n">
        <v>46202</v>
      </c>
      <c r="C16" t="inlineStr">
        <is>
          <t>Night</t>
        </is>
      </c>
      <c r="D16" t="n">
        <v>38</v>
      </c>
    </row>
    <row r="17">
      <c r="A17" t="n">
        <v>1117</v>
      </c>
      <c r="B17" s="14" t="n">
        <v>46202</v>
      </c>
      <c r="C17" t="inlineStr">
        <is>
          <t>Night</t>
        </is>
      </c>
      <c r="D17" t="n">
        <v>35</v>
      </c>
    </row>
    <row r="18">
      <c r="A18" t="n">
        <v>1118</v>
      </c>
      <c r="B18" s="14" t="n">
        <v>46202</v>
      </c>
      <c r="C18" t="inlineStr">
        <is>
          <t>Night</t>
        </is>
      </c>
      <c r="D18" t="n">
        <v>6</v>
      </c>
    </row>
    <row r="19">
      <c r="A19" t="n">
        <v>1119</v>
      </c>
      <c r="B19" s="14" t="n">
        <v>46202</v>
      </c>
      <c r="C19" t="inlineStr">
        <is>
          <t>Night</t>
        </is>
      </c>
      <c r="D19" t="n">
        <v>46</v>
      </c>
    </row>
    <row r="20">
      <c r="A20" t="n">
        <v>1120</v>
      </c>
      <c r="B20" s="14" t="n">
        <v>46202</v>
      </c>
      <c r="C20" t="inlineStr">
        <is>
          <t>Night</t>
        </is>
      </c>
      <c r="D20" t="n">
        <v>37</v>
      </c>
    </row>
    <row r="21">
      <c r="A21" t="n">
        <v>1121</v>
      </c>
      <c r="B21" s="14" t="n">
        <v>46202</v>
      </c>
      <c r="C21" t="inlineStr">
        <is>
          <t>Night</t>
        </is>
      </c>
      <c r="D21" t="n">
        <v>32</v>
      </c>
    </row>
    <row r="22">
      <c r="A22" t="n">
        <v>1122</v>
      </c>
      <c r="B22" s="14" t="n">
        <v>46202</v>
      </c>
      <c r="C22" t="inlineStr">
        <is>
          <t>Night</t>
        </is>
      </c>
      <c r="D22" t="n">
        <v>38</v>
      </c>
    </row>
    <row r="23">
      <c r="A23" t="n">
        <v>1123</v>
      </c>
      <c r="B23" s="14" t="n">
        <v>46202</v>
      </c>
      <c r="C23" t="inlineStr">
        <is>
          <t>Night</t>
        </is>
      </c>
      <c r="D23" t="n">
        <v>60</v>
      </c>
    </row>
    <row r="24">
      <c r="A24" t="n">
        <v>1124</v>
      </c>
      <c r="B24" s="14" t="n">
        <v>46202</v>
      </c>
      <c r="C24" t="inlineStr">
        <is>
          <t>Night</t>
        </is>
      </c>
      <c r="D24" t="n">
        <v>48</v>
      </c>
    </row>
    <row r="25">
      <c r="A25" t="n">
        <v>1125</v>
      </c>
      <c r="B25" s="14" t="n">
        <v>46202</v>
      </c>
      <c r="C25" t="inlineStr">
        <is>
          <t>Night</t>
        </is>
      </c>
      <c r="D25" t="n">
        <v>42</v>
      </c>
    </row>
    <row r="26">
      <c r="A26" t="n">
        <v>1128</v>
      </c>
      <c r="B26" s="14" t="n">
        <v>46202</v>
      </c>
      <c r="C26" t="inlineStr">
        <is>
          <t>Night</t>
        </is>
      </c>
      <c r="D26" t="n">
        <v>62</v>
      </c>
    </row>
    <row r="27">
      <c r="A27" t="n">
        <v>1129</v>
      </c>
      <c r="B27" s="14" t="n">
        <v>46202</v>
      </c>
      <c r="C27" t="inlineStr">
        <is>
          <t>Night</t>
        </is>
      </c>
      <c r="D27" t="n">
        <v>46</v>
      </c>
    </row>
    <row r="28">
      <c r="A28" t="n">
        <v>1130</v>
      </c>
      <c r="B28" s="14" t="n">
        <v>46202</v>
      </c>
      <c r="C28" t="inlineStr">
        <is>
          <t>Night</t>
        </is>
      </c>
      <c r="D28" t="n">
        <v>41</v>
      </c>
    </row>
    <row r="29">
      <c r="A29" t="n">
        <v>1131</v>
      </c>
      <c r="B29" s="14" t="n">
        <v>46202</v>
      </c>
      <c r="C29" t="inlineStr">
        <is>
          <t>Night</t>
        </is>
      </c>
      <c r="D29" t="n">
        <v>40</v>
      </c>
    </row>
    <row r="30">
      <c r="A30" t="n">
        <v>1132</v>
      </c>
      <c r="B30" s="14" t="n">
        <v>46202</v>
      </c>
      <c r="C30" t="inlineStr">
        <is>
          <t>Night</t>
        </is>
      </c>
      <c r="D30" t="n">
        <v>45</v>
      </c>
    </row>
    <row r="31">
      <c r="A31" t="n">
        <v>1133</v>
      </c>
      <c r="B31" s="14" t="n">
        <v>46202</v>
      </c>
      <c r="C31" t="inlineStr">
        <is>
          <t>Night</t>
        </is>
      </c>
      <c r="D31" t="n">
        <v>34</v>
      </c>
    </row>
    <row r="32">
      <c r="A32" t="n">
        <v>1134</v>
      </c>
      <c r="B32" s="14" t="n">
        <v>46202</v>
      </c>
      <c r="C32" t="inlineStr">
        <is>
          <t>Night</t>
        </is>
      </c>
      <c r="D32" t="n">
        <v>46</v>
      </c>
    </row>
    <row r="33">
      <c r="A33" t="n">
        <v>1135</v>
      </c>
      <c r="B33" s="14" t="n">
        <v>46202</v>
      </c>
      <c r="C33" t="inlineStr">
        <is>
          <t>Night</t>
        </is>
      </c>
      <c r="D33" t="n">
        <v>49</v>
      </c>
    </row>
    <row r="34">
      <c r="A34" t="n">
        <v>1136</v>
      </c>
      <c r="B34" s="14" t="n">
        <v>46202</v>
      </c>
      <c r="C34" t="inlineStr">
        <is>
          <t>Night</t>
        </is>
      </c>
      <c r="D34" t="n">
        <v>10</v>
      </c>
    </row>
    <row r="35">
      <c r="A35" t="n">
        <v>1137</v>
      </c>
      <c r="B35" s="14" t="n">
        <v>46202</v>
      </c>
      <c r="C35" t="inlineStr">
        <is>
          <t>Night</t>
        </is>
      </c>
      <c r="D35" t="n">
        <v>42</v>
      </c>
    </row>
    <row r="36">
      <c r="A36" t="n">
        <v>1101</v>
      </c>
      <c r="B36" s="14" t="n">
        <v>46209</v>
      </c>
      <c r="C36" t="inlineStr">
        <is>
          <t>Night</t>
        </is>
      </c>
      <c r="D36" t="n">
        <v>43</v>
      </c>
    </row>
    <row r="37">
      <c r="A37" t="n">
        <v>1102</v>
      </c>
      <c r="B37" s="14" t="n">
        <v>46209</v>
      </c>
      <c r="C37" t="inlineStr">
        <is>
          <t>Night</t>
        </is>
      </c>
      <c r="D37" t="n">
        <v>68</v>
      </c>
    </row>
    <row r="38">
      <c r="A38" t="n">
        <v>1103</v>
      </c>
      <c r="B38" s="14" t="n">
        <v>46209</v>
      </c>
      <c r="C38" t="inlineStr">
        <is>
          <t>Night</t>
        </is>
      </c>
      <c r="D38" t="n">
        <v>63</v>
      </c>
    </row>
    <row r="39">
      <c r="A39" t="n">
        <v>1104</v>
      </c>
      <c r="B39" s="14" t="n">
        <v>46209</v>
      </c>
      <c r="C39" t="inlineStr">
        <is>
          <t>Night</t>
        </is>
      </c>
      <c r="D39" t="n">
        <v>68</v>
      </c>
    </row>
    <row r="40">
      <c r="A40" t="n">
        <v>1147</v>
      </c>
      <c r="B40" s="14" t="n">
        <v>46209</v>
      </c>
      <c r="C40" t="inlineStr">
        <is>
          <t>Night</t>
        </is>
      </c>
      <c r="D40" t="n">
        <v>50</v>
      </c>
    </row>
    <row r="41">
      <c r="A41" t="n">
        <v>1107</v>
      </c>
      <c r="B41" s="14" t="n">
        <v>46209</v>
      </c>
      <c r="C41" t="inlineStr">
        <is>
          <t>Night</t>
        </is>
      </c>
      <c r="D41" t="n">
        <v>50</v>
      </c>
    </row>
    <row r="42">
      <c r="A42" t="n">
        <v>1108</v>
      </c>
      <c r="B42" s="14" t="n">
        <v>46209</v>
      </c>
      <c r="C42" t="inlineStr">
        <is>
          <t>Night</t>
        </is>
      </c>
      <c r="D42" t="n">
        <v>57</v>
      </c>
    </row>
    <row r="43">
      <c r="A43" t="n">
        <v>1109</v>
      </c>
      <c r="B43" s="14" t="n">
        <v>46209</v>
      </c>
      <c r="C43" t="inlineStr">
        <is>
          <t>Night</t>
        </is>
      </c>
      <c r="D43" t="n">
        <v>11</v>
      </c>
    </row>
    <row r="44">
      <c r="A44" t="n">
        <v>1110</v>
      </c>
      <c r="B44" s="14" t="n">
        <v>46209</v>
      </c>
      <c r="C44" t="inlineStr">
        <is>
          <t>Night</t>
        </is>
      </c>
      <c r="D44" t="n">
        <v>27</v>
      </c>
    </row>
    <row r="45">
      <c r="A45" t="n">
        <v>1111</v>
      </c>
      <c r="B45" s="14" t="n">
        <v>46209</v>
      </c>
      <c r="C45" t="inlineStr">
        <is>
          <t>Night</t>
        </is>
      </c>
      <c r="D45" t="n">
        <v>49</v>
      </c>
    </row>
    <row r="46">
      <c r="A46" t="n">
        <v>1112</v>
      </c>
      <c r="B46" s="14" t="n">
        <v>46209</v>
      </c>
      <c r="C46" t="inlineStr">
        <is>
          <t>Night</t>
        </is>
      </c>
      <c r="D46" t="n">
        <v>52</v>
      </c>
    </row>
    <row r="47">
      <c r="A47" t="n">
        <v>1113</v>
      </c>
      <c r="B47" s="14" t="n">
        <v>46209</v>
      </c>
      <c r="C47" t="inlineStr">
        <is>
          <t>Night</t>
        </is>
      </c>
      <c r="D47" t="n">
        <v>71</v>
      </c>
    </row>
    <row r="48">
      <c r="A48" t="n">
        <v>1114</v>
      </c>
      <c r="B48" s="14" t="n">
        <v>46209</v>
      </c>
      <c r="C48" t="inlineStr">
        <is>
          <t>Night</t>
        </is>
      </c>
      <c r="D48" t="n">
        <v>34</v>
      </c>
    </row>
    <row r="49">
      <c r="A49" t="n">
        <v>1115</v>
      </c>
      <c r="B49" s="14" t="n">
        <v>46209</v>
      </c>
      <c r="C49" t="inlineStr">
        <is>
          <t>Night</t>
        </is>
      </c>
      <c r="D49" t="n">
        <v>59</v>
      </c>
    </row>
    <row r="50">
      <c r="A50" t="n">
        <v>1116</v>
      </c>
      <c r="B50" s="14" t="n">
        <v>46209</v>
      </c>
      <c r="C50" t="inlineStr">
        <is>
          <t>Night</t>
        </is>
      </c>
      <c r="D50" t="n">
        <v>36</v>
      </c>
    </row>
    <row r="51">
      <c r="A51" t="n">
        <v>1117</v>
      </c>
      <c r="B51" s="14" t="n">
        <v>46209</v>
      </c>
      <c r="C51" t="inlineStr">
        <is>
          <t>Night</t>
        </is>
      </c>
      <c r="D51" t="n">
        <v>32</v>
      </c>
    </row>
    <row r="52">
      <c r="A52" t="n">
        <v>1118</v>
      </c>
      <c r="B52" s="14" t="n">
        <v>46209</v>
      </c>
      <c r="C52" t="inlineStr">
        <is>
          <t>Night</t>
        </is>
      </c>
      <c r="D52" t="n">
        <v>54</v>
      </c>
    </row>
    <row r="53">
      <c r="A53" t="n">
        <v>1119</v>
      </c>
      <c r="B53" s="14" t="n">
        <v>46209</v>
      </c>
      <c r="C53" t="inlineStr">
        <is>
          <t>Night</t>
        </is>
      </c>
      <c r="D53" t="n">
        <v>34</v>
      </c>
    </row>
    <row r="54">
      <c r="A54" t="n">
        <v>1120</v>
      </c>
      <c r="B54" s="14" t="n">
        <v>46209</v>
      </c>
      <c r="C54" t="inlineStr">
        <is>
          <t>Night</t>
        </is>
      </c>
      <c r="D54" t="n">
        <v>35</v>
      </c>
    </row>
    <row r="55">
      <c r="A55" t="n">
        <v>1121</v>
      </c>
      <c r="B55" s="14" t="n">
        <v>46209</v>
      </c>
      <c r="C55" t="inlineStr">
        <is>
          <t>Night</t>
        </is>
      </c>
      <c r="D55" t="n">
        <v>25</v>
      </c>
    </row>
    <row r="56">
      <c r="A56" t="n">
        <v>1122</v>
      </c>
      <c r="B56" s="14" t="n">
        <v>46209</v>
      </c>
      <c r="C56" t="inlineStr">
        <is>
          <t>Night</t>
        </is>
      </c>
      <c r="D56" t="n">
        <v>21</v>
      </c>
    </row>
    <row r="57">
      <c r="A57" t="n">
        <v>1123</v>
      </c>
      <c r="B57" s="14" t="n">
        <v>46209</v>
      </c>
      <c r="C57" t="inlineStr">
        <is>
          <t>Night</t>
        </is>
      </c>
      <c r="D57" t="n">
        <v>45</v>
      </c>
    </row>
    <row r="58">
      <c r="A58" t="n">
        <v>1124</v>
      </c>
      <c r="B58" s="14" t="n">
        <v>46209</v>
      </c>
      <c r="C58" t="inlineStr">
        <is>
          <t>Night</t>
        </is>
      </c>
      <c r="D58" t="n">
        <v>28</v>
      </c>
    </row>
    <row r="59">
      <c r="A59" t="n">
        <v>1125</v>
      </c>
      <c r="B59" s="14" t="n">
        <v>46209</v>
      </c>
      <c r="C59" t="inlineStr">
        <is>
          <t>Night</t>
        </is>
      </c>
      <c r="D59" t="n">
        <v>45</v>
      </c>
    </row>
    <row r="60">
      <c r="A60" t="n">
        <v>1126</v>
      </c>
      <c r="B60" s="14" t="n">
        <v>46209</v>
      </c>
      <c r="C60" t="inlineStr">
        <is>
          <t>Night</t>
        </is>
      </c>
      <c r="D60" t="n">
        <v>9</v>
      </c>
    </row>
    <row r="61">
      <c r="A61" t="n">
        <v>1128</v>
      </c>
      <c r="B61" s="14" t="n">
        <v>46209</v>
      </c>
      <c r="C61" t="inlineStr">
        <is>
          <t>Night</t>
        </is>
      </c>
      <c r="D61" t="n">
        <v>52</v>
      </c>
    </row>
    <row r="62">
      <c r="A62" t="n">
        <v>1129</v>
      </c>
      <c r="B62" s="14" t="n">
        <v>46209</v>
      </c>
      <c r="C62" t="inlineStr">
        <is>
          <t>Night</t>
        </is>
      </c>
      <c r="D62" t="n">
        <v>53</v>
      </c>
    </row>
    <row r="63">
      <c r="A63" t="n">
        <v>1130</v>
      </c>
      <c r="B63" s="14" t="n">
        <v>46209</v>
      </c>
      <c r="C63" t="inlineStr">
        <is>
          <t>Night</t>
        </is>
      </c>
      <c r="D63" t="n">
        <v>30</v>
      </c>
    </row>
    <row r="64">
      <c r="A64" t="n">
        <v>1131</v>
      </c>
      <c r="B64" s="14" t="n">
        <v>46209</v>
      </c>
      <c r="C64" t="inlineStr">
        <is>
          <t>Night</t>
        </is>
      </c>
      <c r="D64" t="n">
        <v>33</v>
      </c>
    </row>
    <row r="65">
      <c r="A65" t="n">
        <v>1132</v>
      </c>
      <c r="B65" s="14" t="n">
        <v>46209</v>
      </c>
      <c r="C65" t="inlineStr">
        <is>
          <t>Night</t>
        </is>
      </c>
      <c r="D65" t="n">
        <v>15</v>
      </c>
    </row>
    <row r="66">
      <c r="A66" t="n">
        <v>1133</v>
      </c>
      <c r="B66" s="14" t="n">
        <v>46209</v>
      </c>
      <c r="C66" t="inlineStr">
        <is>
          <t>Night</t>
        </is>
      </c>
      <c r="D66" t="n">
        <v>25</v>
      </c>
    </row>
    <row r="67">
      <c r="A67" t="n">
        <v>1134</v>
      </c>
      <c r="B67" s="14" t="n">
        <v>46209</v>
      </c>
      <c r="C67" t="inlineStr">
        <is>
          <t>Night</t>
        </is>
      </c>
      <c r="D67" t="n">
        <v>53</v>
      </c>
    </row>
    <row r="68">
      <c r="A68" t="n">
        <v>1135</v>
      </c>
      <c r="B68" s="14" t="n">
        <v>46209</v>
      </c>
      <c r="C68" t="inlineStr">
        <is>
          <t>Night</t>
        </is>
      </c>
      <c r="D68" t="n">
        <v>47</v>
      </c>
    </row>
    <row r="69">
      <c r="A69" t="n">
        <v>1136</v>
      </c>
      <c r="B69" s="14" t="n">
        <v>46209</v>
      </c>
      <c r="C69" t="inlineStr">
        <is>
          <t>Night</t>
        </is>
      </c>
      <c r="D69" t="n">
        <v>21</v>
      </c>
    </row>
    <row r="70">
      <c r="A70" t="n">
        <v>1137</v>
      </c>
      <c r="B70" s="14" t="n">
        <v>46209</v>
      </c>
      <c r="C70" t="inlineStr">
        <is>
          <t>Night</t>
        </is>
      </c>
      <c r="D70" t="n">
        <v>64</v>
      </c>
    </row>
    <row r="71">
      <c r="A71" t="n">
        <v>1101</v>
      </c>
      <c r="B71" s="14" t="n">
        <v>46216</v>
      </c>
      <c r="C71" t="inlineStr">
        <is>
          <t>Night</t>
        </is>
      </c>
      <c r="D71" t="n">
        <v>44</v>
      </c>
    </row>
    <row r="72">
      <c r="A72" t="n">
        <v>1102</v>
      </c>
      <c r="B72" s="14" t="n">
        <v>46216</v>
      </c>
      <c r="C72" t="inlineStr">
        <is>
          <t>Night</t>
        </is>
      </c>
      <c r="D72" t="n">
        <v>68</v>
      </c>
    </row>
    <row r="73">
      <c r="A73" t="n">
        <v>1103</v>
      </c>
      <c r="B73" s="14" t="n">
        <v>46216</v>
      </c>
      <c r="C73" t="inlineStr">
        <is>
          <t>Night</t>
        </is>
      </c>
      <c r="D73" t="n">
        <v>63</v>
      </c>
    </row>
    <row r="74">
      <c r="A74" t="n">
        <v>1104</v>
      </c>
      <c r="B74" s="14" t="n">
        <v>46216</v>
      </c>
      <c r="C74" t="inlineStr">
        <is>
          <t>Night</t>
        </is>
      </c>
      <c r="D74" t="n">
        <v>69</v>
      </c>
    </row>
    <row r="75">
      <c r="A75" t="n">
        <v>1147</v>
      </c>
      <c r="B75" s="14" t="n">
        <v>46216</v>
      </c>
      <c r="C75" t="inlineStr">
        <is>
          <t>Night</t>
        </is>
      </c>
      <c r="D75" t="n">
        <v>50</v>
      </c>
    </row>
    <row r="76">
      <c r="A76" t="n">
        <v>1107</v>
      </c>
      <c r="B76" s="14" t="n">
        <v>46216</v>
      </c>
      <c r="C76" t="inlineStr">
        <is>
          <t>Night</t>
        </is>
      </c>
      <c r="D76" t="n">
        <v>30</v>
      </c>
    </row>
    <row r="77">
      <c r="A77" t="n">
        <v>1108</v>
      </c>
      <c r="B77" s="14" t="n">
        <v>46216</v>
      </c>
      <c r="C77" t="inlineStr">
        <is>
          <t>Night</t>
        </is>
      </c>
      <c r="D77" t="n">
        <v>67</v>
      </c>
    </row>
    <row r="78">
      <c r="A78" t="n">
        <v>1109</v>
      </c>
      <c r="B78" s="14" t="n">
        <v>46216</v>
      </c>
      <c r="C78" t="inlineStr">
        <is>
          <t>Night</t>
        </is>
      </c>
      <c r="D78" t="n">
        <v>15</v>
      </c>
    </row>
    <row r="79">
      <c r="A79" t="n">
        <v>1110</v>
      </c>
      <c r="B79" s="14" t="n">
        <v>46216</v>
      </c>
      <c r="C79" t="inlineStr">
        <is>
          <t>Night</t>
        </is>
      </c>
      <c r="D79" t="n">
        <v>50</v>
      </c>
    </row>
    <row r="80">
      <c r="A80" t="n">
        <v>1111</v>
      </c>
      <c r="B80" s="14" t="n">
        <v>46216</v>
      </c>
      <c r="C80" t="inlineStr">
        <is>
          <t>Night</t>
        </is>
      </c>
      <c r="D80" t="n">
        <v>38</v>
      </c>
    </row>
    <row r="81">
      <c r="A81" t="n">
        <v>1112</v>
      </c>
      <c r="B81" s="14" t="n">
        <v>46216</v>
      </c>
      <c r="C81" t="inlineStr">
        <is>
          <t>Night</t>
        </is>
      </c>
      <c r="D81" t="n">
        <v>50</v>
      </c>
    </row>
    <row r="82">
      <c r="A82" t="n">
        <v>1113</v>
      </c>
      <c r="B82" s="14" t="n">
        <v>46216</v>
      </c>
      <c r="C82" t="inlineStr">
        <is>
          <t>Night</t>
        </is>
      </c>
      <c r="D82" t="n">
        <v>56</v>
      </c>
    </row>
    <row r="83">
      <c r="A83" t="n">
        <v>1114</v>
      </c>
      <c r="B83" s="14" t="n">
        <v>46216</v>
      </c>
      <c r="C83" t="inlineStr">
        <is>
          <t>Night</t>
        </is>
      </c>
      <c r="D83" t="n">
        <v>44</v>
      </c>
    </row>
    <row r="84">
      <c r="A84" t="n">
        <v>1115</v>
      </c>
      <c r="B84" s="14" t="n">
        <v>46216</v>
      </c>
      <c r="C84" t="inlineStr">
        <is>
          <t>Night</t>
        </is>
      </c>
      <c r="D84" t="n">
        <v>38</v>
      </c>
    </row>
    <row r="85">
      <c r="A85" t="n">
        <v>1116</v>
      </c>
      <c r="B85" s="14" t="n">
        <v>46216</v>
      </c>
      <c r="C85" t="inlineStr">
        <is>
          <t>Night</t>
        </is>
      </c>
      <c r="D85" t="n">
        <v>34</v>
      </c>
    </row>
    <row r="86">
      <c r="A86" t="n">
        <v>1117</v>
      </c>
      <c r="B86" s="14" t="n">
        <v>46216</v>
      </c>
      <c r="C86" t="inlineStr">
        <is>
          <t>Night</t>
        </is>
      </c>
      <c r="D86" t="n">
        <v>19</v>
      </c>
    </row>
    <row r="87">
      <c r="A87" t="n">
        <v>1118</v>
      </c>
      <c r="B87" s="14" t="n">
        <v>46216</v>
      </c>
      <c r="C87" t="inlineStr">
        <is>
          <t>Night</t>
        </is>
      </c>
      <c r="D87" t="n">
        <v>48</v>
      </c>
    </row>
    <row r="88">
      <c r="A88" t="n">
        <v>1119</v>
      </c>
      <c r="B88" s="14" t="n">
        <v>46216</v>
      </c>
      <c r="C88" t="inlineStr">
        <is>
          <t>Night</t>
        </is>
      </c>
      <c r="D88" t="n">
        <v>48</v>
      </c>
    </row>
    <row r="89">
      <c r="A89" t="n">
        <v>1120</v>
      </c>
      <c r="B89" s="14" t="n">
        <v>46216</v>
      </c>
      <c r="C89" t="inlineStr">
        <is>
          <t>Night</t>
        </is>
      </c>
      <c r="D89" t="n">
        <v>45</v>
      </c>
    </row>
    <row r="90">
      <c r="A90" t="n">
        <v>1121</v>
      </c>
      <c r="B90" s="14" t="n">
        <v>46216</v>
      </c>
      <c r="C90" t="inlineStr">
        <is>
          <t>Night</t>
        </is>
      </c>
      <c r="D90" t="n">
        <v>39</v>
      </c>
    </row>
    <row r="91">
      <c r="A91" t="n">
        <v>1122</v>
      </c>
      <c r="B91" s="14" t="n">
        <v>46216</v>
      </c>
      <c r="C91" t="inlineStr">
        <is>
          <t>Night</t>
        </is>
      </c>
      <c r="D91" t="n">
        <v>8</v>
      </c>
    </row>
    <row r="92">
      <c r="A92" t="n">
        <v>1123</v>
      </c>
      <c r="B92" s="14" t="n">
        <v>46216</v>
      </c>
      <c r="C92" t="inlineStr">
        <is>
          <t>Night</t>
        </is>
      </c>
      <c r="D92" t="n">
        <v>54</v>
      </c>
    </row>
    <row r="93">
      <c r="A93" t="n">
        <v>1124</v>
      </c>
      <c r="B93" s="14" t="n">
        <v>46216</v>
      </c>
      <c r="C93" t="inlineStr">
        <is>
          <t>Night</t>
        </is>
      </c>
      <c r="D93" t="n">
        <v>45</v>
      </c>
    </row>
    <row r="94">
      <c r="A94" t="n">
        <v>1125</v>
      </c>
      <c r="B94" s="14" t="n">
        <v>46216</v>
      </c>
      <c r="C94" t="inlineStr">
        <is>
          <t>Night</t>
        </is>
      </c>
      <c r="D94" t="n">
        <v>31</v>
      </c>
    </row>
    <row r="95">
      <c r="A95" t="n">
        <v>1126</v>
      </c>
      <c r="B95" s="14" t="n">
        <v>46216</v>
      </c>
      <c r="C95" t="inlineStr">
        <is>
          <t>Night</t>
        </is>
      </c>
      <c r="D95" t="n">
        <v>46</v>
      </c>
    </row>
    <row r="96">
      <c r="A96" t="n">
        <v>1128</v>
      </c>
      <c r="B96" s="14" t="n">
        <v>46216</v>
      </c>
      <c r="C96" t="inlineStr">
        <is>
          <t>Night</t>
        </is>
      </c>
      <c r="D96" t="n">
        <v>50</v>
      </c>
    </row>
    <row r="97">
      <c r="A97" t="n">
        <v>1129</v>
      </c>
      <c r="B97" s="14" t="n">
        <v>46216</v>
      </c>
      <c r="C97" t="inlineStr">
        <is>
          <t>Night</t>
        </is>
      </c>
      <c r="D97" t="n">
        <v>35</v>
      </c>
    </row>
    <row r="98">
      <c r="A98" t="n">
        <v>1130</v>
      </c>
      <c r="B98" s="14" t="n">
        <v>46216</v>
      </c>
      <c r="C98" t="inlineStr">
        <is>
          <t>Night</t>
        </is>
      </c>
      <c r="D98" t="n">
        <v>23</v>
      </c>
    </row>
    <row r="99">
      <c r="A99" t="n">
        <v>1131</v>
      </c>
      <c r="B99" s="14" t="n">
        <v>46216</v>
      </c>
      <c r="C99" t="inlineStr">
        <is>
          <t>Night</t>
        </is>
      </c>
      <c r="D99" t="n">
        <v>59</v>
      </c>
    </row>
    <row r="100">
      <c r="A100" t="n">
        <v>1132</v>
      </c>
      <c r="B100" s="14" t="n">
        <v>46216</v>
      </c>
      <c r="C100" t="inlineStr">
        <is>
          <t>Night</t>
        </is>
      </c>
      <c r="D100" t="n">
        <v>44</v>
      </c>
    </row>
    <row r="101">
      <c r="A101" t="n">
        <v>1133</v>
      </c>
      <c r="B101" s="14" t="n">
        <v>46216</v>
      </c>
      <c r="C101" t="inlineStr">
        <is>
          <t>Night</t>
        </is>
      </c>
      <c r="D101" t="n">
        <v>41</v>
      </c>
    </row>
    <row r="102">
      <c r="A102" t="n">
        <v>1134</v>
      </c>
      <c r="B102" s="14" t="n">
        <v>46216</v>
      </c>
      <c r="C102" t="inlineStr">
        <is>
          <t>Night</t>
        </is>
      </c>
      <c r="D102" t="n">
        <v>9</v>
      </c>
    </row>
    <row r="103">
      <c r="A103" t="n">
        <v>1135</v>
      </c>
      <c r="B103" s="14" t="n">
        <v>46216</v>
      </c>
      <c r="C103" t="inlineStr">
        <is>
          <t>Night</t>
        </is>
      </c>
      <c r="D103" t="n">
        <v>49</v>
      </c>
    </row>
    <row r="104">
      <c r="A104" t="n">
        <v>1136</v>
      </c>
      <c r="B104" s="14" t="n">
        <v>46216</v>
      </c>
      <c r="C104" t="inlineStr">
        <is>
          <t>Night</t>
        </is>
      </c>
      <c r="D104" t="n">
        <v>45</v>
      </c>
    </row>
    <row r="105">
      <c r="A105" t="n">
        <v>1137</v>
      </c>
      <c r="B105" s="14" t="n">
        <v>46216</v>
      </c>
      <c r="C105" t="inlineStr">
        <is>
          <t>Night</t>
        </is>
      </c>
      <c r="D105" t="n">
        <v>5</v>
      </c>
    </row>
    <row r="106">
      <c r="A106" t="n">
        <v>1101</v>
      </c>
      <c r="B106" s="14" t="n">
        <v>46223</v>
      </c>
      <c r="C106" t="inlineStr">
        <is>
          <t>Night</t>
        </is>
      </c>
      <c r="D106" t="n">
        <v>46</v>
      </c>
    </row>
    <row r="107">
      <c r="A107" t="n">
        <v>1102</v>
      </c>
      <c r="B107" s="14" t="n">
        <v>46223</v>
      </c>
      <c r="C107" t="inlineStr">
        <is>
          <t>Night</t>
        </is>
      </c>
      <c r="D107" t="n">
        <v>63</v>
      </c>
    </row>
    <row r="108">
      <c r="A108" t="n">
        <v>1103</v>
      </c>
      <c r="B108" s="14" t="n">
        <v>46223</v>
      </c>
      <c r="C108" t="inlineStr">
        <is>
          <t>Night</t>
        </is>
      </c>
      <c r="D108" t="n">
        <v>63</v>
      </c>
    </row>
    <row r="109">
      <c r="A109" t="n">
        <v>1104</v>
      </c>
      <c r="B109" s="14" t="n">
        <v>46223</v>
      </c>
      <c r="C109" t="inlineStr">
        <is>
          <t>Night</t>
        </is>
      </c>
      <c r="D109" t="n">
        <v>68</v>
      </c>
    </row>
    <row r="110">
      <c r="A110" t="n">
        <v>1147</v>
      </c>
      <c r="B110" s="14" t="n">
        <v>46223</v>
      </c>
      <c r="C110" t="inlineStr">
        <is>
          <t>Night</t>
        </is>
      </c>
      <c r="D110" t="n">
        <v>50</v>
      </c>
    </row>
    <row r="111">
      <c r="A111" t="n">
        <v>1106</v>
      </c>
      <c r="B111" s="14" t="n">
        <v>46223</v>
      </c>
      <c r="C111" t="inlineStr">
        <is>
          <t>Night</t>
        </is>
      </c>
      <c r="D111" t="n">
        <v>4</v>
      </c>
    </row>
    <row r="112">
      <c r="A112" t="n">
        <v>1107</v>
      </c>
      <c r="B112" s="14" t="n">
        <v>46223</v>
      </c>
      <c r="C112" t="inlineStr">
        <is>
          <t>Night</t>
        </is>
      </c>
      <c r="D112" t="n">
        <v>67</v>
      </c>
    </row>
    <row r="113">
      <c r="A113" t="n">
        <v>1108</v>
      </c>
      <c r="B113" s="14" t="n">
        <v>46223</v>
      </c>
      <c r="C113" t="inlineStr">
        <is>
          <t>Night</t>
        </is>
      </c>
      <c r="D113" t="n">
        <v>20</v>
      </c>
    </row>
    <row r="114">
      <c r="A114" t="n">
        <v>1109</v>
      </c>
      <c r="B114" s="14" t="n">
        <v>46223</v>
      </c>
      <c r="C114" t="inlineStr">
        <is>
          <t>Night</t>
        </is>
      </c>
      <c r="D114" t="n">
        <v>14</v>
      </c>
    </row>
    <row r="115">
      <c r="A115" t="n">
        <v>1110</v>
      </c>
      <c r="B115" s="14" t="n">
        <v>46223</v>
      </c>
      <c r="C115" t="inlineStr">
        <is>
          <t>Night</t>
        </is>
      </c>
      <c r="D115" t="n">
        <v>6</v>
      </c>
    </row>
    <row r="116">
      <c r="A116" t="n">
        <v>1111</v>
      </c>
      <c r="B116" s="14" t="n">
        <v>46223</v>
      </c>
      <c r="C116" t="inlineStr">
        <is>
          <t>Night</t>
        </is>
      </c>
      <c r="D116" t="n">
        <v>44</v>
      </c>
    </row>
    <row r="117">
      <c r="A117" t="n">
        <v>1112</v>
      </c>
      <c r="B117" s="14" t="n">
        <v>46223</v>
      </c>
      <c r="C117" t="inlineStr">
        <is>
          <t>Night</t>
        </is>
      </c>
      <c r="D117" t="n">
        <v>45</v>
      </c>
    </row>
    <row r="118">
      <c r="A118" t="n">
        <v>1113</v>
      </c>
      <c r="B118" s="14" t="n">
        <v>46223</v>
      </c>
      <c r="C118" t="inlineStr">
        <is>
          <t>Night</t>
        </is>
      </c>
      <c r="D118" t="n">
        <v>52</v>
      </c>
    </row>
    <row r="119">
      <c r="A119" t="n">
        <v>1114</v>
      </c>
      <c r="B119" s="14" t="n">
        <v>46223</v>
      </c>
      <c r="C119" t="inlineStr">
        <is>
          <t>Night</t>
        </is>
      </c>
      <c r="D119" t="n">
        <v>35</v>
      </c>
    </row>
    <row r="120">
      <c r="A120" t="n">
        <v>1115</v>
      </c>
      <c r="B120" s="14" t="n">
        <v>46223</v>
      </c>
      <c r="C120" t="inlineStr">
        <is>
          <t>Night</t>
        </is>
      </c>
      <c r="D120" t="n">
        <v>55</v>
      </c>
    </row>
    <row r="121">
      <c r="A121" t="n">
        <v>1116</v>
      </c>
      <c r="B121" s="14" t="n">
        <v>46223</v>
      </c>
      <c r="C121" t="inlineStr">
        <is>
          <t>Night</t>
        </is>
      </c>
      <c r="D121" t="n">
        <v>38</v>
      </c>
    </row>
    <row r="122">
      <c r="A122" t="n">
        <v>1117</v>
      </c>
      <c r="B122" s="14" t="n">
        <v>46223</v>
      </c>
      <c r="C122" t="inlineStr">
        <is>
          <t>Night</t>
        </is>
      </c>
      <c r="D122" t="n">
        <v>52</v>
      </c>
    </row>
    <row r="123">
      <c r="A123" t="n">
        <v>1118</v>
      </c>
      <c r="B123" s="14" t="n">
        <v>46223</v>
      </c>
      <c r="C123" t="inlineStr">
        <is>
          <t>Night</t>
        </is>
      </c>
      <c r="D123" t="n">
        <v>41</v>
      </c>
    </row>
    <row r="124">
      <c r="A124" t="n">
        <v>1119</v>
      </c>
      <c r="B124" s="14" t="n">
        <v>46223</v>
      </c>
      <c r="C124" t="inlineStr">
        <is>
          <t>Night</t>
        </is>
      </c>
      <c r="D124" t="n">
        <v>56</v>
      </c>
    </row>
    <row r="125">
      <c r="A125" t="n">
        <v>1120</v>
      </c>
      <c r="B125" s="14" t="n">
        <v>46223</v>
      </c>
      <c r="C125" t="inlineStr">
        <is>
          <t>Night</t>
        </is>
      </c>
      <c r="D125" t="n">
        <v>48</v>
      </c>
    </row>
    <row r="126">
      <c r="A126" t="n">
        <v>1121</v>
      </c>
      <c r="B126" s="14" t="n">
        <v>46223</v>
      </c>
      <c r="C126" t="inlineStr">
        <is>
          <t>Night</t>
        </is>
      </c>
      <c r="D126" t="n">
        <v>47</v>
      </c>
    </row>
    <row r="127">
      <c r="A127" t="n">
        <v>1122</v>
      </c>
      <c r="B127" s="14" t="n">
        <v>46223</v>
      </c>
      <c r="C127" t="inlineStr">
        <is>
          <t>Night</t>
        </is>
      </c>
      <c r="D127" t="n">
        <v>39</v>
      </c>
    </row>
    <row r="128">
      <c r="A128" t="n">
        <v>1123</v>
      </c>
      <c r="B128" s="14" t="n">
        <v>46223</v>
      </c>
      <c r="C128" t="inlineStr">
        <is>
          <t>Night</t>
        </is>
      </c>
      <c r="D128" t="n">
        <v>67</v>
      </c>
    </row>
    <row r="129">
      <c r="A129" t="n">
        <v>1124</v>
      </c>
      <c r="B129" s="14" t="n">
        <v>46223</v>
      </c>
      <c r="C129" t="inlineStr">
        <is>
          <t>Night</t>
        </is>
      </c>
      <c r="D129" t="n">
        <v>46</v>
      </c>
    </row>
    <row r="130">
      <c r="A130" t="n">
        <v>1125</v>
      </c>
      <c r="B130" s="14" t="n">
        <v>46223</v>
      </c>
      <c r="C130" t="inlineStr">
        <is>
          <t>Night</t>
        </is>
      </c>
      <c r="D130" t="n">
        <v>23</v>
      </c>
    </row>
    <row r="131">
      <c r="A131" t="n">
        <v>1126</v>
      </c>
      <c r="B131" s="14" t="n">
        <v>46223</v>
      </c>
      <c r="C131" t="inlineStr">
        <is>
          <t>Night</t>
        </is>
      </c>
      <c r="D131" t="n">
        <v>65</v>
      </c>
    </row>
    <row r="132">
      <c r="A132" t="n">
        <v>1128</v>
      </c>
      <c r="B132" s="14" t="n">
        <v>46223</v>
      </c>
      <c r="C132" t="inlineStr">
        <is>
          <t>Night</t>
        </is>
      </c>
      <c r="D132" t="n">
        <v>50</v>
      </c>
    </row>
    <row r="133">
      <c r="A133" t="n">
        <v>1129</v>
      </c>
      <c r="B133" s="14" t="n">
        <v>46223</v>
      </c>
      <c r="C133" t="inlineStr">
        <is>
          <t>Night</t>
        </is>
      </c>
      <c r="D133" t="n">
        <v>29</v>
      </c>
    </row>
    <row r="134">
      <c r="A134" t="n">
        <v>1130</v>
      </c>
      <c r="B134" s="14" t="n">
        <v>46223</v>
      </c>
      <c r="C134" t="inlineStr">
        <is>
          <t>Night</t>
        </is>
      </c>
      <c r="D134" t="n">
        <v>29</v>
      </c>
    </row>
    <row r="135">
      <c r="A135" t="n">
        <v>1131</v>
      </c>
      <c r="B135" s="14" t="n">
        <v>46223</v>
      </c>
      <c r="C135" t="inlineStr">
        <is>
          <t>Night</t>
        </is>
      </c>
      <c r="D135" t="n">
        <v>26</v>
      </c>
    </row>
    <row r="136">
      <c r="A136" t="n">
        <v>1132</v>
      </c>
      <c r="B136" s="14" t="n">
        <v>46223</v>
      </c>
      <c r="C136" t="inlineStr">
        <is>
          <t>Night</t>
        </is>
      </c>
      <c r="D136" t="n">
        <v>30</v>
      </c>
    </row>
    <row r="137">
      <c r="A137" t="n">
        <v>1133</v>
      </c>
      <c r="B137" s="14" t="n">
        <v>46223</v>
      </c>
      <c r="C137" t="inlineStr">
        <is>
          <t>Night</t>
        </is>
      </c>
      <c r="D137" t="n">
        <v>36</v>
      </c>
    </row>
    <row r="138">
      <c r="A138" t="n">
        <v>1134</v>
      </c>
      <c r="B138" s="14" t="n">
        <v>46223</v>
      </c>
      <c r="C138" t="inlineStr">
        <is>
          <t>Night</t>
        </is>
      </c>
      <c r="D138" t="n">
        <v>59</v>
      </c>
    </row>
    <row r="139">
      <c r="A139" t="n">
        <v>1135</v>
      </c>
      <c r="B139" s="14" t="n">
        <v>46223</v>
      </c>
      <c r="C139" t="inlineStr">
        <is>
          <t>Night</t>
        </is>
      </c>
      <c r="D139" t="n">
        <v>26</v>
      </c>
    </row>
    <row r="140">
      <c r="A140" t="n">
        <v>1136</v>
      </c>
      <c r="B140" s="14" t="n">
        <v>46223</v>
      </c>
      <c r="C140" t="inlineStr">
        <is>
          <t>Night</t>
        </is>
      </c>
      <c r="D140" t="n">
        <v>49</v>
      </c>
    </row>
    <row r="141">
      <c r="A141" t="n">
        <v>1137</v>
      </c>
      <c r="B141" s="14" t="n">
        <v>46223</v>
      </c>
      <c r="C141" t="inlineStr">
        <is>
          <t>Night</t>
        </is>
      </c>
      <c r="D141" t="n">
        <v>48</v>
      </c>
    </row>
    <row r="142">
      <c r="A142" t="n">
        <v>1101</v>
      </c>
      <c r="B142" s="14" t="n">
        <v>46230</v>
      </c>
      <c r="C142" t="inlineStr">
        <is>
          <t>Night</t>
        </is>
      </c>
      <c r="D142" t="n">
        <v>44</v>
      </c>
    </row>
    <row r="143">
      <c r="A143" t="n">
        <v>1102</v>
      </c>
      <c r="B143" s="14" t="n">
        <v>46230</v>
      </c>
      <c r="C143" t="inlineStr">
        <is>
          <t>Night</t>
        </is>
      </c>
      <c r="D143" t="n">
        <v>63</v>
      </c>
    </row>
    <row r="144">
      <c r="A144" t="n">
        <v>1103</v>
      </c>
      <c r="B144" s="14" t="n">
        <v>46230</v>
      </c>
      <c r="C144" t="inlineStr">
        <is>
          <t>Night</t>
        </is>
      </c>
      <c r="D144" t="n">
        <v>67</v>
      </c>
    </row>
    <row r="145">
      <c r="A145" t="n">
        <v>1104</v>
      </c>
      <c r="B145" s="14" t="n">
        <v>46230</v>
      </c>
      <c r="C145" t="inlineStr">
        <is>
          <t>Night</t>
        </is>
      </c>
      <c r="D145" t="n">
        <v>70</v>
      </c>
    </row>
    <row r="146">
      <c r="A146" t="n">
        <v>1147</v>
      </c>
      <c r="B146" s="14" t="n">
        <v>46230</v>
      </c>
      <c r="C146" t="inlineStr">
        <is>
          <t>Night</t>
        </is>
      </c>
      <c r="D146" t="n">
        <v>49</v>
      </c>
    </row>
    <row r="147">
      <c r="A147" t="n">
        <v>1106</v>
      </c>
      <c r="B147" s="14" t="n">
        <v>46230</v>
      </c>
      <c r="C147" t="inlineStr">
        <is>
          <t>Night</t>
        </is>
      </c>
      <c r="D147" t="n">
        <v>38</v>
      </c>
    </row>
    <row r="148">
      <c r="A148" t="n">
        <v>1107</v>
      </c>
      <c r="B148" s="14" t="n">
        <v>46230</v>
      </c>
      <c r="C148" t="inlineStr">
        <is>
          <t>Night</t>
        </is>
      </c>
      <c r="D148" t="n">
        <v>10</v>
      </c>
    </row>
    <row r="149">
      <c r="A149" t="n">
        <v>1108</v>
      </c>
      <c r="B149" s="14" t="n">
        <v>46230</v>
      </c>
      <c r="C149" t="inlineStr">
        <is>
          <t>Night</t>
        </is>
      </c>
      <c r="D149" t="n">
        <v>61</v>
      </c>
    </row>
    <row r="150">
      <c r="A150" t="n">
        <v>1109</v>
      </c>
      <c r="B150" s="14" t="n">
        <v>46230</v>
      </c>
      <c r="C150" t="inlineStr">
        <is>
          <t>Night</t>
        </is>
      </c>
      <c r="D150" t="n">
        <v>77</v>
      </c>
    </row>
    <row r="151">
      <c r="A151" t="n">
        <v>1110</v>
      </c>
      <c r="B151" s="14" t="n">
        <v>46230</v>
      </c>
      <c r="C151" t="inlineStr">
        <is>
          <t>Night</t>
        </is>
      </c>
      <c r="D151" t="n">
        <v>58</v>
      </c>
    </row>
    <row r="152">
      <c r="A152" t="n">
        <v>1111</v>
      </c>
      <c r="B152" s="14" t="n">
        <v>46230</v>
      </c>
      <c r="C152" t="inlineStr">
        <is>
          <t>Night</t>
        </is>
      </c>
      <c r="D152" t="n">
        <v>50</v>
      </c>
    </row>
    <row r="153">
      <c r="A153" t="n">
        <v>1112</v>
      </c>
      <c r="B153" s="14" t="n">
        <v>46230</v>
      </c>
      <c r="C153" t="inlineStr">
        <is>
          <t>Night</t>
        </is>
      </c>
      <c r="D153" t="n">
        <v>44</v>
      </c>
    </row>
    <row r="154">
      <c r="A154" t="n">
        <v>1113</v>
      </c>
      <c r="B154" s="14" t="n">
        <v>46230</v>
      </c>
      <c r="C154" t="inlineStr">
        <is>
          <t>Night</t>
        </is>
      </c>
      <c r="D154" t="n">
        <v>45</v>
      </c>
    </row>
    <row r="155">
      <c r="A155" t="n">
        <v>1114</v>
      </c>
      <c r="B155" s="14" t="n">
        <v>46230</v>
      </c>
      <c r="C155" t="inlineStr">
        <is>
          <t>Night</t>
        </is>
      </c>
      <c r="D155" t="n">
        <v>69</v>
      </c>
    </row>
    <row r="156">
      <c r="A156" t="n">
        <v>1115</v>
      </c>
      <c r="B156" s="14" t="n">
        <v>46230</v>
      </c>
      <c r="C156" t="inlineStr">
        <is>
          <t>Night</t>
        </is>
      </c>
      <c r="D156" t="n">
        <v>43</v>
      </c>
    </row>
    <row r="157">
      <c r="A157" t="n">
        <v>1116</v>
      </c>
      <c r="B157" s="14" t="n">
        <v>46230</v>
      </c>
      <c r="C157" t="inlineStr">
        <is>
          <t>Night</t>
        </is>
      </c>
      <c r="D157" t="n">
        <v>25</v>
      </c>
    </row>
    <row r="158">
      <c r="A158" t="n">
        <v>1117</v>
      </c>
      <c r="B158" s="14" t="n">
        <v>46230</v>
      </c>
      <c r="C158" t="inlineStr">
        <is>
          <t>Night</t>
        </is>
      </c>
      <c r="D158" t="n">
        <v>11</v>
      </c>
    </row>
    <row r="159">
      <c r="A159" t="n">
        <v>1118</v>
      </c>
      <c r="B159" s="14" t="n">
        <v>46230</v>
      </c>
      <c r="C159" t="inlineStr">
        <is>
          <t>Night</t>
        </is>
      </c>
      <c r="D159" t="n">
        <v>49</v>
      </c>
    </row>
    <row r="160">
      <c r="A160" t="n">
        <v>1119</v>
      </c>
      <c r="B160" s="14" t="n">
        <v>46230</v>
      </c>
      <c r="C160" t="inlineStr">
        <is>
          <t>Night</t>
        </is>
      </c>
      <c r="D160" t="n">
        <v>29</v>
      </c>
    </row>
    <row r="161">
      <c r="A161" t="n">
        <v>1120</v>
      </c>
      <c r="B161" s="14" t="n">
        <v>46230</v>
      </c>
      <c r="C161" t="inlineStr">
        <is>
          <t>Night</t>
        </is>
      </c>
      <c r="D161" t="n">
        <v>19</v>
      </c>
    </row>
    <row r="162">
      <c r="A162" t="n">
        <v>1121</v>
      </c>
      <c r="B162" s="14" t="n">
        <v>46230</v>
      </c>
      <c r="C162" t="inlineStr">
        <is>
          <t>Night</t>
        </is>
      </c>
      <c r="D162" t="n">
        <v>47</v>
      </c>
    </row>
    <row r="163">
      <c r="A163" t="n">
        <v>1122</v>
      </c>
      <c r="B163" s="14" t="n">
        <v>46230</v>
      </c>
      <c r="C163" t="inlineStr">
        <is>
          <t>Night</t>
        </is>
      </c>
      <c r="D163" t="n">
        <v>36</v>
      </c>
    </row>
    <row r="164">
      <c r="A164" t="n">
        <v>1123</v>
      </c>
      <c r="B164" s="14" t="n">
        <v>46230</v>
      </c>
      <c r="C164" t="inlineStr">
        <is>
          <t>Night</t>
        </is>
      </c>
      <c r="D164" t="n">
        <v>73</v>
      </c>
    </row>
    <row r="165">
      <c r="A165" t="n">
        <v>1124</v>
      </c>
      <c r="B165" s="14" t="n">
        <v>46230</v>
      </c>
      <c r="C165" t="inlineStr">
        <is>
          <t>Night</t>
        </is>
      </c>
      <c r="D165" t="n">
        <v>45</v>
      </c>
    </row>
    <row r="166">
      <c r="A166" t="n">
        <v>1125</v>
      </c>
      <c r="B166" s="14" t="n">
        <v>46230</v>
      </c>
      <c r="C166" t="inlineStr">
        <is>
          <t>Night</t>
        </is>
      </c>
      <c r="D166" t="n">
        <v>44</v>
      </c>
    </row>
    <row r="167">
      <c r="A167" t="n">
        <v>1126</v>
      </c>
      <c r="B167" s="14" t="n">
        <v>46230</v>
      </c>
      <c r="C167" t="inlineStr">
        <is>
          <t>Night</t>
        </is>
      </c>
      <c r="D167" t="n">
        <v>46</v>
      </c>
    </row>
    <row r="168">
      <c r="A168" t="n">
        <v>1128</v>
      </c>
      <c r="B168" s="14" t="n">
        <v>46230</v>
      </c>
      <c r="C168" t="inlineStr">
        <is>
          <t>Night</t>
        </is>
      </c>
      <c r="D168" t="n">
        <v>52</v>
      </c>
    </row>
    <row r="169">
      <c r="A169" t="n">
        <v>1129</v>
      </c>
      <c r="B169" s="14" t="n">
        <v>46230</v>
      </c>
      <c r="C169" t="inlineStr">
        <is>
          <t>Night</t>
        </is>
      </c>
      <c r="D169" t="n">
        <v>18</v>
      </c>
    </row>
    <row r="170">
      <c r="A170" t="n">
        <v>1130</v>
      </c>
      <c r="B170" s="14" t="n">
        <v>46230</v>
      </c>
      <c r="C170" t="inlineStr">
        <is>
          <t>Night</t>
        </is>
      </c>
      <c r="D170" t="n">
        <v>24</v>
      </c>
    </row>
    <row r="171">
      <c r="A171" t="n">
        <v>1131</v>
      </c>
      <c r="B171" s="14" t="n">
        <v>46230</v>
      </c>
      <c r="C171" t="inlineStr">
        <is>
          <t>Night</t>
        </is>
      </c>
      <c r="D171" t="n">
        <v>42</v>
      </c>
    </row>
    <row r="172">
      <c r="A172" t="n">
        <v>1132</v>
      </c>
      <c r="B172" s="14" t="n">
        <v>46230</v>
      </c>
      <c r="C172" t="inlineStr">
        <is>
          <t>Night</t>
        </is>
      </c>
      <c r="D172" t="n">
        <v>21</v>
      </c>
    </row>
    <row r="173">
      <c r="A173" t="n">
        <v>1133</v>
      </c>
      <c r="B173" s="14" t="n">
        <v>46230</v>
      </c>
      <c r="C173" t="inlineStr">
        <is>
          <t>Night</t>
        </is>
      </c>
      <c r="D173" t="n">
        <v>19</v>
      </c>
    </row>
    <row r="174">
      <c r="A174" t="n">
        <v>1134</v>
      </c>
      <c r="B174" s="14" t="n">
        <v>46230</v>
      </c>
      <c r="C174" t="inlineStr">
        <is>
          <t>Night</t>
        </is>
      </c>
      <c r="D174" t="n">
        <v>38</v>
      </c>
    </row>
    <row r="175">
      <c r="A175" t="n">
        <v>1135</v>
      </c>
      <c r="B175" s="14" t="n">
        <v>46230</v>
      </c>
      <c r="C175" t="inlineStr">
        <is>
          <t>Night</t>
        </is>
      </c>
      <c r="D175" t="n">
        <v>61</v>
      </c>
    </row>
    <row r="176">
      <c r="A176" t="n">
        <v>1136</v>
      </c>
      <c r="B176" s="14" t="n">
        <v>46230</v>
      </c>
      <c r="C176" t="inlineStr">
        <is>
          <t>Night</t>
        </is>
      </c>
      <c r="D176" t="n">
        <v>36</v>
      </c>
    </row>
    <row r="177">
      <c r="A177" t="n">
        <v>1137</v>
      </c>
      <c r="B177" s="14" t="n">
        <v>46230</v>
      </c>
      <c r="C177" t="inlineStr">
        <is>
          <t>Night</t>
        </is>
      </c>
      <c r="D177" t="n">
        <v>23</v>
      </c>
    </row>
    <row r="178">
      <c r="A178" t="n">
        <v>1101</v>
      </c>
      <c r="B178" s="14" t="n">
        <v>46237</v>
      </c>
      <c r="C178" t="inlineStr">
        <is>
          <t>Night</t>
        </is>
      </c>
      <c r="D178" t="n">
        <v>43</v>
      </c>
    </row>
    <row r="179">
      <c r="A179" t="n">
        <v>1102</v>
      </c>
      <c r="B179" s="14" t="n">
        <v>46237</v>
      </c>
      <c r="C179" t="inlineStr">
        <is>
          <t>Night</t>
        </is>
      </c>
      <c r="D179" t="n">
        <v>65</v>
      </c>
    </row>
    <row r="180">
      <c r="A180" t="n">
        <v>1103</v>
      </c>
      <c r="B180" s="14" t="n">
        <v>46237</v>
      </c>
      <c r="C180" t="inlineStr">
        <is>
          <t>Night</t>
        </is>
      </c>
      <c r="D180" t="n">
        <v>61</v>
      </c>
    </row>
    <row r="181">
      <c r="A181" t="n">
        <v>1104</v>
      </c>
      <c r="B181" s="14" t="n">
        <v>46237</v>
      </c>
      <c r="C181" t="inlineStr">
        <is>
          <t>Night</t>
        </is>
      </c>
      <c r="D181" t="n">
        <v>68</v>
      </c>
    </row>
    <row r="182">
      <c r="A182" t="n">
        <v>1147</v>
      </c>
      <c r="B182" s="14" t="n">
        <v>46237</v>
      </c>
      <c r="C182" t="inlineStr">
        <is>
          <t>Night</t>
        </is>
      </c>
      <c r="D182" t="n">
        <v>49</v>
      </c>
    </row>
    <row r="183">
      <c r="A183" t="n">
        <v>1106</v>
      </c>
      <c r="B183" s="14" t="n">
        <v>46237</v>
      </c>
      <c r="C183" t="inlineStr">
        <is>
          <t>Night</t>
        </is>
      </c>
      <c r="D183" t="n">
        <v>36</v>
      </c>
    </row>
    <row r="184">
      <c r="A184" t="n">
        <v>1107</v>
      </c>
      <c r="B184" s="14" t="n">
        <v>46237</v>
      </c>
      <c r="C184" t="inlineStr">
        <is>
          <t>Night</t>
        </is>
      </c>
      <c r="D184" t="n">
        <v>45</v>
      </c>
    </row>
    <row r="185">
      <c r="A185" t="n">
        <v>1108</v>
      </c>
      <c r="B185" s="14" t="n">
        <v>46237</v>
      </c>
      <c r="C185" t="inlineStr">
        <is>
          <t>Night</t>
        </is>
      </c>
      <c r="D185" t="n">
        <v>28</v>
      </c>
    </row>
    <row r="186">
      <c r="A186" t="n">
        <v>1109</v>
      </c>
      <c r="B186" s="14" t="n">
        <v>46237</v>
      </c>
      <c r="C186" t="inlineStr">
        <is>
          <t>Night</t>
        </is>
      </c>
      <c r="D186" t="n">
        <v>29</v>
      </c>
    </row>
    <row r="187">
      <c r="A187" t="n">
        <v>1110</v>
      </c>
      <c r="B187" s="14" t="n">
        <v>46237</v>
      </c>
      <c r="C187" t="inlineStr">
        <is>
          <t>Night</t>
        </is>
      </c>
      <c r="D187" t="n">
        <v>24</v>
      </c>
    </row>
    <row r="188">
      <c r="A188" t="n">
        <v>1111</v>
      </c>
      <c r="B188" s="14" t="n">
        <v>46237</v>
      </c>
      <c r="C188" t="inlineStr">
        <is>
          <t>Night</t>
        </is>
      </c>
      <c r="D188" t="n">
        <v>40</v>
      </c>
    </row>
    <row r="189">
      <c r="A189" t="n">
        <v>1112</v>
      </c>
      <c r="B189" s="14" t="n">
        <v>46237</v>
      </c>
      <c r="C189" t="inlineStr">
        <is>
          <t>Night</t>
        </is>
      </c>
      <c r="D189" t="n">
        <v>52</v>
      </c>
    </row>
    <row r="190">
      <c r="A190" t="n">
        <v>1113</v>
      </c>
      <c r="B190" s="14" t="n">
        <v>46237</v>
      </c>
      <c r="C190" t="inlineStr">
        <is>
          <t>Night</t>
        </is>
      </c>
      <c r="D190" t="n">
        <v>47</v>
      </c>
    </row>
    <row r="191">
      <c r="A191" t="n">
        <v>1114</v>
      </c>
      <c r="B191" s="14" t="n">
        <v>46237</v>
      </c>
      <c r="C191" t="inlineStr">
        <is>
          <t>Night</t>
        </is>
      </c>
      <c r="D191" t="n">
        <v>38</v>
      </c>
    </row>
    <row r="192">
      <c r="A192" t="n">
        <v>1115</v>
      </c>
      <c r="B192" s="14" t="n">
        <v>46237</v>
      </c>
      <c r="C192" t="inlineStr">
        <is>
          <t>Night</t>
        </is>
      </c>
      <c r="D192" t="n">
        <v>52</v>
      </c>
    </row>
    <row r="193">
      <c r="A193" t="n">
        <v>1116</v>
      </c>
      <c r="B193" s="14" t="n">
        <v>46237</v>
      </c>
      <c r="C193" t="inlineStr">
        <is>
          <t>Night</t>
        </is>
      </c>
      <c r="D193" t="n">
        <v>46</v>
      </c>
    </row>
    <row r="194">
      <c r="A194" t="n">
        <v>1117</v>
      </c>
      <c r="B194" s="14" t="n">
        <v>46237</v>
      </c>
      <c r="C194" t="inlineStr">
        <is>
          <t>Night</t>
        </is>
      </c>
      <c r="D194" t="n">
        <v>22</v>
      </c>
    </row>
    <row r="195">
      <c r="A195" t="n">
        <v>1118</v>
      </c>
      <c r="B195" s="14" t="n">
        <v>46237</v>
      </c>
      <c r="C195" t="inlineStr">
        <is>
          <t>Night</t>
        </is>
      </c>
      <c r="D195" t="n">
        <v>29</v>
      </c>
    </row>
    <row r="196">
      <c r="A196" t="n">
        <v>1119</v>
      </c>
      <c r="B196" s="14" t="n">
        <v>46237</v>
      </c>
      <c r="C196" t="inlineStr">
        <is>
          <t>Night</t>
        </is>
      </c>
      <c r="D196" t="n">
        <v>18</v>
      </c>
    </row>
    <row r="197">
      <c r="A197" t="n">
        <v>1120</v>
      </c>
      <c r="B197" s="14" t="n">
        <v>46237</v>
      </c>
      <c r="C197" t="inlineStr">
        <is>
          <t>Night</t>
        </is>
      </c>
      <c r="D197" t="n">
        <v>50</v>
      </c>
    </row>
    <row r="198">
      <c r="A198" t="n">
        <v>1121</v>
      </c>
      <c r="B198" s="14" t="n">
        <v>46237</v>
      </c>
      <c r="C198" t="inlineStr">
        <is>
          <t>Night</t>
        </is>
      </c>
      <c r="D198" t="n">
        <v>51</v>
      </c>
    </row>
    <row r="199">
      <c r="A199" t="n">
        <v>1122</v>
      </c>
      <c r="B199" s="14" t="n">
        <v>46237</v>
      </c>
      <c r="C199" t="inlineStr">
        <is>
          <t>Night</t>
        </is>
      </c>
      <c r="D199" t="n">
        <v>64</v>
      </c>
    </row>
    <row r="200">
      <c r="A200" t="n">
        <v>1123</v>
      </c>
      <c r="B200" s="14" t="n">
        <v>46237</v>
      </c>
      <c r="C200" t="inlineStr">
        <is>
          <t>Night</t>
        </is>
      </c>
      <c r="D200" t="n">
        <v>54</v>
      </c>
    </row>
    <row r="201">
      <c r="A201" t="n">
        <v>1124</v>
      </c>
      <c r="B201" s="14" t="n">
        <v>46237</v>
      </c>
      <c r="C201" t="inlineStr">
        <is>
          <t>Night</t>
        </is>
      </c>
      <c r="D201" t="n">
        <v>26</v>
      </c>
    </row>
    <row r="202">
      <c r="A202" t="n">
        <v>1125</v>
      </c>
      <c r="B202" s="14" t="n">
        <v>46237</v>
      </c>
      <c r="C202" t="inlineStr">
        <is>
          <t>Night</t>
        </is>
      </c>
      <c r="D202" t="n">
        <v>43</v>
      </c>
    </row>
    <row r="203">
      <c r="A203" t="n">
        <v>1126</v>
      </c>
      <c r="B203" s="14" t="n">
        <v>46237</v>
      </c>
      <c r="C203" t="inlineStr">
        <is>
          <t>Night</t>
        </is>
      </c>
      <c r="D203" t="n">
        <v>27</v>
      </c>
    </row>
    <row r="204">
      <c r="A204" t="n">
        <v>1127</v>
      </c>
      <c r="B204" s="14" t="n">
        <v>46237</v>
      </c>
      <c r="C204" t="inlineStr">
        <is>
          <t>Night</t>
        </is>
      </c>
      <c r="D204" t="n">
        <v>50</v>
      </c>
    </row>
    <row r="205">
      <c r="A205" t="n">
        <v>1128</v>
      </c>
      <c r="B205" s="14" t="n">
        <v>46237</v>
      </c>
      <c r="C205" t="inlineStr">
        <is>
          <t>Night</t>
        </is>
      </c>
      <c r="D205" t="n">
        <v>13</v>
      </c>
    </row>
    <row r="206">
      <c r="A206" t="n">
        <v>1129</v>
      </c>
      <c r="B206" s="14" t="n">
        <v>46237</v>
      </c>
      <c r="C206" t="inlineStr">
        <is>
          <t>Night</t>
        </is>
      </c>
      <c r="D206" t="n">
        <v>53</v>
      </c>
    </row>
    <row r="207">
      <c r="A207" t="n">
        <v>1130</v>
      </c>
      <c r="B207" s="14" t="n">
        <v>46237</v>
      </c>
      <c r="C207" t="inlineStr">
        <is>
          <t>Night</t>
        </is>
      </c>
      <c r="D207" t="n">
        <v>16</v>
      </c>
    </row>
    <row r="208">
      <c r="A208" t="n">
        <v>1131</v>
      </c>
      <c r="B208" s="14" t="n">
        <v>46237</v>
      </c>
      <c r="C208" t="inlineStr">
        <is>
          <t>Night</t>
        </is>
      </c>
      <c r="D208" t="n">
        <v>40</v>
      </c>
    </row>
    <row r="209">
      <c r="A209" t="n">
        <v>1132</v>
      </c>
      <c r="B209" s="14" t="n">
        <v>46237</v>
      </c>
      <c r="C209" t="inlineStr">
        <is>
          <t>Night</t>
        </is>
      </c>
      <c r="D209" t="n">
        <v>41</v>
      </c>
    </row>
    <row r="210">
      <c r="A210" t="n">
        <v>1133</v>
      </c>
      <c r="B210" s="14" t="n">
        <v>46237</v>
      </c>
      <c r="C210" t="inlineStr">
        <is>
          <t>Night</t>
        </is>
      </c>
      <c r="D210" t="n">
        <v>55</v>
      </c>
    </row>
    <row r="211">
      <c r="A211" t="n">
        <v>1134</v>
      </c>
      <c r="B211" s="14" t="n">
        <v>46237</v>
      </c>
      <c r="C211" t="inlineStr">
        <is>
          <t>Night</t>
        </is>
      </c>
      <c r="D211" t="n">
        <v>23</v>
      </c>
    </row>
    <row r="212">
      <c r="A212" t="n">
        <v>1135</v>
      </c>
      <c r="B212" s="14" t="n">
        <v>46237</v>
      </c>
      <c r="C212" t="inlineStr">
        <is>
          <t>Night</t>
        </is>
      </c>
      <c r="D212" t="n">
        <v>45</v>
      </c>
    </row>
    <row r="213">
      <c r="A213" t="n">
        <v>1136</v>
      </c>
      <c r="B213" s="14" t="n">
        <v>46237</v>
      </c>
      <c r="C213" t="inlineStr">
        <is>
          <t>Night</t>
        </is>
      </c>
      <c r="D213" t="n">
        <v>52</v>
      </c>
    </row>
    <row r="214">
      <c r="A214" t="n">
        <v>1137</v>
      </c>
      <c r="B214" s="14" t="n">
        <v>46237</v>
      </c>
      <c r="C214" t="inlineStr">
        <is>
          <t>Night</t>
        </is>
      </c>
      <c r="D214" t="n">
        <v>46</v>
      </c>
    </row>
    <row r="215">
      <c r="A215" t="n">
        <v>1101</v>
      </c>
      <c r="B215" s="14" t="n">
        <v>46244</v>
      </c>
      <c r="C215" t="inlineStr">
        <is>
          <t>Night</t>
        </is>
      </c>
      <c r="D215" t="n">
        <v>32</v>
      </c>
    </row>
    <row r="216">
      <c r="A216" t="n">
        <v>1102</v>
      </c>
      <c r="B216" s="14" t="n">
        <v>46244</v>
      </c>
      <c r="C216" t="inlineStr">
        <is>
          <t>Night</t>
        </is>
      </c>
      <c r="D216" t="n">
        <v>49</v>
      </c>
    </row>
    <row r="217">
      <c r="A217" t="n">
        <v>1103</v>
      </c>
      <c r="B217" s="14" t="n">
        <v>46244</v>
      </c>
      <c r="C217" t="inlineStr">
        <is>
          <t>Night</t>
        </is>
      </c>
      <c r="D217" t="n">
        <v>45</v>
      </c>
    </row>
    <row r="218">
      <c r="A218" t="n">
        <v>1104</v>
      </c>
      <c r="B218" s="14" t="n">
        <v>46244</v>
      </c>
      <c r="C218" t="inlineStr">
        <is>
          <t>Night</t>
        </is>
      </c>
      <c r="D218" t="n">
        <v>52</v>
      </c>
    </row>
    <row r="219">
      <c r="A219" t="n">
        <v>1147</v>
      </c>
      <c r="B219" s="14" t="n">
        <v>46244</v>
      </c>
      <c r="C219" t="inlineStr">
        <is>
          <t>Night</t>
        </is>
      </c>
      <c r="D219" t="n">
        <v>31</v>
      </c>
    </row>
    <row r="220">
      <c r="A220" t="n">
        <v>1106</v>
      </c>
      <c r="B220" s="14" t="n">
        <v>46244</v>
      </c>
      <c r="C220" t="inlineStr">
        <is>
          <t>Night</t>
        </is>
      </c>
      <c r="D220" t="n">
        <v>24</v>
      </c>
    </row>
    <row r="221">
      <c r="A221" t="n">
        <v>1107</v>
      </c>
      <c r="B221" s="14" t="n">
        <v>46244</v>
      </c>
      <c r="C221" t="inlineStr">
        <is>
          <t>Night</t>
        </is>
      </c>
      <c r="D221" t="n">
        <v>24</v>
      </c>
    </row>
    <row r="222">
      <c r="A222" t="n">
        <v>1108</v>
      </c>
      <c r="B222" s="14" t="n">
        <v>46244</v>
      </c>
      <c r="C222" t="inlineStr">
        <is>
          <t>Night</t>
        </is>
      </c>
      <c r="D222" t="n">
        <v>3</v>
      </c>
    </row>
    <row r="223">
      <c r="A223" t="n">
        <v>1109</v>
      </c>
      <c r="B223" s="14" t="n">
        <v>46244</v>
      </c>
      <c r="C223" t="inlineStr">
        <is>
          <t>Night</t>
        </is>
      </c>
      <c r="D223" t="n">
        <v>7</v>
      </c>
    </row>
    <row r="224">
      <c r="A224" t="n">
        <v>1110</v>
      </c>
      <c r="B224" s="14" t="n">
        <v>46244</v>
      </c>
      <c r="C224" t="inlineStr">
        <is>
          <t>Night</t>
        </is>
      </c>
      <c r="D224" t="n">
        <v>23</v>
      </c>
    </row>
    <row r="225">
      <c r="A225" t="n">
        <v>1111</v>
      </c>
      <c r="B225" s="14" t="n">
        <v>46244</v>
      </c>
      <c r="C225" t="inlineStr">
        <is>
          <t>Night</t>
        </is>
      </c>
      <c r="D225" t="n">
        <v>31</v>
      </c>
    </row>
    <row r="226">
      <c r="A226" t="n">
        <v>1112</v>
      </c>
      <c r="B226" s="14" t="n">
        <v>46244</v>
      </c>
      <c r="C226" t="inlineStr">
        <is>
          <t>Night</t>
        </is>
      </c>
      <c r="D226" t="n">
        <v>33</v>
      </c>
    </row>
    <row r="227">
      <c r="A227" t="n">
        <v>1113</v>
      </c>
      <c r="B227" s="14" t="n">
        <v>46244</v>
      </c>
      <c r="C227" t="inlineStr">
        <is>
          <t>Night</t>
        </is>
      </c>
      <c r="D227" t="n">
        <v>30</v>
      </c>
    </row>
    <row r="228">
      <c r="A228" t="n">
        <v>1114</v>
      </c>
      <c r="B228" s="14" t="n">
        <v>46244</v>
      </c>
      <c r="C228" t="inlineStr">
        <is>
          <t>Night</t>
        </is>
      </c>
      <c r="D228" t="n">
        <v>47</v>
      </c>
    </row>
    <row r="229">
      <c r="A229" t="n">
        <v>1115</v>
      </c>
      <c r="B229" s="14" t="n">
        <v>46244</v>
      </c>
      <c r="C229" t="inlineStr">
        <is>
          <t>Night</t>
        </is>
      </c>
      <c r="D229" t="n">
        <v>1</v>
      </c>
    </row>
    <row r="230">
      <c r="A230" t="n">
        <v>1116</v>
      </c>
      <c r="B230" s="14" t="n">
        <v>46244</v>
      </c>
      <c r="C230" t="inlineStr">
        <is>
          <t>Night</t>
        </is>
      </c>
      <c r="D230" t="n">
        <v>19</v>
      </c>
    </row>
    <row r="231">
      <c r="A231" t="n">
        <v>1117</v>
      </c>
      <c r="B231" s="14" t="n">
        <v>46244</v>
      </c>
      <c r="C231" t="inlineStr">
        <is>
          <t>Night</t>
        </is>
      </c>
      <c r="D231" t="n">
        <v>2</v>
      </c>
    </row>
    <row r="232">
      <c r="A232" t="n">
        <v>1118</v>
      </c>
      <c r="B232" s="14" t="n">
        <v>46244</v>
      </c>
      <c r="C232" t="inlineStr">
        <is>
          <t>Night</t>
        </is>
      </c>
      <c r="D232" t="n">
        <v>17</v>
      </c>
    </row>
    <row r="233">
      <c r="A233" t="n">
        <v>1119</v>
      </c>
      <c r="B233" s="14" t="n">
        <v>46244</v>
      </c>
      <c r="C233" t="inlineStr">
        <is>
          <t>Night</t>
        </is>
      </c>
      <c r="D233" t="n">
        <v>52</v>
      </c>
    </row>
    <row r="234">
      <c r="A234" t="n">
        <v>1120</v>
      </c>
      <c r="B234" s="14" t="n">
        <v>46244</v>
      </c>
      <c r="C234" t="inlineStr">
        <is>
          <t>Night</t>
        </is>
      </c>
      <c r="D234" t="n">
        <v>29</v>
      </c>
    </row>
    <row r="235">
      <c r="A235" t="n">
        <v>1121</v>
      </c>
      <c r="B235" s="14" t="n">
        <v>46244</v>
      </c>
      <c r="C235" t="inlineStr">
        <is>
          <t>Night</t>
        </is>
      </c>
      <c r="D235" t="n">
        <v>15</v>
      </c>
    </row>
    <row r="236">
      <c r="A236" t="n">
        <v>1122</v>
      </c>
      <c r="B236" s="14" t="n">
        <v>46244</v>
      </c>
      <c r="C236" t="inlineStr">
        <is>
          <t>Night</t>
        </is>
      </c>
      <c r="D236" t="n">
        <v>35</v>
      </c>
    </row>
    <row r="237">
      <c r="A237" t="n">
        <v>1123</v>
      </c>
      <c r="B237" s="14" t="n">
        <v>46244</v>
      </c>
      <c r="C237" t="inlineStr">
        <is>
          <t>Night</t>
        </is>
      </c>
      <c r="D237" t="n">
        <v>46</v>
      </c>
    </row>
    <row r="238">
      <c r="A238" t="n">
        <v>1124</v>
      </c>
      <c r="B238" s="14" t="n">
        <v>46244</v>
      </c>
      <c r="C238" t="inlineStr">
        <is>
          <t>Night</t>
        </is>
      </c>
      <c r="D238" t="n">
        <v>16</v>
      </c>
    </row>
    <row r="239">
      <c r="A239" t="n">
        <v>1125</v>
      </c>
      <c r="B239" s="14" t="n">
        <v>46244</v>
      </c>
      <c r="C239" t="inlineStr">
        <is>
          <t>Night</t>
        </is>
      </c>
      <c r="D239" t="n">
        <v>18</v>
      </c>
    </row>
    <row r="240">
      <c r="A240" t="n">
        <v>1126</v>
      </c>
      <c r="B240" s="14" t="n">
        <v>46244</v>
      </c>
      <c r="C240" t="inlineStr">
        <is>
          <t>Night</t>
        </is>
      </c>
      <c r="D240" t="n">
        <v>1</v>
      </c>
    </row>
    <row r="241">
      <c r="A241" t="n">
        <v>1127</v>
      </c>
      <c r="B241" s="14" t="n">
        <v>46244</v>
      </c>
      <c r="C241" t="inlineStr">
        <is>
          <t>Night</t>
        </is>
      </c>
      <c r="D241" t="n">
        <v>5</v>
      </c>
    </row>
    <row r="242">
      <c r="A242" t="n">
        <v>1128</v>
      </c>
      <c r="B242" s="14" t="n">
        <v>46244</v>
      </c>
      <c r="C242" t="inlineStr">
        <is>
          <t>Night</t>
        </is>
      </c>
      <c r="D242" t="n">
        <v>39</v>
      </c>
    </row>
    <row r="243">
      <c r="A243" t="n">
        <v>1129</v>
      </c>
      <c r="B243" s="14" t="n">
        <v>46244</v>
      </c>
      <c r="C243" t="inlineStr">
        <is>
          <t>Night</t>
        </is>
      </c>
      <c r="D243" t="n">
        <v>11</v>
      </c>
    </row>
    <row r="244">
      <c r="A244" t="n">
        <v>1130</v>
      </c>
      <c r="B244" s="14" t="n">
        <v>46244</v>
      </c>
      <c r="C244" t="inlineStr">
        <is>
          <t>Night</t>
        </is>
      </c>
      <c r="D244" t="n">
        <v>30</v>
      </c>
    </row>
    <row r="245">
      <c r="A245" t="n">
        <v>1131</v>
      </c>
      <c r="B245" s="14" t="n">
        <v>46244</v>
      </c>
      <c r="C245" t="inlineStr">
        <is>
          <t>Night</t>
        </is>
      </c>
      <c r="D245" t="n">
        <v>8</v>
      </c>
    </row>
    <row r="246">
      <c r="A246" t="n">
        <v>1132</v>
      </c>
      <c r="B246" s="14" t="n">
        <v>46244</v>
      </c>
      <c r="C246" t="inlineStr">
        <is>
          <t>Night</t>
        </is>
      </c>
      <c r="D246" t="n">
        <v>44</v>
      </c>
    </row>
    <row r="247">
      <c r="A247" t="n">
        <v>1133</v>
      </c>
      <c r="B247" s="14" t="n">
        <v>46244</v>
      </c>
      <c r="C247" t="inlineStr">
        <is>
          <t>Night</t>
        </is>
      </c>
      <c r="D247" t="n">
        <v>3</v>
      </c>
    </row>
    <row r="248">
      <c r="A248" t="n">
        <v>1134</v>
      </c>
      <c r="B248" s="14" t="n">
        <v>46244</v>
      </c>
      <c r="C248" t="inlineStr">
        <is>
          <t>Night</t>
        </is>
      </c>
      <c r="D248" t="n">
        <v>20</v>
      </c>
    </row>
    <row r="249">
      <c r="A249" t="n">
        <v>1135</v>
      </c>
      <c r="B249" s="14" t="n">
        <v>46244</v>
      </c>
      <c r="C249" t="inlineStr">
        <is>
          <t>Night</t>
        </is>
      </c>
      <c r="D249" t="n">
        <v>3</v>
      </c>
    </row>
    <row r="250">
      <c r="A250" t="n">
        <v>1136</v>
      </c>
      <c r="B250" s="14" t="n">
        <v>46244</v>
      </c>
      <c r="C250" t="inlineStr">
        <is>
          <t>Night</t>
        </is>
      </c>
      <c r="D250" t="n">
        <v>18</v>
      </c>
    </row>
    <row r="251">
      <c r="A251" t="n">
        <v>1137</v>
      </c>
      <c r="B251" s="14" t="n">
        <v>46244</v>
      </c>
      <c r="C251" t="inlineStr">
        <is>
          <t>Night</t>
        </is>
      </c>
      <c r="D251" t="n">
        <v>7</v>
      </c>
    </row>
    <row r="252">
      <c r="A252" t="n">
        <v>1101</v>
      </c>
      <c r="B252" s="14" t="n">
        <v>46251</v>
      </c>
      <c r="C252" t="inlineStr">
        <is>
          <t>Night</t>
        </is>
      </c>
      <c r="D252" t="n">
        <v>46</v>
      </c>
    </row>
    <row r="253">
      <c r="A253" t="n">
        <v>1102</v>
      </c>
      <c r="B253" s="14" t="n">
        <v>46251</v>
      </c>
      <c r="C253" t="inlineStr">
        <is>
          <t>Night</t>
        </is>
      </c>
      <c r="D253" t="n">
        <v>67</v>
      </c>
    </row>
    <row r="254">
      <c r="A254" t="n">
        <v>1103</v>
      </c>
      <c r="B254" s="14" t="n">
        <v>46251</v>
      </c>
      <c r="C254" t="inlineStr">
        <is>
          <t>Night</t>
        </is>
      </c>
      <c r="D254" t="n">
        <v>62</v>
      </c>
    </row>
    <row r="255">
      <c r="A255" t="n">
        <v>1104</v>
      </c>
      <c r="B255" s="14" t="n">
        <v>46251</v>
      </c>
      <c r="C255" t="inlineStr">
        <is>
          <t>Night</t>
        </is>
      </c>
      <c r="D255" t="n">
        <v>68</v>
      </c>
    </row>
    <row r="256">
      <c r="A256" t="n">
        <v>1147</v>
      </c>
      <c r="B256" s="14" t="n">
        <v>46251</v>
      </c>
      <c r="C256" t="inlineStr">
        <is>
          <t>Night</t>
        </is>
      </c>
      <c r="D256" t="n">
        <v>49</v>
      </c>
    </row>
    <row r="257">
      <c r="A257" t="n">
        <v>1106</v>
      </c>
      <c r="B257" s="14" t="n">
        <v>46251</v>
      </c>
      <c r="C257" t="inlineStr">
        <is>
          <t>Night</t>
        </is>
      </c>
      <c r="D257" t="n">
        <v>37</v>
      </c>
    </row>
    <row r="258">
      <c r="A258" t="n">
        <v>1107</v>
      </c>
      <c r="B258" s="14" t="n">
        <v>46251</v>
      </c>
      <c r="C258" t="inlineStr">
        <is>
          <t>Night</t>
        </is>
      </c>
      <c r="D258" t="n">
        <v>35</v>
      </c>
    </row>
    <row r="259">
      <c r="A259" t="n">
        <v>1108</v>
      </c>
      <c r="B259" s="14" t="n">
        <v>46251</v>
      </c>
      <c r="C259" t="inlineStr">
        <is>
          <t>Night</t>
        </is>
      </c>
      <c r="D259" t="n">
        <v>33</v>
      </c>
    </row>
    <row r="260">
      <c r="A260" t="n">
        <v>1109</v>
      </c>
      <c r="B260" s="14" t="n">
        <v>46251</v>
      </c>
      <c r="C260" t="inlineStr">
        <is>
          <t>Night</t>
        </is>
      </c>
      <c r="D260" t="n">
        <v>26</v>
      </c>
    </row>
    <row r="261">
      <c r="A261" t="n">
        <v>1110</v>
      </c>
      <c r="B261" s="14" t="n">
        <v>46251</v>
      </c>
      <c r="C261" t="inlineStr">
        <is>
          <t>Night</t>
        </is>
      </c>
      <c r="D261" t="n">
        <v>46</v>
      </c>
    </row>
    <row r="262">
      <c r="A262" t="n">
        <v>1111</v>
      </c>
      <c r="B262" s="14" t="n">
        <v>46251</v>
      </c>
      <c r="C262" t="inlineStr">
        <is>
          <t>Night</t>
        </is>
      </c>
      <c r="D262" t="n">
        <v>24</v>
      </c>
    </row>
    <row r="263">
      <c r="A263" t="n">
        <v>1112</v>
      </c>
      <c r="B263" s="14" t="n">
        <v>46251</v>
      </c>
      <c r="C263" t="inlineStr">
        <is>
          <t>Night</t>
        </is>
      </c>
      <c r="D263" t="n">
        <v>41</v>
      </c>
    </row>
    <row r="264">
      <c r="A264" t="n">
        <v>1113</v>
      </c>
      <c r="B264" s="14" t="n">
        <v>46251</v>
      </c>
      <c r="C264" t="inlineStr">
        <is>
          <t>Night</t>
        </is>
      </c>
      <c r="D264" t="n">
        <v>71</v>
      </c>
    </row>
    <row r="265">
      <c r="A265" t="n">
        <v>1114</v>
      </c>
      <c r="B265" s="14" t="n">
        <v>46251</v>
      </c>
      <c r="C265" t="inlineStr">
        <is>
          <t>Night</t>
        </is>
      </c>
      <c r="D265" t="n">
        <v>40</v>
      </c>
    </row>
    <row r="266">
      <c r="A266" t="n">
        <v>1115</v>
      </c>
      <c r="B266" s="14" t="n">
        <v>46251</v>
      </c>
      <c r="C266" t="inlineStr">
        <is>
          <t>Night</t>
        </is>
      </c>
      <c r="D266" t="n">
        <v>53</v>
      </c>
    </row>
    <row r="267">
      <c r="A267" t="n">
        <v>1116</v>
      </c>
      <c r="B267" s="14" t="n">
        <v>46251</v>
      </c>
      <c r="C267" t="inlineStr">
        <is>
          <t>Night</t>
        </is>
      </c>
      <c r="D267" t="n">
        <v>24</v>
      </c>
    </row>
    <row r="268">
      <c r="A268" t="n">
        <v>1117</v>
      </c>
      <c r="B268" s="14" t="n">
        <v>46251</v>
      </c>
      <c r="C268" t="inlineStr">
        <is>
          <t>Night</t>
        </is>
      </c>
      <c r="D268" t="n">
        <v>40</v>
      </c>
    </row>
    <row r="269">
      <c r="A269" t="n">
        <v>1118</v>
      </c>
      <c r="B269" s="14" t="n">
        <v>46251</v>
      </c>
      <c r="C269" t="inlineStr">
        <is>
          <t>Night</t>
        </is>
      </c>
      <c r="D269" t="n">
        <v>60</v>
      </c>
    </row>
    <row r="270">
      <c r="A270" t="n">
        <v>1119</v>
      </c>
      <c r="B270" s="14" t="n">
        <v>46251</v>
      </c>
      <c r="C270" t="inlineStr">
        <is>
          <t>Night</t>
        </is>
      </c>
      <c r="D270" t="n">
        <v>56</v>
      </c>
    </row>
    <row r="271">
      <c r="A271" t="n">
        <v>1120</v>
      </c>
      <c r="B271" s="14" t="n">
        <v>46251</v>
      </c>
      <c r="C271" t="inlineStr">
        <is>
          <t>Night</t>
        </is>
      </c>
      <c r="D271" t="n">
        <v>29</v>
      </c>
    </row>
    <row r="272">
      <c r="A272" t="n">
        <v>1121</v>
      </c>
      <c r="B272" s="14" t="n">
        <v>46251</v>
      </c>
      <c r="C272" t="inlineStr">
        <is>
          <t>Night</t>
        </is>
      </c>
      <c r="D272" t="n">
        <v>14</v>
      </c>
    </row>
    <row r="273">
      <c r="A273" t="n">
        <v>1122</v>
      </c>
      <c r="B273" s="14" t="n">
        <v>46251</v>
      </c>
      <c r="C273" t="inlineStr">
        <is>
          <t>Night</t>
        </is>
      </c>
      <c r="D273" t="n">
        <v>63</v>
      </c>
    </row>
    <row r="274">
      <c r="A274" t="n">
        <v>1123</v>
      </c>
      <c r="B274" s="14" t="n">
        <v>46251</v>
      </c>
      <c r="C274" t="inlineStr">
        <is>
          <t>Night</t>
        </is>
      </c>
      <c r="D274" t="n">
        <v>39</v>
      </c>
    </row>
    <row r="275">
      <c r="A275" t="n">
        <v>1124</v>
      </c>
      <c r="B275" s="14" t="n">
        <v>46251</v>
      </c>
      <c r="C275" t="inlineStr">
        <is>
          <t>Night</t>
        </is>
      </c>
      <c r="D275" t="n">
        <v>59</v>
      </c>
    </row>
    <row r="276">
      <c r="A276" t="n">
        <v>1125</v>
      </c>
      <c r="B276" s="14" t="n">
        <v>46251</v>
      </c>
      <c r="C276" t="inlineStr">
        <is>
          <t>Night</t>
        </is>
      </c>
      <c r="D276" t="n">
        <v>38</v>
      </c>
    </row>
    <row r="277">
      <c r="A277" t="n">
        <v>1126</v>
      </c>
      <c r="B277" s="14" t="n">
        <v>46251</v>
      </c>
      <c r="C277" t="inlineStr">
        <is>
          <t>Night</t>
        </is>
      </c>
      <c r="D277" t="n">
        <v>23</v>
      </c>
    </row>
    <row r="278">
      <c r="A278" t="n">
        <v>1127</v>
      </c>
      <c r="B278" s="14" t="n">
        <v>46251</v>
      </c>
      <c r="C278" t="inlineStr">
        <is>
          <t>Night</t>
        </is>
      </c>
      <c r="D278" t="n">
        <v>58</v>
      </c>
    </row>
    <row r="279">
      <c r="A279" t="n">
        <v>1128</v>
      </c>
      <c r="B279" s="14" t="n">
        <v>46251</v>
      </c>
      <c r="C279" t="inlineStr">
        <is>
          <t>Night</t>
        </is>
      </c>
      <c r="D279" t="n">
        <v>53</v>
      </c>
    </row>
    <row r="280">
      <c r="A280" t="n">
        <v>1129</v>
      </c>
      <c r="B280" s="14" t="n">
        <v>46251</v>
      </c>
      <c r="C280" t="inlineStr">
        <is>
          <t>Night</t>
        </is>
      </c>
      <c r="D280" t="n">
        <v>45</v>
      </c>
    </row>
    <row r="281">
      <c r="A281" t="n">
        <v>1130</v>
      </c>
      <c r="B281" s="14" t="n">
        <v>46251</v>
      </c>
      <c r="C281" t="inlineStr">
        <is>
          <t>Night</t>
        </is>
      </c>
      <c r="D281" t="n">
        <v>30</v>
      </c>
    </row>
    <row r="282">
      <c r="A282" t="n">
        <v>1131</v>
      </c>
      <c r="B282" s="14" t="n">
        <v>46251</v>
      </c>
      <c r="C282" t="inlineStr">
        <is>
          <t>Night</t>
        </is>
      </c>
      <c r="D282" t="n">
        <v>29</v>
      </c>
    </row>
    <row r="283">
      <c r="A283" t="n">
        <v>1132</v>
      </c>
      <c r="B283" s="14" t="n">
        <v>46251</v>
      </c>
      <c r="C283" t="inlineStr">
        <is>
          <t>Night</t>
        </is>
      </c>
      <c r="D283" t="n">
        <v>55</v>
      </c>
    </row>
    <row r="284">
      <c r="A284" t="n">
        <v>1133</v>
      </c>
      <c r="B284" s="14" t="n">
        <v>46251</v>
      </c>
      <c r="C284" t="inlineStr">
        <is>
          <t>Night</t>
        </is>
      </c>
      <c r="D284" t="n">
        <v>63</v>
      </c>
    </row>
    <row r="285">
      <c r="A285" t="n">
        <v>1134</v>
      </c>
      <c r="B285" s="14" t="n">
        <v>46251</v>
      </c>
      <c r="C285" t="inlineStr">
        <is>
          <t>Night</t>
        </is>
      </c>
      <c r="D285" t="n">
        <v>26</v>
      </c>
    </row>
    <row r="286">
      <c r="A286" t="n">
        <v>1135</v>
      </c>
      <c r="B286" s="14" t="n">
        <v>46251</v>
      </c>
      <c r="C286" t="inlineStr">
        <is>
          <t>Night</t>
        </is>
      </c>
      <c r="D286" t="n">
        <v>34</v>
      </c>
    </row>
    <row r="287">
      <c r="A287" t="n">
        <v>1136</v>
      </c>
      <c r="B287" s="14" t="n">
        <v>46251</v>
      </c>
      <c r="C287" t="inlineStr">
        <is>
          <t>Night</t>
        </is>
      </c>
      <c r="D287" t="n">
        <v>30</v>
      </c>
    </row>
    <row r="288">
      <c r="A288" t="n">
        <v>1137</v>
      </c>
      <c r="B288" s="14" t="n">
        <v>46251</v>
      </c>
      <c r="C288" t="inlineStr">
        <is>
          <t>Night</t>
        </is>
      </c>
      <c r="D288" t="n">
        <v>37</v>
      </c>
    </row>
    <row r="289">
      <c r="A289" t="n">
        <v>1101</v>
      </c>
      <c r="B289" s="14" t="n">
        <v>46258</v>
      </c>
      <c r="C289" t="inlineStr">
        <is>
          <t>Night</t>
        </is>
      </c>
      <c r="D289" t="n">
        <v>45</v>
      </c>
    </row>
    <row r="290">
      <c r="A290" t="n">
        <v>1102</v>
      </c>
      <c r="B290" s="14" t="n">
        <v>46258</v>
      </c>
      <c r="C290" t="inlineStr">
        <is>
          <t>Night</t>
        </is>
      </c>
      <c r="D290" t="n">
        <v>67</v>
      </c>
    </row>
    <row r="291">
      <c r="A291" t="n">
        <v>1103</v>
      </c>
      <c r="B291" s="14" t="n">
        <v>46258</v>
      </c>
      <c r="C291" t="inlineStr">
        <is>
          <t>Night</t>
        </is>
      </c>
      <c r="D291" t="n">
        <v>64</v>
      </c>
    </row>
    <row r="292">
      <c r="A292" t="n">
        <v>1104</v>
      </c>
      <c r="B292" s="14" t="n">
        <v>46258</v>
      </c>
      <c r="C292" t="inlineStr">
        <is>
          <t>Night</t>
        </is>
      </c>
      <c r="D292" t="n">
        <v>70</v>
      </c>
    </row>
    <row r="293">
      <c r="A293" t="n">
        <v>1147</v>
      </c>
      <c r="B293" s="14" t="n">
        <v>46258</v>
      </c>
      <c r="C293" t="inlineStr">
        <is>
          <t>Night</t>
        </is>
      </c>
      <c r="D293" t="n">
        <v>49</v>
      </c>
    </row>
    <row r="294">
      <c r="A294" t="n">
        <v>1106</v>
      </c>
      <c r="B294" s="14" t="n">
        <v>46258</v>
      </c>
      <c r="C294" t="inlineStr">
        <is>
          <t>Night</t>
        </is>
      </c>
      <c r="D294" t="n">
        <v>38</v>
      </c>
    </row>
    <row r="295">
      <c r="A295" t="n">
        <v>1107</v>
      </c>
      <c r="B295" s="14" t="n">
        <v>46258</v>
      </c>
      <c r="C295" t="inlineStr">
        <is>
          <t>Night</t>
        </is>
      </c>
      <c r="D295" t="n">
        <v>20</v>
      </c>
    </row>
    <row r="296">
      <c r="A296" t="n">
        <v>1108</v>
      </c>
      <c r="B296" s="14" t="n">
        <v>46258</v>
      </c>
      <c r="C296" t="inlineStr">
        <is>
          <t>Night</t>
        </is>
      </c>
      <c r="D296" t="n">
        <v>31</v>
      </c>
    </row>
    <row r="297">
      <c r="A297" t="n">
        <v>1109</v>
      </c>
      <c r="B297" s="14" t="n">
        <v>46258</v>
      </c>
      <c r="C297" t="inlineStr">
        <is>
          <t>Night</t>
        </is>
      </c>
      <c r="D297" t="n">
        <v>47</v>
      </c>
    </row>
    <row r="298">
      <c r="A298" t="n">
        <v>1110</v>
      </c>
      <c r="B298" s="14" t="n">
        <v>46258</v>
      </c>
      <c r="C298" t="inlineStr">
        <is>
          <t>Night</t>
        </is>
      </c>
      <c r="D298" t="n">
        <v>56</v>
      </c>
    </row>
    <row r="299">
      <c r="A299" t="n">
        <v>1111</v>
      </c>
      <c r="B299" s="14" t="n">
        <v>46258</v>
      </c>
      <c r="C299" t="inlineStr">
        <is>
          <t>Night</t>
        </is>
      </c>
      <c r="D299" t="n">
        <v>37</v>
      </c>
    </row>
    <row r="300">
      <c r="A300" t="n">
        <v>1112</v>
      </c>
      <c r="B300" s="14" t="n">
        <v>46258</v>
      </c>
      <c r="C300" t="inlineStr">
        <is>
          <t>Night</t>
        </is>
      </c>
      <c r="D300" t="n">
        <v>50</v>
      </c>
    </row>
    <row r="301">
      <c r="A301" t="n">
        <v>1113</v>
      </c>
      <c r="B301" s="14" t="n">
        <v>46258</v>
      </c>
      <c r="C301" t="inlineStr">
        <is>
          <t>Night</t>
        </is>
      </c>
      <c r="D301" t="n">
        <v>47</v>
      </c>
    </row>
    <row r="302">
      <c r="A302" t="n">
        <v>1114</v>
      </c>
      <c r="B302" s="14" t="n">
        <v>46258</v>
      </c>
      <c r="C302" t="inlineStr">
        <is>
          <t>Night</t>
        </is>
      </c>
      <c r="D302" t="n">
        <v>46</v>
      </c>
    </row>
    <row r="303">
      <c r="A303" t="n">
        <v>1115</v>
      </c>
      <c r="B303" s="14" t="n">
        <v>46258</v>
      </c>
      <c r="C303" t="inlineStr">
        <is>
          <t>Night</t>
        </is>
      </c>
      <c r="D303" t="n">
        <v>44</v>
      </c>
    </row>
    <row r="304">
      <c r="A304" t="n">
        <v>1116</v>
      </c>
      <c r="B304" s="14" t="n">
        <v>46258</v>
      </c>
      <c r="C304" t="inlineStr">
        <is>
          <t>Night</t>
        </is>
      </c>
      <c r="D304" t="n">
        <v>32</v>
      </c>
    </row>
    <row r="305">
      <c r="A305" t="n">
        <v>1117</v>
      </c>
      <c r="B305" s="14" t="n">
        <v>46258</v>
      </c>
      <c r="C305" t="inlineStr">
        <is>
          <t>Night</t>
        </is>
      </c>
      <c r="D305" t="n">
        <v>19</v>
      </c>
    </row>
    <row r="306">
      <c r="A306" t="n">
        <v>1118</v>
      </c>
      <c r="B306" s="14" t="n">
        <v>46258</v>
      </c>
      <c r="C306" t="inlineStr">
        <is>
          <t>Night</t>
        </is>
      </c>
      <c r="D306" t="n">
        <v>29</v>
      </c>
    </row>
    <row r="307">
      <c r="A307" t="n">
        <v>1119</v>
      </c>
      <c r="B307" s="14" t="n">
        <v>46258</v>
      </c>
      <c r="C307" t="inlineStr">
        <is>
          <t>Night</t>
        </is>
      </c>
      <c r="D307" t="n">
        <v>38</v>
      </c>
    </row>
    <row r="308">
      <c r="A308" t="n">
        <v>1120</v>
      </c>
      <c r="B308" s="14" t="n">
        <v>46258</v>
      </c>
      <c r="C308" t="inlineStr">
        <is>
          <t>Night</t>
        </is>
      </c>
      <c r="D308" t="n">
        <v>44</v>
      </c>
    </row>
    <row r="309">
      <c r="A309" t="n">
        <v>1121</v>
      </c>
      <c r="B309" s="14" t="n">
        <v>46258</v>
      </c>
      <c r="C309" t="inlineStr">
        <is>
          <t>Night</t>
        </is>
      </c>
      <c r="D309" t="n">
        <v>48</v>
      </c>
    </row>
    <row r="310">
      <c r="A310" t="n">
        <v>1122</v>
      </c>
      <c r="B310" s="14" t="n">
        <v>46258</v>
      </c>
      <c r="C310" t="inlineStr">
        <is>
          <t>Night</t>
        </is>
      </c>
      <c r="D310" t="n">
        <v>52</v>
      </c>
    </row>
    <row r="311">
      <c r="A311" t="n">
        <v>1123</v>
      </c>
      <c r="B311" s="14" t="n">
        <v>46258</v>
      </c>
      <c r="C311" t="inlineStr">
        <is>
          <t>Night</t>
        </is>
      </c>
      <c r="D311" t="n">
        <v>46</v>
      </c>
    </row>
    <row r="312">
      <c r="A312" t="n">
        <v>1124</v>
      </c>
      <c r="B312" s="14" t="n">
        <v>46258</v>
      </c>
      <c r="C312" t="inlineStr">
        <is>
          <t>Night</t>
        </is>
      </c>
      <c r="D312" t="n">
        <v>10</v>
      </c>
    </row>
    <row r="313">
      <c r="A313" t="n">
        <v>1125</v>
      </c>
      <c r="B313" s="14" t="n">
        <v>46258</v>
      </c>
      <c r="C313" t="inlineStr">
        <is>
          <t>Night</t>
        </is>
      </c>
      <c r="D313" t="n">
        <v>30</v>
      </c>
    </row>
    <row r="314">
      <c r="A314" t="n">
        <v>1126</v>
      </c>
      <c r="B314" s="14" t="n">
        <v>46258</v>
      </c>
      <c r="C314" t="inlineStr">
        <is>
          <t>Night</t>
        </is>
      </c>
      <c r="D314" t="n">
        <v>29</v>
      </c>
    </row>
    <row r="315">
      <c r="A315" t="n">
        <v>1127</v>
      </c>
      <c r="B315" s="14" t="n">
        <v>46258</v>
      </c>
      <c r="C315" t="inlineStr">
        <is>
          <t>Night</t>
        </is>
      </c>
      <c r="D315" t="n">
        <v>47</v>
      </c>
    </row>
    <row r="316">
      <c r="A316" t="n">
        <v>1128</v>
      </c>
      <c r="B316" s="14" t="n">
        <v>46258</v>
      </c>
      <c r="C316" t="inlineStr">
        <is>
          <t>Night</t>
        </is>
      </c>
      <c r="D316" t="n">
        <v>53</v>
      </c>
    </row>
    <row r="317">
      <c r="A317" t="n">
        <v>1129</v>
      </c>
      <c r="B317" s="14" t="n">
        <v>46258</v>
      </c>
      <c r="C317" t="inlineStr">
        <is>
          <t>Night</t>
        </is>
      </c>
      <c r="D317" t="n">
        <v>18</v>
      </c>
    </row>
    <row r="318">
      <c r="A318" t="n">
        <v>1130</v>
      </c>
      <c r="B318" s="14" t="n">
        <v>46258</v>
      </c>
      <c r="C318" t="inlineStr">
        <is>
          <t>Night</t>
        </is>
      </c>
      <c r="D318" t="n">
        <v>38</v>
      </c>
    </row>
    <row r="319">
      <c r="A319" t="n">
        <v>1131</v>
      </c>
      <c r="B319" s="14" t="n">
        <v>46258</v>
      </c>
      <c r="C319" t="inlineStr">
        <is>
          <t>Night</t>
        </is>
      </c>
      <c r="D319" t="n">
        <v>23</v>
      </c>
    </row>
    <row r="320">
      <c r="A320" t="n">
        <v>1132</v>
      </c>
      <c r="B320" s="14" t="n">
        <v>46258</v>
      </c>
      <c r="C320" t="inlineStr">
        <is>
          <t>Night</t>
        </is>
      </c>
      <c r="D320" t="n">
        <v>44</v>
      </c>
    </row>
    <row r="321">
      <c r="A321" t="n">
        <v>1133</v>
      </c>
      <c r="B321" s="14" t="n">
        <v>46258</v>
      </c>
      <c r="C321" t="inlineStr">
        <is>
          <t>Night</t>
        </is>
      </c>
      <c r="D321" t="n">
        <v>53</v>
      </c>
    </row>
    <row r="322">
      <c r="A322" t="n">
        <v>1134</v>
      </c>
      <c r="B322" s="14" t="n">
        <v>46258</v>
      </c>
      <c r="C322" t="inlineStr">
        <is>
          <t>Night</t>
        </is>
      </c>
      <c r="D322" t="n">
        <v>36</v>
      </c>
    </row>
    <row r="323">
      <c r="A323" t="n">
        <v>1135</v>
      </c>
      <c r="B323" s="14" t="n">
        <v>46258</v>
      </c>
      <c r="C323" t="inlineStr">
        <is>
          <t>Night</t>
        </is>
      </c>
      <c r="D323" t="n">
        <v>47</v>
      </c>
    </row>
    <row r="324">
      <c r="A324" t="n">
        <v>1136</v>
      </c>
      <c r="B324" s="14" t="n">
        <v>46258</v>
      </c>
      <c r="C324" t="inlineStr">
        <is>
          <t>Night</t>
        </is>
      </c>
      <c r="D324" t="n">
        <v>26</v>
      </c>
    </row>
    <row r="325">
      <c r="A325" t="n">
        <v>1137</v>
      </c>
      <c r="B325" s="14" t="n">
        <v>46258</v>
      </c>
      <c r="C325" t="inlineStr">
        <is>
          <t>Night</t>
        </is>
      </c>
      <c r="D325" t="n">
        <v>23</v>
      </c>
    </row>
    <row r="326">
      <c r="A326" t="n">
        <v>1101</v>
      </c>
      <c r="B326" s="14" t="n">
        <v>46265</v>
      </c>
      <c r="C326" t="inlineStr">
        <is>
          <t>Night</t>
        </is>
      </c>
      <c r="D326" t="n">
        <v>45</v>
      </c>
    </row>
    <row r="327">
      <c r="A327" t="n">
        <v>1102</v>
      </c>
      <c r="B327" s="14" t="n">
        <v>46265</v>
      </c>
      <c r="C327" t="inlineStr">
        <is>
          <t>Night</t>
        </is>
      </c>
      <c r="D327" t="n">
        <v>62</v>
      </c>
    </row>
    <row r="328">
      <c r="A328" t="n">
        <v>1103</v>
      </c>
      <c r="B328" s="14" t="n">
        <v>46265</v>
      </c>
      <c r="C328" t="inlineStr">
        <is>
          <t>Night</t>
        </is>
      </c>
      <c r="D328" t="n">
        <v>65</v>
      </c>
    </row>
    <row r="329">
      <c r="A329" t="n">
        <v>1104</v>
      </c>
      <c r="B329" s="14" t="n">
        <v>46265</v>
      </c>
      <c r="C329" t="inlineStr">
        <is>
          <t>Night</t>
        </is>
      </c>
      <c r="D329" t="n">
        <v>69</v>
      </c>
    </row>
    <row r="330">
      <c r="A330" t="n">
        <v>1147</v>
      </c>
      <c r="B330" s="14" t="n">
        <v>46265</v>
      </c>
      <c r="C330" t="inlineStr">
        <is>
          <t>Night</t>
        </is>
      </c>
      <c r="D330" t="n">
        <v>49</v>
      </c>
    </row>
    <row r="331">
      <c r="A331" t="n">
        <v>1106</v>
      </c>
      <c r="B331" s="14" t="n">
        <v>46265</v>
      </c>
      <c r="C331" t="inlineStr">
        <is>
          <t>Night</t>
        </is>
      </c>
      <c r="D331" t="n">
        <v>37</v>
      </c>
    </row>
    <row r="332">
      <c r="A332" t="n">
        <v>1107</v>
      </c>
      <c r="B332" s="14" t="n">
        <v>46265</v>
      </c>
      <c r="C332" t="inlineStr">
        <is>
          <t>Night</t>
        </is>
      </c>
      <c r="D332" t="n">
        <v>66</v>
      </c>
    </row>
    <row r="333">
      <c r="A333" t="n">
        <v>1108</v>
      </c>
      <c r="B333" s="14" t="n">
        <v>46265</v>
      </c>
      <c r="C333" t="inlineStr">
        <is>
          <t>Night</t>
        </is>
      </c>
      <c r="D333" t="n">
        <v>4</v>
      </c>
    </row>
    <row r="334">
      <c r="A334" t="n">
        <v>1109</v>
      </c>
      <c r="B334" s="14" t="n">
        <v>46265</v>
      </c>
      <c r="C334" t="inlineStr">
        <is>
          <t>Night</t>
        </is>
      </c>
      <c r="D334" t="n">
        <v>43</v>
      </c>
    </row>
    <row r="335">
      <c r="A335" t="n">
        <v>1110</v>
      </c>
      <c r="B335" s="14" t="n">
        <v>46265</v>
      </c>
      <c r="C335" t="inlineStr">
        <is>
          <t>Night</t>
        </is>
      </c>
      <c r="D335" t="n">
        <v>48</v>
      </c>
    </row>
    <row r="336">
      <c r="A336" t="n">
        <v>1111</v>
      </c>
      <c r="B336" s="14" t="n">
        <v>46265</v>
      </c>
      <c r="C336" t="inlineStr">
        <is>
          <t>Night</t>
        </is>
      </c>
      <c r="D336" t="n">
        <v>57</v>
      </c>
    </row>
    <row r="337">
      <c r="A337" t="n">
        <v>1112</v>
      </c>
      <c r="B337" s="14" t="n">
        <v>46265</v>
      </c>
      <c r="C337" t="inlineStr">
        <is>
          <t>Night</t>
        </is>
      </c>
      <c r="D337" t="n">
        <v>44</v>
      </c>
    </row>
    <row r="338">
      <c r="A338" t="n">
        <v>1113</v>
      </c>
      <c r="B338" s="14" t="n">
        <v>46265</v>
      </c>
      <c r="C338" t="inlineStr">
        <is>
          <t>Night</t>
        </is>
      </c>
      <c r="D338" t="n">
        <v>26</v>
      </c>
    </row>
    <row r="339">
      <c r="A339" t="n">
        <v>1114</v>
      </c>
      <c r="B339" s="14" t="n">
        <v>46265</v>
      </c>
      <c r="C339" t="inlineStr">
        <is>
          <t>Night</t>
        </is>
      </c>
      <c r="D339" t="n">
        <v>16</v>
      </c>
    </row>
    <row r="340">
      <c r="A340" t="n">
        <v>1115</v>
      </c>
      <c r="B340" s="14" t="n">
        <v>46265</v>
      </c>
      <c r="C340" t="inlineStr">
        <is>
          <t>Night</t>
        </is>
      </c>
      <c r="D340" t="n">
        <v>37</v>
      </c>
    </row>
    <row r="341">
      <c r="A341" t="n">
        <v>1116</v>
      </c>
      <c r="B341" s="14" t="n">
        <v>46265</v>
      </c>
      <c r="C341" t="inlineStr">
        <is>
          <t>Night</t>
        </is>
      </c>
      <c r="D341" t="n">
        <v>26</v>
      </c>
    </row>
    <row r="342">
      <c r="A342" t="n">
        <v>1117</v>
      </c>
      <c r="B342" s="14" t="n">
        <v>46265</v>
      </c>
      <c r="C342" t="inlineStr">
        <is>
          <t>Night</t>
        </is>
      </c>
      <c r="D342" t="n">
        <v>42</v>
      </c>
    </row>
    <row r="343">
      <c r="A343" t="n">
        <v>1118</v>
      </c>
      <c r="B343" s="14" t="n">
        <v>46265</v>
      </c>
      <c r="C343" t="inlineStr">
        <is>
          <t>Night</t>
        </is>
      </c>
      <c r="D343" t="n">
        <v>52</v>
      </c>
    </row>
    <row r="344">
      <c r="A344" t="n">
        <v>1119</v>
      </c>
      <c r="B344" s="14" t="n">
        <v>46265</v>
      </c>
      <c r="C344" t="inlineStr">
        <is>
          <t>Night</t>
        </is>
      </c>
      <c r="D344" t="n">
        <v>11</v>
      </c>
    </row>
    <row r="345">
      <c r="A345" t="n">
        <v>1120</v>
      </c>
      <c r="B345" s="14" t="n">
        <v>46265</v>
      </c>
      <c r="C345" t="inlineStr">
        <is>
          <t>Night</t>
        </is>
      </c>
      <c r="D345" t="n">
        <v>63</v>
      </c>
    </row>
    <row r="346">
      <c r="A346" t="n">
        <v>1121</v>
      </c>
      <c r="B346" s="14" t="n">
        <v>46265</v>
      </c>
      <c r="C346" t="inlineStr">
        <is>
          <t>Night</t>
        </is>
      </c>
      <c r="D346" t="n">
        <v>61</v>
      </c>
    </row>
    <row r="347">
      <c r="A347" t="n">
        <v>1122</v>
      </c>
      <c r="B347" s="14" t="n">
        <v>46265</v>
      </c>
      <c r="C347" t="inlineStr">
        <is>
          <t>Night</t>
        </is>
      </c>
      <c r="D347" t="n">
        <v>54</v>
      </c>
    </row>
    <row r="348">
      <c r="A348" t="n">
        <v>1123</v>
      </c>
      <c r="B348" s="14" t="n">
        <v>46265</v>
      </c>
      <c r="C348" t="inlineStr">
        <is>
          <t>Night</t>
        </is>
      </c>
      <c r="D348" t="n">
        <v>25</v>
      </c>
    </row>
    <row r="349">
      <c r="A349" t="n">
        <v>1124</v>
      </c>
      <c r="B349" s="14" t="n">
        <v>46265</v>
      </c>
      <c r="C349" t="inlineStr">
        <is>
          <t>Night</t>
        </is>
      </c>
      <c r="D349" t="n">
        <v>45</v>
      </c>
    </row>
    <row r="350">
      <c r="A350" t="n">
        <v>1125</v>
      </c>
      <c r="B350" s="14" t="n">
        <v>46265</v>
      </c>
      <c r="C350" t="inlineStr">
        <is>
          <t>Night</t>
        </is>
      </c>
      <c r="D350" t="n">
        <v>58</v>
      </c>
    </row>
    <row r="351">
      <c r="A351" t="n">
        <v>1126</v>
      </c>
      <c r="B351" s="14" t="n">
        <v>46265</v>
      </c>
      <c r="C351" t="inlineStr">
        <is>
          <t>Night</t>
        </is>
      </c>
      <c r="D351" t="n">
        <v>46</v>
      </c>
    </row>
    <row r="352">
      <c r="A352" t="n">
        <v>1127</v>
      </c>
      <c r="B352" s="14" t="n">
        <v>46265</v>
      </c>
      <c r="C352" t="inlineStr">
        <is>
          <t>Night</t>
        </is>
      </c>
      <c r="D352" t="n">
        <v>53</v>
      </c>
    </row>
    <row r="353">
      <c r="A353" t="n">
        <v>1128</v>
      </c>
      <c r="B353" s="14" t="n">
        <v>46265</v>
      </c>
      <c r="C353" t="inlineStr">
        <is>
          <t>Night</t>
        </is>
      </c>
      <c r="D353" t="n">
        <v>37</v>
      </c>
    </row>
    <row r="354">
      <c r="A354" t="n">
        <v>1129</v>
      </c>
      <c r="B354" s="14" t="n">
        <v>46265</v>
      </c>
      <c r="C354" t="inlineStr">
        <is>
          <t>Night</t>
        </is>
      </c>
      <c r="D354" t="n">
        <v>65</v>
      </c>
    </row>
    <row r="355">
      <c r="A355" t="n">
        <v>1130</v>
      </c>
      <c r="B355" s="14" t="n">
        <v>46265</v>
      </c>
      <c r="C355" t="inlineStr">
        <is>
          <t>Night</t>
        </is>
      </c>
      <c r="D355" t="n">
        <v>34</v>
      </c>
    </row>
    <row r="356">
      <c r="A356" t="n">
        <v>1131</v>
      </c>
      <c r="B356" s="14" t="n">
        <v>46265</v>
      </c>
      <c r="C356" t="inlineStr">
        <is>
          <t>Night</t>
        </is>
      </c>
      <c r="D356" t="n">
        <v>32</v>
      </c>
    </row>
    <row r="357">
      <c r="A357" t="n">
        <v>1132</v>
      </c>
      <c r="B357" s="14" t="n">
        <v>46265</v>
      </c>
      <c r="C357" t="inlineStr">
        <is>
          <t>Night</t>
        </is>
      </c>
      <c r="D357" t="n">
        <v>49</v>
      </c>
    </row>
    <row r="358">
      <c r="A358" t="n">
        <v>1133</v>
      </c>
      <c r="B358" s="14" t="n">
        <v>46265</v>
      </c>
      <c r="C358" t="inlineStr">
        <is>
          <t>Night</t>
        </is>
      </c>
      <c r="D358" t="n">
        <v>40</v>
      </c>
    </row>
    <row r="359">
      <c r="A359" t="n">
        <v>1134</v>
      </c>
      <c r="B359" s="14" t="n">
        <v>46265</v>
      </c>
      <c r="C359" t="inlineStr">
        <is>
          <t>Night</t>
        </is>
      </c>
      <c r="D359" t="n">
        <v>7</v>
      </c>
    </row>
    <row r="360">
      <c r="A360" t="n">
        <v>1135</v>
      </c>
      <c r="B360" s="14" t="n">
        <v>46265</v>
      </c>
      <c r="C360" t="inlineStr">
        <is>
          <t>Night</t>
        </is>
      </c>
      <c r="D360" t="n">
        <v>58</v>
      </c>
    </row>
    <row r="361">
      <c r="A361" t="n">
        <v>1136</v>
      </c>
      <c r="B361" s="14" t="n">
        <v>46265</v>
      </c>
      <c r="C361" t="inlineStr">
        <is>
          <t>Night</t>
        </is>
      </c>
      <c r="D361" t="n">
        <v>25</v>
      </c>
    </row>
    <row r="362">
      <c r="A362" t="n">
        <v>1137</v>
      </c>
      <c r="B362" s="14" t="n">
        <v>46265</v>
      </c>
      <c r="C362" t="inlineStr">
        <is>
          <t>Night</t>
        </is>
      </c>
      <c r="D362" t="n">
        <v>53</v>
      </c>
    </row>
    <row r="363">
      <c r="A363" t="n">
        <v>1101</v>
      </c>
      <c r="B363" s="14" t="n">
        <v>46272</v>
      </c>
      <c r="C363" t="inlineStr">
        <is>
          <t>Night</t>
        </is>
      </c>
      <c r="D363" t="n">
        <v>43</v>
      </c>
    </row>
    <row r="364">
      <c r="A364" t="n">
        <v>1102</v>
      </c>
      <c r="B364" s="14" t="n">
        <v>46272</v>
      </c>
      <c r="C364" t="inlineStr">
        <is>
          <t>Night</t>
        </is>
      </c>
      <c r="D364" t="n">
        <v>66</v>
      </c>
    </row>
    <row r="365">
      <c r="A365" t="n">
        <v>1103</v>
      </c>
      <c r="B365" s="14" t="n">
        <v>46272</v>
      </c>
      <c r="C365" t="inlineStr">
        <is>
          <t>Night</t>
        </is>
      </c>
      <c r="D365" t="n">
        <v>65</v>
      </c>
    </row>
    <row r="366">
      <c r="A366" t="n">
        <v>1104</v>
      </c>
      <c r="B366" s="14" t="n">
        <v>46272</v>
      </c>
      <c r="C366" t="inlineStr">
        <is>
          <t>Night</t>
        </is>
      </c>
      <c r="D366" t="n">
        <v>70</v>
      </c>
    </row>
    <row r="367">
      <c r="A367" t="n">
        <v>1147</v>
      </c>
      <c r="B367" s="14" t="n">
        <v>46272</v>
      </c>
      <c r="C367" t="inlineStr">
        <is>
          <t>Night</t>
        </is>
      </c>
      <c r="D367" t="n">
        <v>49</v>
      </c>
    </row>
    <row r="368">
      <c r="A368" t="n">
        <v>1106</v>
      </c>
      <c r="B368" s="14" t="n">
        <v>46272</v>
      </c>
      <c r="C368" t="inlineStr">
        <is>
          <t>Night</t>
        </is>
      </c>
      <c r="D368" t="n">
        <v>36</v>
      </c>
    </row>
    <row r="369">
      <c r="A369" t="n">
        <v>1107</v>
      </c>
      <c r="B369" s="14" t="n">
        <v>46272</v>
      </c>
      <c r="C369" t="inlineStr">
        <is>
          <t>Night</t>
        </is>
      </c>
      <c r="D369" t="n">
        <v>32</v>
      </c>
    </row>
    <row r="370">
      <c r="A370" t="n">
        <v>1108</v>
      </c>
      <c r="B370" s="14" t="n">
        <v>46272</v>
      </c>
      <c r="C370" t="inlineStr">
        <is>
          <t>Night</t>
        </is>
      </c>
      <c r="D370" t="n">
        <v>44</v>
      </c>
    </row>
    <row r="371">
      <c r="A371" t="n">
        <v>1109</v>
      </c>
      <c r="B371" s="14" t="n">
        <v>46272</v>
      </c>
      <c r="C371" t="inlineStr">
        <is>
          <t>Night</t>
        </is>
      </c>
      <c r="D371" t="n">
        <v>49</v>
      </c>
    </row>
    <row r="372">
      <c r="A372" t="n">
        <v>1110</v>
      </c>
      <c r="B372" s="14" t="n">
        <v>46272</v>
      </c>
      <c r="C372" t="inlineStr">
        <is>
          <t>Night</t>
        </is>
      </c>
      <c r="D372" t="n">
        <v>62</v>
      </c>
    </row>
    <row r="373">
      <c r="A373" t="n">
        <v>1111</v>
      </c>
      <c r="B373" s="14" t="n">
        <v>46272</v>
      </c>
      <c r="C373" t="inlineStr">
        <is>
          <t>Night</t>
        </is>
      </c>
      <c r="D373" t="n">
        <v>57</v>
      </c>
    </row>
    <row r="374">
      <c r="A374" t="n">
        <v>1112</v>
      </c>
      <c r="B374" s="14" t="n">
        <v>46272</v>
      </c>
      <c r="C374" t="inlineStr">
        <is>
          <t>Night</t>
        </is>
      </c>
      <c r="D374" t="n">
        <v>45</v>
      </c>
    </row>
    <row r="375">
      <c r="A375" t="n">
        <v>1113</v>
      </c>
      <c r="B375" s="14" t="n">
        <v>46272</v>
      </c>
      <c r="C375" t="inlineStr">
        <is>
          <t>Night</t>
        </is>
      </c>
      <c r="D375" t="n">
        <v>34</v>
      </c>
    </row>
    <row r="376">
      <c r="A376" t="n">
        <v>1114</v>
      </c>
      <c r="B376" s="14" t="n">
        <v>46272</v>
      </c>
      <c r="C376" t="inlineStr">
        <is>
          <t>Night</t>
        </is>
      </c>
      <c r="D376" t="n">
        <v>29</v>
      </c>
    </row>
    <row r="377">
      <c r="A377" t="n">
        <v>1115</v>
      </c>
      <c r="B377" s="14" t="n">
        <v>46272</v>
      </c>
      <c r="C377" t="inlineStr">
        <is>
          <t>Night</t>
        </is>
      </c>
      <c r="D377" t="n">
        <v>23</v>
      </c>
    </row>
    <row r="378">
      <c r="A378" t="n">
        <v>1116</v>
      </c>
      <c r="B378" s="14" t="n">
        <v>46272</v>
      </c>
      <c r="C378" t="inlineStr">
        <is>
          <t>Night</t>
        </is>
      </c>
      <c r="D378" t="n">
        <v>41</v>
      </c>
    </row>
    <row r="379">
      <c r="A379" t="n">
        <v>1117</v>
      </c>
      <c r="B379" s="14" t="n">
        <v>46272</v>
      </c>
      <c r="C379" t="inlineStr">
        <is>
          <t>Night</t>
        </is>
      </c>
      <c r="D379" t="n">
        <v>38</v>
      </c>
    </row>
    <row r="380">
      <c r="A380" t="n">
        <v>1118</v>
      </c>
      <c r="B380" s="14" t="n">
        <v>46272</v>
      </c>
      <c r="C380" t="inlineStr">
        <is>
          <t>Night</t>
        </is>
      </c>
      <c r="D380" t="n">
        <v>37</v>
      </c>
    </row>
    <row r="381">
      <c r="A381" t="n">
        <v>1119</v>
      </c>
      <c r="B381" s="14" t="n">
        <v>46272</v>
      </c>
      <c r="C381" t="inlineStr">
        <is>
          <t>Night</t>
        </is>
      </c>
      <c r="D381" t="n">
        <v>73</v>
      </c>
    </row>
    <row r="382">
      <c r="A382" t="n">
        <v>1120</v>
      </c>
      <c r="B382" s="14" t="n">
        <v>46272</v>
      </c>
      <c r="C382" t="inlineStr">
        <is>
          <t>Night</t>
        </is>
      </c>
      <c r="D382" t="n">
        <v>48</v>
      </c>
    </row>
    <row r="383">
      <c r="A383" t="n">
        <v>1121</v>
      </c>
      <c r="B383" s="14" t="n">
        <v>46272</v>
      </c>
      <c r="C383" t="inlineStr">
        <is>
          <t>Night</t>
        </is>
      </c>
      <c r="D383" t="n">
        <v>35</v>
      </c>
    </row>
    <row r="384">
      <c r="A384" t="n">
        <v>1122</v>
      </c>
      <c r="B384" s="14" t="n">
        <v>46272</v>
      </c>
      <c r="C384" t="inlineStr">
        <is>
          <t>Night</t>
        </is>
      </c>
      <c r="D384" t="n">
        <v>10</v>
      </c>
    </row>
    <row r="385">
      <c r="A385" t="n">
        <v>1123</v>
      </c>
      <c r="B385" s="14" t="n">
        <v>46272</v>
      </c>
      <c r="C385" t="inlineStr">
        <is>
          <t>Night</t>
        </is>
      </c>
      <c r="D385" t="n">
        <v>29</v>
      </c>
    </row>
    <row r="386">
      <c r="A386" t="n">
        <v>1124</v>
      </c>
      <c r="B386" s="14" t="n">
        <v>46272</v>
      </c>
      <c r="C386" t="inlineStr">
        <is>
          <t>Night</t>
        </is>
      </c>
      <c r="D386" t="n">
        <v>22</v>
      </c>
    </row>
    <row r="387">
      <c r="A387" t="n">
        <v>1125</v>
      </c>
      <c r="B387" s="14" t="n">
        <v>46272</v>
      </c>
      <c r="C387" t="inlineStr">
        <is>
          <t>Night</t>
        </is>
      </c>
      <c r="D387" t="n">
        <v>38</v>
      </c>
    </row>
    <row r="388">
      <c r="A388" t="n">
        <v>1126</v>
      </c>
      <c r="B388" s="14" t="n">
        <v>46272</v>
      </c>
      <c r="C388" t="inlineStr">
        <is>
          <t>Night</t>
        </is>
      </c>
      <c r="D388" t="n">
        <v>52</v>
      </c>
    </row>
    <row r="389">
      <c r="A389" t="n">
        <v>1127</v>
      </c>
      <c r="B389" s="14" t="n">
        <v>46272</v>
      </c>
      <c r="C389" t="inlineStr">
        <is>
          <t>Night</t>
        </is>
      </c>
      <c r="D389" t="n">
        <v>41</v>
      </c>
    </row>
    <row r="390">
      <c r="A390" t="n">
        <v>1128</v>
      </c>
      <c r="B390" s="14" t="n">
        <v>46272</v>
      </c>
      <c r="C390" t="inlineStr">
        <is>
          <t>Night</t>
        </is>
      </c>
      <c r="D390" t="n">
        <v>43</v>
      </c>
    </row>
    <row r="391">
      <c r="A391" t="n">
        <v>1129</v>
      </c>
      <c r="B391" s="14" t="n">
        <v>46272</v>
      </c>
      <c r="C391" t="inlineStr">
        <is>
          <t>Night</t>
        </is>
      </c>
      <c r="D391" t="n">
        <v>45</v>
      </c>
    </row>
    <row r="392">
      <c r="A392" t="n">
        <v>1130</v>
      </c>
      <c r="B392" s="14" t="n">
        <v>46272</v>
      </c>
      <c r="C392" t="inlineStr">
        <is>
          <t>Night</t>
        </is>
      </c>
      <c r="D392" t="n">
        <v>8</v>
      </c>
    </row>
    <row r="393">
      <c r="A393" t="n">
        <v>1131</v>
      </c>
      <c r="B393" s="14" t="n">
        <v>46272</v>
      </c>
      <c r="C393" t="inlineStr">
        <is>
          <t>Night</t>
        </is>
      </c>
      <c r="D393" t="n">
        <v>44</v>
      </c>
    </row>
    <row r="394">
      <c r="A394" t="n">
        <v>1132</v>
      </c>
      <c r="B394" s="14" t="n">
        <v>46272</v>
      </c>
      <c r="C394" t="inlineStr">
        <is>
          <t>Night</t>
        </is>
      </c>
      <c r="D394" t="n">
        <v>48</v>
      </c>
    </row>
    <row r="395">
      <c r="A395" t="n">
        <v>1133</v>
      </c>
      <c r="B395" s="14" t="n">
        <v>46272</v>
      </c>
      <c r="C395" t="inlineStr">
        <is>
          <t>Night</t>
        </is>
      </c>
      <c r="D395" t="n">
        <v>42</v>
      </c>
    </row>
    <row r="396">
      <c r="A396" t="n">
        <v>1134</v>
      </c>
      <c r="B396" s="14" t="n">
        <v>46272</v>
      </c>
      <c r="C396" t="inlineStr">
        <is>
          <t>Night</t>
        </is>
      </c>
      <c r="D396" t="n">
        <v>31</v>
      </c>
    </row>
    <row r="397">
      <c r="A397" t="n">
        <v>1135</v>
      </c>
      <c r="B397" s="14" t="n">
        <v>46272</v>
      </c>
      <c r="C397" t="inlineStr">
        <is>
          <t>Night</t>
        </is>
      </c>
      <c r="D397" t="n">
        <v>43</v>
      </c>
    </row>
    <row r="398">
      <c r="A398" t="n">
        <v>1136</v>
      </c>
      <c r="B398" s="14" t="n">
        <v>46272</v>
      </c>
      <c r="C398" t="inlineStr">
        <is>
          <t>Night</t>
        </is>
      </c>
      <c r="D398" t="n">
        <v>85</v>
      </c>
    </row>
    <row r="399">
      <c r="A399" t="n">
        <v>1137</v>
      </c>
      <c r="B399" s="14" t="n">
        <v>46272</v>
      </c>
      <c r="C399" t="inlineStr">
        <is>
          <t>Night</t>
        </is>
      </c>
      <c r="D399" t="n">
        <v>73</v>
      </c>
    </row>
    <row r="400">
      <c r="A400" t="n">
        <v>1101</v>
      </c>
      <c r="B400" s="14" t="n">
        <v>46279</v>
      </c>
      <c r="C400" t="inlineStr">
        <is>
          <t>Night</t>
        </is>
      </c>
      <c r="D400" t="n">
        <v>47</v>
      </c>
    </row>
    <row r="401">
      <c r="A401" t="n">
        <v>1102</v>
      </c>
      <c r="B401" s="14" t="n">
        <v>46279</v>
      </c>
      <c r="C401" t="inlineStr">
        <is>
          <t>Night</t>
        </is>
      </c>
      <c r="D401" t="n">
        <v>66</v>
      </c>
    </row>
    <row r="402">
      <c r="A402" t="n">
        <v>1103</v>
      </c>
      <c r="B402" s="14" t="n">
        <v>46279</v>
      </c>
      <c r="C402" t="inlineStr">
        <is>
          <t>Night</t>
        </is>
      </c>
      <c r="D402" t="n">
        <v>64</v>
      </c>
    </row>
    <row r="403">
      <c r="A403" t="n">
        <v>1104</v>
      </c>
      <c r="B403" s="14" t="n">
        <v>46279</v>
      </c>
      <c r="C403" t="inlineStr">
        <is>
          <t>Night</t>
        </is>
      </c>
      <c r="D403" t="n">
        <v>68</v>
      </c>
    </row>
    <row r="404">
      <c r="A404" t="n">
        <v>1147</v>
      </c>
      <c r="B404" s="14" t="n">
        <v>46279</v>
      </c>
      <c r="C404" t="inlineStr">
        <is>
          <t>Night</t>
        </is>
      </c>
      <c r="D404" t="n">
        <v>49</v>
      </c>
    </row>
    <row r="405">
      <c r="A405" t="n">
        <v>1106</v>
      </c>
      <c r="B405" s="14" t="n">
        <v>46279</v>
      </c>
      <c r="C405" t="inlineStr">
        <is>
          <t>Night</t>
        </is>
      </c>
      <c r="D405" t="n">
        <v>39</v>
      </c>
    </row>
    <row r="406">
      <c r="A406" t="n">
        <v>1107</v>
      </c>
      <c r="B406" s="14" t="n">
        <v>46279</v>
      </c>
      <c r="C406" t="inlineStr">
        <is>
          <t>Night</t>
        </is>
      </c>
      <c r="D406" t="n">
        <v>17</v>
      </c>
    </row>
    <row r="407">
      <c r="A407" t="n">
        <v>1108</v>
      </c>
      <c r="B407" s="14" t="n">
        <v>46279</v>
      </c>
      <c r="C407" t="inlineStr">
        <is>
          <t>Night</t>
        </is>
      </c>
      <c r="D407" t="n">
        <v>41</v>
      </c>
    </row>
    <row r="408">
      <c r="A408" t="n">
        <v>1109</v>
      </c>
      <c r="B408" s="14" t="n">
        <v>46279</v>
      </c>
      <c r="C408" t="inlineStr">
        <is>
          <t>Night</t>
        </is>
      </c>
      <c r="D408" t="n">
        <v>54</v>
      </c>
    </row>
    <row r="409">
      <c r="A409" t="n">
        <v>1110</v>
      </c>
      <c r="B409" s="14" t="n">
        <v>46279</v>
      </c>
      <c r="C409" t="inlineStr">
        <is>
          <t>Night</t>
        </is>
      </c>
      <c r="D409" t="n">
        <v>58</v>
      </c>
    </row>
    <row r="410">
      <c r="A410" t="n">
        <v>1111</v>
      </c>
      <c r="B410" s="14" t="n">
        <v>46279</v>
      </c>
      <c r="C410" t="inlineStr">
        <is>
          <t>Night</t>
        </is>
      </c>
      <c r="D410" t="n">
        <v>57</v>
      </c>
    </row>
    <row r="411">
      <c r="A411" t="n">
        <v>1112</v>
      </c>
      <c r="B411" s="14" t="n">
        <v>46279</v>
      </c>
      <c r="C411" t="inlineStr">
        <is>
          <t>Night</t>
        </is>
      </c>
      <c r="D411" t="n">
        <v>56</v>
      </c>
    </row>
    <row r="412">
      <c r="A412" t="n">
        <v>1113</v>
      </c>
      <c r="B412" s="14" t="n">
        <v>46279</v>
      </c>
      <c r="C412" t="inlineStr">
        <is>
          <t>Night</t>
        </is>
      </c>
      <c r="D412" t="n">
        <v>38</v>
      </c>
    </row>
    <row r="413">
      <c r="A413" t="n">
        <v>1114</v>
      </c>
      <c r="B413" s="14" t="n">
        <v>46279</v>
      </c>
      <c r="C413" t="inlineStr">
        <is>
          <t>Night</t>
        </is>
      </c>
      <c r="D413" t="n">
        <v>24</v>
      </c>
    </row>
    <row r="414">
      <c r="A414" t="n">
        <v>1115</v>
      </c>
      <c r="B414" s="14" t="n">
        <v>46279</v>
      </c>
      <c r="C414" t="inlineStr">
        <is>
          <t>Night</t>
        </is>
      </c>
      <c r="D414" t="n">
        <v>34</v>
      </c>
    </row>
    <row r="415">
      <c r="A415" t="n">
        <v>1116</v>
      </c>
      <c r="B415" s="14" t="n">
        <v>46279</v>
      </c>
      <c r="C415" t="inlineStr">
        <is>
          <t>Night</t>
        </is>
      </c>
      <c r="D415" t="n">
        <v>63</v>
      </c>
    </row>
    <row r="416">
      <c r="A416" t="n">
        <v>1117</v>
      </c>
      <c r="B416" s="14" t="n">
        <v>46279</v>
      </c>
      <c r="C416" t="inlineStr">
        <is>
          <t>Night</t>
        </is>
      </c>
      <c r="D416" t="n">
        <v>56</v>
      </c>
    </row>
    <row r="417">
      <c r="A417" t="n">
        <v>1118</v>
      </c>
      <c r="B417" s="14" t="n">
        <v>46279</v>
      </c>
      <c r="C417" t="inlineStr">
        <is>
          <t>Night</t>
        </is>
      </c>
      <c r="D417" t="n">
        <v>49</v>
      </c>
    </row>
    <row r="418">
      <c r="A418" t="n">
        <v>1119</v>
      </c>
      <c r="B418" s="14" t="n">
        <v>46279</v>
      </c>
      <c r="C418" t="inlineStr">
        <is>
          <t>Night</t>
        </is>
      </c>
      <c r="D418" t="n">
        <v>34</v>
      </c>
    </row>
    <row r="419">
      <c r="A419" t="n">
        <v>1120</v>
      </c>
      <c r="B419" s="14" t="n">
        <v>46279</v>
      </c>
      <c r="C419" t="inlineStr">
        <is>
          <t>Night</t>
        </is>
      </c>
      <c r="D419" t="n">
        <v>31</v>
      </c>
    </row>
    <row r="420">
      <c r="A420" t="n">
        <v>1121</v>
      </c>
      <c r="B420" s="14" t="n">
        <v>46279</v>
      </c>
      <c r="C420" t="inlineStr">
        <is>
          <t>Night</t>
        </is>
      </c>
      <c r="D420" t="n">
        <v>49</v>
      </c>
    </row>
    <row r="421">
      <c r="A421" t="n">
        <v>1122</v>
      </c>
      <c r="B421" s="14" t="n">
        <v>46279</v>
      </c>
      <c r="C421" t="inlineStr">
        <is>
          <t>Night</t>
        </is>
      </c>
      <c r="D421" t="n">
        <v>32</v>
      </c>
    </row>
    <row r="422">
      <c r="A422" t="n">
        <v>1123</v>
      </c>
      <c r="B422" s="14" t="n">
        <v>46279</v>
      </c>
      <c r="C422" t="inlineStr">
        <is>
          <t>Night</t>
        </is>
      </c>
      <c r="D422" t="n">
        <v>45</v>
      </c>
    </row>
    <row r="423">
      <c r="A423" t="n">
        <v>1124</v>
      </c>
      <c r="B423" s="14" t="n">
        <v>46279</v>
      </c>
      <c r="C423" t="inlineStr">
        <is>
          <t>Night</t>
        </is>
      </c>
      <c r="D423" t="n">
        <v>44</v>
      </c>
    </row>
    <row r="424">
      <c r="A424" t="n">
        <v>1125</v>
      </c>
      <c r="B424" s="14" t="n">
        <v>46279</v>
      </c>
      <c r="C424" t="inlineStr">
        <is>
          <t>Night</t>
        </is>
      </c>
      <c r="D424" t="n">
        <v>49</v>
      </c>
    </row>
    <row r="425">
      <c r="A425" t="n">
        <v>1126</v>
      </c>
      <c r="B425" s="14" t="n">
        <v>46279</v>
      </c>
      <c r="C425" t="inlineStr">
        <is>
          <t>Night</t>
        </is>
      </c>
      <c r="D425" t="n">
        <v>29</v>
      </c>
    </row>
    <row r="426">
      <c r="A426" t="n">
        <v>1127</v>
      </c>
      <c r="B426" s="14" t="n">
        <v>46279</v>
      </c>
      <c r="C426" t="inlineStr">
        <is>
          <t>Night</t>
        </is>
      </c>
      <c r="D426" t="n">
        <v>44</v>
      </c>
    </row>
    <row r="427">
      <c r="A427" t="n">
        <v>1128</v>
      </c>
      <c r="B427" s="14" t="n">
        <v>46279</v>
      </c>
      <c r="C427" t="inlineStr">
        <is>
          <t>Night</t>
        </is>
      </c>
      <c r="D427" t="n">
        <v>46</v>
      </c>
    </row>
    <row r="428">
      <c r="A428" t="n">
        <v>1129</v>
      </c>
      <c r="B428" s="14" t="n">
        <v>46279</v>
      </c>
      <c r="C428" t="inlineStr">
        <is>
          <t>Night</t>
        </is>
      </c>
      <c r="D428" t="n">
        <v>45</v>
      </c>
    </row>
    <row r="429">
      <c r="A429" t="n">
        <v>1130</v>
      </c>
      <c r="B429" s="14" t="n">
        <v>46279</v>
      </c>
      <c r="C429" t="inlineStr">
        <is>
          <t>Night</t>
        </is>
      </c>
      <c r="D429" t="n">
        <v>32</v>
      </c>
    </row>
    <row r="430">
      <c r="A430" t="n">
        <v>1131</v>
      </c>
      <c r="B430" s="14" t="n">
        <v>46279</v>
      </c>
      <c r="C430" t="inlineStr">
        <is>
          <t>Night</t>
        </is>
      </c>
      <c r="D430" t="n">
        <v>75</v>
      </c>
    </row>
    <row r="431">
      <c r="A431" t="n">
        <v>1132</v>
      </c>
      <c r="B431" s="14" t="n">
        <v>46279</v>
      </c>
      <c r="C431" t="inlineStr">
        <is>
          <t>Night</t>
        </is>
      </c>
      <c r="D431" t="n">
        <v>35</v>
      </c>
    </row>
    <row r="432">
      <c r="A432" t="n">
        <v>1133</v>
      </c>
      <c r="B432" s="14" t="n">
        <v>46279</v>
      </c>
      <c r="C432" t="inlineStr">
        <is>
          <t>Night</t>
        </is>
      </c>
      <c r="D432" t="n">
        <v>60</v>
      </c>
    </row>
    <row r="433">
      <c r="A433" t="n">
        <v>1134</v>
      </c>
      <c r="B433" s="14" t="n">
        <v>46279</v>
      </c>
      <c r="C433" t="inlineStr">
        <is>
          <t>Night</t>
        </is>
      </c>
      <c r="D433" t="n">
        <v>61</v>
      </c>
    </row>
    <row r="434">
      <c r="A434" t="n">
        <v>1135</v>
      </c>
      <c r="B434" s="14" t="n">
        <v>46279</v>
      </c>
      <c r="C434" t="inlineStr">
        <is>
          <t>Night</t>
        </is>
      </c>
      <c r="D434" t="n">
        <v>39</v>
      </c>
    </row>
    <row r="435">
      <c r="A435" t="n">
        <v>1136</v>
      </c>
      <c r="B435" s="14" t="n">
        <v>46279</v>
      </c>
      <c r="C435" t="inlineStr">
        <is>
          <t>Night</t>
        </is>
      </c>
      <c r="D435" t="n">
        <v>20</v>
      </c>
    </row>
    <row r="436">
      <c r="A436" t="n">
        <v>1137</v>
      </c>
      <c r="B436" s="14" t="n">
        <v>46279</v>
      </c>
      <c r="C436" t="inlineStr">
        <is>
          <t>Night</t>
        </is>
      </c>
      <c r="D436" t="n">
        <v>30</v>
      </c>
    </row>
    <row r="437">
      <c r="A437" t="n">
        <v>1101</v>
      </c>
      <c r="B437" s="14" t="n">
        <v>46286</v>
      </c>
      <c r="C437" t="inlineStr">
        <is>
          <t>Night</t>
        </is>
      </c>
      <c r="D437" t="n">
        <v>44</v>
      </c>
    </row>
    <row r="438">
      <c r="A438" t="n">
        <v>1102</v>
      </c>
      <c r="B438" s="14" t="n">
        <v>46286</v>
      </c>
      <c r="C438" t="inlineStr">
        <is>
          <t>Night</t>
        </is>
      </c>
      <c r="D438" t="n">
        <v>65</v>
      </c>
    </row>
    <row r="439">
      <c r="A439" t="n">
        <v>1103</v>
      </c>
      <c r="B439" s="14" t="n">
        <v>46286</v>
      </c>
      <c r="C439" t="inlineStr">
        <is>
          <t>Night</t>
        </is>
      </c>
      <c r="D439" t="n">
        <v>64</v>
      </c>
    </row>
    <row r="440">
      <c r="A440" t="n">
        <v>1104</v>
      </c>
      <c r="B440" s="14" t="n">
        <v>46286</v>
      </c>
      <c r="C440" t="inlineStr">
        <is>
          <t>Night</t>
        </is>
      </c>
      <c r="D440" t="n">
        <v>71</v>
      </c>
    </row>
    <row r="441">
      <c r="A441" t="n">
        <v>1147</v>
      </c>
      <c r="B441" s="14" t="n">
        <v>46286</v>
      </c>
      <c r="C441" t="inlineStr">
        <is>
          <t>Night</t>
        </is>
      </c>
      <c r="D441" t="n">
        <v>49</v>
      </c>
    </row>
    <row r="442">
      <c r="A442" t="n">
        <v>1106</v>
      </c>
      <c r="B442" s="14" t="n">
        <v>46286</v>
      </c>
      <c r="C442" t="inlineStr">
        <is>
          <t>Night</t>
        </is>
      </c>
      <c r="D442" t="n">
        <v>36</v>
      </c>
    </row>
    <row r="443">
      <c r="A443" t="n">
        <v>1107</v>
      </c>
      <c r="B443" s="14" t="n">
        <v>46286</v>
      </c>
      <c r="C443" t="inlineStr">
        <is>
          <t>Night</t>
        </is>
      </c>
      <c r="D443" t="n">
        <v>55</v>
      </c>
    </row>
    <row r="444">
      <c r="A444" t="n">
        <v>1108</v>
      </c>
      <c r="B444" s="14" t="n">
        <v>46286</v>
      </c>
      <c r="C444" t="inlineStr">
        <is>
          <t>Night</t>
        </is>
      </c>
      <c r="D444" t="n">
        <v>43</v>
      </c>
    </row>
    <row r="445">
      <c r="A445" t="n">
        <v>1109</v>
      </c>
      <c r="B445" s="14" t="n">
        <v>46286</v>
      </c>
      <c r="C445" t="inlineStr">
        <is>
          <t>Night</t>
        </is>
      </c>
      <c r="D445" t="n">
        <v>45</v>
      </c>
    </row>
    <row r="446">
      <c r="A446" t="n">
        <v>1110</v>
      </c>
      <c r="B446" s="14" t="n">
        <v>46286</v>
      </c>
      <c r="C446" t="inlineStr">
        <is>
          <t>Night</t>
        </is>
      </c>
      <c r="D446" t="n">
        <v>12</v>
      </c>
    </row>
    <row r="447">
      <c r="A447" t="n">
        <v>1111</v>
      </c>
      <c r="B447" s="14" t="n">
        <v>46286</v>
      </c>
      <c r="C447" t="inlineStr">
        <is>
          <t>Night</t>
        </is>
      </c>
      <c r="D447" t="n">
        <v>39</v>
      </c>
    </row>
    <row r="448">
      <c r="A448" t="n">
        <v>1112</v>
      </c>
      <c r="B448" s="14" t="n">
        <v>46286</v>
      </c>
      <c r="C448" t="inlineStr">
        <is>
          <t>Night</t>
        </is>
      </c>
      <c r="D448" t="n">
        <v>39</v>
      </c>
    </row>
    <row r="449">
      <c r="A449" t="n">
        <v>1113</v>
      </c>
      <c r="B449" s="14" t="n">
        <v>46286</v>
      </c>
      <c r="C449" t="inlineStr">
        <is>
          <t>Night</t>
        </is>
      </c>
      <c r="D449" t="n">
        <v>45</v>
      </c>
    </row>
    <row r="450">
      <c r="A450" t="n">
        <v>1114</v>
      </c>
      <c r="B450" s="14" t="n">
        <v>46286</v>
      </c>
      <c r="C450" t="inlineStr">
        <is>
          <t>Night</t>
        </is>
      </c>
      <c r="D450" t="n">
        <v>36</v>
      </c>
    </row>
    <row r="451">
      <c r="A451" t="n">
        <v>1115</v>
      </c>
      <c r="B451" s="14" t="n">
        <v>46286</v>
      </c>
      <c r="C451" t="inlineStr">
        <is>
          <t>Night</t>
        </is>
      </c>
      <c r="D451" t="n">
        <v>69</v>
      </c>
    </row>
    <row r="452">
      <c r="A452" t="n">
        <v>1116</v>
      </c>
      <c r="B452" s="14" t="n">
        <v>46286</v>
      </c>
      <c r="C452" t="inlineStr">
        <is>
          <t>Night</t>
        </is>
      </c>
      <c r="D452" t="n">
        <v>46</v>
      </c>
    </row>
    <row r="453">
      <c r="A453" t="n">
        <v>1117</v>
      </c>
      <c r="B453" s="14" t="n">
        <v>46286</v>
      </c>
      <c r="C453" t="inlineStr">
        <is>
          <t>Night</t>
        </is>
      </c>
      <c r="D453" t="n">
        <v>28</v>
      </c>
    </row>
    <row r="454">
      <c r="A454" t="n">
        <v>1118</v>
      </c>
      <c r="B454" s="14" t="n">
        <v>46286</v>
      </c>
      <c r="C454" t="inlineStr">
        <is>
          <t>Night</t>
        </is>
      </c>
      <c r="D454" t="n">
        <v>46</v>
      </c>
    </row>
    <row r="455">
      <c r="A455" t="n">
        <v>1119</v>
      </c>
      <c r="B455" s="14" t="n">
        <v>46286</v>
      </c>
      <c r="C455" t="inlineStr">
        <is>
          <t>Night</t>
        </is>
      </c>
      <c r="D455" t="n">
        <v>63</v>
      </c>
    </row>
    <row r="456">
      <c r="A456" t="n">
        <v>1120</v>
      </c>
      <c r="B456" s="14" t="n">
        <v>46286</v>
      </c>
      <c r="C456" t="inlineStr">
        <is>
          <t>Night</t>
        </is>
      </c>
      <c r="D456" t="n">
        <v>59</v>
      </c>
    </row>
    <row r="457">
      <c r="A457" t="n">
        <v>1121</v>
      </c>
      <c r="B457" s="14" t="n">
        <v>46286</v>
      </c>
      <c r="C457" t="inlineStr">
        <is>
          <t>Night</t>
        </is>
      </c>
      <c r="D457" t="n">
        <v>25</v>
      </c>
    </row>
    <row r="458">
      <c r="A458" t="n">
        <v>1122</v>
      </c>
      <c r="B458" s="14" t="n">
        <v>46286</v>
      </c>
      <c r="C458" t="inlineStr">
        <is>
          <t>Night</t>
        </is>
      </c>
      <c r="D458" t="n">
        <v>45</v>
      </c>
    </row>
    <row r="459">
      <c r="A459" t="n">
        <v>1123</v>
      </c>
      <c r="B459" s="14" t="n">
        <v>46286</v>
      </c>
      <c r="C459" t="inlineStr">
        <is>
          <t>Night</t>
        </is>
      </c>
      <c r="D459" t="n">
        <v>35</v>
      </c>
    </row>
    <row r="460">
      <c r="A460" t="n">
        <v>1124</v>
      </c>
      <c r="B460" s="14" t="n">
        <v>46286</v>
      </c>
      <c r="C460" t="inlineStr">
        <is>
          <t>Night</t>
        </is>
      </c>
      <c r="D460" t="n">
        <v>36</v>
      </c>
    </row>
    <row r="461">
      <c r="A461" t="n">
        <v>1125</v>
      </c>
      <c r="B461" s="14" t="n">
        <v>46286</v>
      </c>
      <c r="C461" t="inlineStr">
        <is>
          <t>Night</t>
        </is>
      </c>
      <c r="D461" t="n">
        <v>42</v>
      </c>
    </row>
    <row r="462">
      <c r="A462" t="n">
        <v>1126</v>
      </c>
      <c r="B462" s="14" t="n">
        <v>46286</v>
      </c>
      <c r="C462" t="inlineStr">
        <is>
          <t>Night</t>
        </is>
      </c>
      <c r="D462" t="n">
        <v>36</v>
      </c>
    </row>
    <row r="463">
      <c r="A463" t="n">
        <v>1127</v>
      </c>
      <c r="B463" s="14" t="n">
        <v>46286</v>
      </c>
      <c r="C463" t="inlineStr">
        <is>
          <t>Night</t>
        </is>
      </c>
      <c r="D463" t="n">
        <v>39</v>
      </c>
    </row>
    <row r="464">
      <c r="A464" t="n">
        <v>1128</v>
      </c>
      <c r="B464" s="14" t="n">
        <v>46286</v>
      </c>
      <c r="C464" t="inlineStr">
        <is>
          <t>Night</t>
        </is>
      </c>
      <c r="D464" t="n">
        <v>38</v>
      </c>
    </row>
    <row r="465">
      <c r="A465" t="n">
        <v>1129</v>
      </c>
      <c r="B465" s="14" t="n">
        <v>46286</v>
      </c>
      <c r="C465" t="inlineStr">
        <is>
          <t>Night</t>
        </is>
      </c>
      <c r="D465" t="n">
        <v>48</v>
      </c>
    </row>
    <row r="466">
      <c r="A466" t="n">
        <v>1130</v>
      </c>
      <c r="B466" s="14" t="n">
        <v>46286</v>
      </c>
      <c r="C466" t="inlineStr">
        <is>
          <t>Night</t>
        </is>
      </c>
      <c r="D466" t="n">
        <v>19</v>
      </c>
    </row>
    <row r="467">
      <c r="A467" t="n">
        <v>1131</v>
      </c>
      <c r="B467" s="14" t="n">
        <v>46286</v>
      </c>
      <c r="C467" t="inlineStr">
        <is>
          <t>Night</t>
        </is>
      </c>
      <c r="D467" t="n">
        <v>70</v>
      </c>
    </row>
    <row r="468">
      <c r="A468" t="n">
        <v>1132</v>
      </c>
      <c r="B468" s="14" t="n">
        <v>46286</v>
      </c>
      <c r="C468" t="inlineStr">
        <is>
          <t>Night</t>
        </is>
      </c>
      <c r="D468" t="n">
        <v>56</v>
      </c>
    </row>
    <row r="469">
      <c r="A469" t="n">
        <v>1133</v>
      </c>
      <c r="B469" s="14" t="n">
        <v>46286</v>
      </c>
      <c r="C469" t="inlineStr">
        <is>
          <t>Night</t>
        </is>
      </c>
      <c r="D469" t="n">
        <v>46</v>
      </c>
    </row>
    <row r="470">
      <c r="A470" t="n">
        <v>1134</v>
      </c>
      <c r="B470" s="14" t="n">
        <v>46286</v>
      </c>
      <c r="C470" t="inlineStr">
        <is>
          <t>Night</t>
        </is>
      </c>
      <c r="D470" t="n">
        <v>37</v>
      </c>
    </row>
    <row r="471">
      <c r="A471" t="n">
        <v>1135</v>
      </c>
      <c r="B471" s="14" t="n">
        <v>46286</v>
      </c>
      <c r="C471" t="inlineStr">
        <is>
          <t>Night</t>
        </is>
      </c>
      <c r="D471" t="n">
        <v>47</v>
      </c>
    </row>
    <row r="472">
      <c r="A472" t="n">
        <v>1136</v>
      </c>
      <c r="B472" s="14" t="n">
        <v>46286</v>
      </c>
      <c r="C472" t="inlineStr">
        <is>
          <t>Night</t>
        </is>
      </c>
      <c r="D472" t="n">
        <v>35</v>
      </c>
    </row>
    <row r="473">
      <c r="A473" t="n">
        <v>1137</v>
      </c>
      <c r="B473" s="14" t="n">
        <v>46286</v>
      </c>
      <c r="C473" t="inlineStr">
        <is>
          <t>Night</t>
        </is>
      </c>
      <c r="D473" t="n">
        <v>44</v>
      </c>
    </row>
    <row r="474">
      <c r="A474" t="n">
        <v>1101</v>
      </c>
      <c r="B474" s="14" t="n">
        <v>46293</v>
      </c>
      <c r="C474" t="inlineStr">
        <is>
          <t>Night</t>
        </is>
      </c>
      <c r="D474" t="n">
        <v>47</v>
      </c>
    </row>
    <row r="475">
      <c r="A475" t="n">
        <v>1102</v>
      </c>
      <c r="B475" s="14" t="n">
        <v>46293</v>
      </c>
      <c r="C475" t="inlineStr">
        <is>
          <t>Night</t>
        </is>
      </c>
      <c r="D475" t="n">
        <v>65</v>
      </c>
    </row>
    <row r="476">
      <c r="A476" t="n">
        <v>1103</v>
      </c>
      <c r="B476" s="14" t="n">
        <v>46293</v>
      </c>
      <c r="C476" t="inlineStr">
        <is>
          <t>Night</t>
        </is>
      </c>
      <c r="D476" t="n">
        <v>61</v>
      </c>
    </row>
    <row r="477">
      <c r="A477" t="n">
        <v>1104</v>
      </c>
      <c r="B477" s="14" t="n">
        <v>46293</v>
      </c>
      <c r="C477" t="inlineStr">
        <is>
          <t>Night</t>
        </is>
      </c>
      <c r="D477" t="n">
        <v>67</v>
      </c>
    </row>
    <row r="478">
      <c r="A478" t="n">
        <v>1147</v>
      </c>
      <c r="B478" s="14" t="n">
        <v>46293</v>
      </c>
      <c r="C478" t="inlineStr">
        <is>
          <t>Night</t>
        </is>
      </c>
      <c r="D478" t="n">
        <v>49</v>
      </c>
    </row>
    <row r="479">
      <c r="A479" t="n">
        <v>1106</v>
      </c>
      <c r="B479" s="14" t="n">
        <v>46293</v>
      </c>
      <c r="C479" t="inlineStr">
        <is>
          <t>Night</t>
        </is>
      </c>
      <c r="D479" t="n">
        <v>36</v>
      </c>
    </row>
    <row r="480">
      <c r="A480" t="n">
        <v>1107</v>
      </c>
      <c r="B480" s="14" t="n">
        <v>46293</v>
      </c>
      <c r="C480" t="inlineStr">
        <is>
          <t>Night</t>
        </is>
      </c>
      <c r="D480" t="n">
        <v>38</v>
      </c>
    </row>
    <row r="481">
      <c r="A481" t="n">
        <v>1108</v>
      </c>
      <c r="B481" s="14" t="n">
        <v>46293</v>
      </c>
      <c r="C481" t="inlineStr">
        <is>
          <t>Night</t>
        </is>
      </c>
      <c r="D481" t="n">
        <v>30</v>
      </c>
    </row>
    <row r="482">
      <c r="A482" t="n">
        <v>1109</v>
      </c>
      <c r="B482" s="14" t="n">
        <v>46293</v>
      </c>
      <c r="C482" t="inlineStr">
        <is>
          <t>Night</t>
        </is>
      </c>
      <c r="D482" t="n">
        <v>45</v>
      </c>
    </row>
    <row r="483">
      <c r="A483" t="n">
        <v>1110</v>
      </c>
      <c r="B483" s="14" t="n">
        <v>46293</v>
      </c>
      <c r="C483" t="inlineStr">
        <is>
          <t>Night</t>
        </is>
      </c>
      <c r="D483" t="n">
        <v>48</v>
      </c>
    </row>
    <row r="484">
      <c r="A484" t="n">
        <v>1111</v>
      </c>
      <c r="B484" s="14" t="n">
        <v>46293</v>
      </c>
      <c r="C484" t="inlineStr">
        <is>
          <t>Night</t>
        </is>
      </c>
      <c r="D484" t="n">
        <v>16</v>
      </c>
    </row>
    <row r="485">
      <c r="A485" t="n">
        <v>1112</v>
      </c>
      <c r="B485" s="14" t="n">
        <v>46293</v>
      </c>
      <c r="C485" t="inlineStr">
        <is>
          <t>Night</t>
        </is>
      </c>
      <c r="D485" t="n">
        <v>36</v>
      </c>
    </row>
    <row r="486">
      <c r="A486" t="n">
        <v>1113</v>
      </c>
      <c r="B486" s="14" t="n">
        <v>46293</v>
      </c>
      <c r="C486" t="inlineStr">
        <is>
          <t>Night</t>
        </is>
      </c>
      <c r="D486" t="n">
        <v>45</v>
      </c>
    </row>
    <row r="487">
      <c r="A487" t="n">
        <v>1114</v>
      </c>
      <c r="B487" s="14" t="n">
        <v>46293</v>
      </c>
      <c r="C487" t="inlineStr">
        <is>
          <t>Night</t>
        </is>
      </c>
      <c r="D487" t="n">
        <v>55</v>
      </c>
    </row>
    <row r="488">
      <c r="A488" t="n">
        <v>1115</v>
      </c>
      <c r="B488" s="14" t="n">
        <v>46293</v>
      </c>
      <c r="C488" t="inlineStr">
        <is>
          <t>Night</t>
        </is>
      </c>
      <c r="D488" t="n">
        <v>13</v>
      </c>
    </row>
    <row r="489">
      <c r="A489" t="n">
        <v>1116</v>
      </c>
      <c r="B489" s="14" t="n">
        <v>46293</v>
      </c>
      <c r="C489" t="inlineStr">
        <is>
          <t>Night</t>
        </is>
      </c>
      <c r="D489" t="n">
        <v>20</v>
      </c>
    </row>
    <row r="490">
      <c r="A490" t="n">
        <v>1117</v>
      </c>
      <c r="B490" s="14" t="n">
        <v>46293</v>
      </c>
      <c r="C490" t="inlineStr">
        <is>
          <t>Night</t>
        </is>
      </c>
      <c r="D490" t="n">
        <v>12</v>
      </c>
    </row>
    <row r="491">
      <c r="A491" t="n">
        <v>1118</v>
      </c>
      <c r="B491" s="14" t="n">
        <v>46293</v>
      </c>
      <c r="C491" t="inlineStr">
        <is>
          <t>Night</t>
        </is>
      </c>
      <c r="D491" t="n">
        <v>11</v>
      </c>
    </row>
    <row r="492">
      <c r="A492" t="n">
        <v>1119</v>
      </c>
      <c r="B492" s="14" t="n">
        <v>46293</v>
      </c>
      <c r="C492" t="inlineStr">
        <is>
          <t>Night</t>
        </is>
      </c>
      <c r="D492" t="n">
        <v>45</v>
      </c>
    </row>
    <row r="493">
      <c r="A493" t="n">
        <v>1120</v>
      </c>
      <c r="B493" s="14" t="n">
        <v>46293</v>
      </c>
      <c r="C493" t="inlineStr">
        <is>
          <t>Night</t>
        </is>
      </c>
      <c r="D493" t="n">
        <v>39</v>
      </c>
    </row>
    <row r="494">
      <c r="A494" t="n">
        <v>1121</v>
      </c>
      <c r="B494" s="14" t="n">
        <v>46293</v>
      </c>
      <c r="C494" t="inlineStr">
        <is>
          <t>Night</t>
        </is>
      </c>
      <c r="D494" t="n">
        <v>17</v>
      </c>
    </row>
    <row r="495">
      <c r="A495" t="n">
        <v>1122</v>
      </c>
      <c r="B495" s="14" t="n">
        <v>46293</v>
      </c>
      <c r="C495" t="inlineStr">
        <is>
          <t>Night</t>
        </is>
      </c>
      <c r="D495" t="n">
        <v>59</v>
      </c>
    </row>
    <row r="496">
      <c r="A496" t="n">
        <v>1123</v>
      </c>
      <c r="B496" s="14" t="n">
        <v>46293</v>
      </c>
      <c r="C496" t="inlineStr">
        <is>
          <t>Night</t>
        </is>
      </c>
      <c r="D496" t="n">
        <v>80</v>
      </c>
    </row>
    <row r="497">
      <c r="A497" t="n">
        <v>1124</v>
      </c>
      <c r="B497" s="14" t="n">
        <v>46293</v>
      </c>
      <c r="C497" t="inlineStr">
        <is>
          <t>Night</t>
        </is>
      </c>
      <c r="D497" t="n">
        <v>25</v>
      </c>
    </row>
    <row r="498">
      <c r="A498" t="n">
        <v>1125</v>
      </c>
      <c r="B498" s="14" t="n">
        <v>46293</v>
      </c>
      <c r="C498" t="inlineStr">
        <is>
          <t>Night</t>
        </is>
      </c>
      <c r="D498" t="n">
        <v>28</v>
      </c>
    </row>
    <row r="499">
      <c r="A499" t="n">
        <v>1126</v>
      </c>
      <c r="B499" s="14" t="n">
        <v>46293</v>
      </c>
      <c r="C499" t="inlineStr">
        <is>
          <t>Night</t>
        </is>
      </c>
      <c r="D499" t="n">
        <v>7</v>
      </c>
    </row>
    <row r="500">
      <c r="A500" t="n">
        <v>1127</v>
      </c>
      <c r="B500" s="14" t="n">
        <v>46293</v>
      </c>
      <c r="C500" t="inlineStr">
        <is>
          <t>Night</t>
        </is>
      </c>
      <c r="D500" t="n">
        <v>49</v>
      </c>
    </row>
    <row r="501">
      <c r="A501" t="n">
        <v>1128</v>
      </c>
      <c r="B501" s="14" t="n">
        <v>46293</v>
      </c>
      <c r="C501" t="inlineStr">
        <is>
          <t>Night</t>
        </is>
      </c>
      <c r="D501" t="n">
        <v>40</v>
      </c>
    </row>
    <row r="502">
      <c r="A502" t="n">
        <v>1129</v>
      </c>
      <c r="B502" s="14" t="n">
        <v>46293</v>
      </c>
      <c r="C502" t="inlineStr">
        <is>
          <t>Night</t>
        </is>
      </c>
      <c r="D502" t="n">
        <v>32</v>
      </c>
    </row>
    <row r="503">
      <c r="A503" t="n">
        <v>1130</v>
      </c>
      <c r="B503" s="14" t="n">
        <v>46293</v>
      </c>
      <c r="C503" t="inlineStr">
        <is>
          <t>Night</t>
        </is>
      </c>
      <c r="D503" t="n">
        <v>34</v>
      </c>
    </row>
    <row r="504">
      <c r="A504" t="n">
        <v>1131</v>
      </c>
      <c r="B504" s="14" t="n">
        <v>46293</v>
      </c>
      <c r="C504" t="inlineStr">
        <is>
          <t>Night</t>
        </is>
      </c>
      <c r="D504" t="n">
        <v>42</v>
      </c>
    </row>
    <row r="505">
      <c r="A505" t="n">
        <v>1132</v>
      </c>
      <c r="B505" s="14" t="n">
        <v>46293</v>
      </c>
      <c r="C505" t="inlineStr">
        <is>
          <t>Night</t>
        </is>
      </c>
      <c r="D505" t="n">
        <v>55</v>
      </c>
    </row>
    <row r="506">
      <c r="A506" t="n">
        <v>1133</v>
      </c>
      <c r="B506" s="14" t="n">
        <v>46293</v>
      </c>
      <c r="C506" t="inlineStr">
        <is>
          <t>Night</t>
        </is>
      </c>
      <c r="D506" t="n">
        <v>41</v>
      </c>
    </row>
    <row r="507">
      <c r="A507" t="n">
        <v>1134</v>
      </c>
      <c r="B507" s="14" t="n">
        <v>46293</v>
      </c>
      <c r="C507" t="inlineStr">
        <is>
          <t>Night</t>
        </is>
      </c>
      <c r="D507" t="n">
        <v>53</v>
      </c>
    </row>
    <row r="508">
      <c r="A508" t="n">
        <v>1135</v>
      </c>
      <c r="B508" s="14" t="n">
        <v>46293</v>
      </c>
      <c r="C508" t="inlineStr">
        <is>
          <t>Night</t>
        </is>
      </c>
      <c r="D508" t="n">
        <v>75</v>
      </c>
    </row>
    <row r="509">
      <c r="A509" t="n">
        <v>1136</v>
      </c>
      <c r="B509" s="14" t="n">
        <v>46293</v>
      </c>
      <c r="C509" t="inlineStr">
        <is>
          <t>Night</t>
        </is>
      </c>
      <c r="D509" t="n">
        <v>52</v>
      </c>
    </row>
    <row r="510">
      <c r="A510" t="n">
        <v>1137</v>
      </c>
      <c r="B510" s="14" t="n">
        <v>46293</v>
      </c>
      <c r="C510" t="inlineStr">
        <is>
          <t>Night</t>
        </is>
      </c>
      <c r="D510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1" customWidth="1" min="4" max="4"/>
    <col width="12" customWidth="1" min="5" max="5"/>
    <col width="11" customWidth="1" min="6" max="6"/>
  </cols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Base bonus</t>
        </is>
      </c>
      <c r="E1" s="1" t="inlineStr">
        <is>
          <t>Hire date</t>
        </is>
      </c>
      <c r="F1" s="1" t="inlineStr">
        <is>
          <t>Status</t>
        </is>
      </c>
    </row>
    <row r="2">
      <c r="A2" t="n">
        <v>1101</v>
      </c>
      <c r="B2" t="inlineStr">
        <is>
          <t>Dale Ostrander</t>
        </is>
      </c>
      <c r="C2" t="inlineStr">
        <is>
          <t>Forklift operator</t>
        </is>
      </c>
      <c r="D2" s="3" t="n">
        <v>330.15</v>
      </c>
      <c r="E2" s="14" t="n">
        <v>44805</v>
      </c>
    </row>
    <row r="3">
      <c r="A3" t="n">
        <v>1102</v>
      </c>
      <c r="B3" t="inlineStr">
        <is>
          <t>Ana Ferreira</t>
        </is>
      </c>
      <c r="C3" t="inlineStr">
        <is>
          <t>Forklift operator</t>
        </is>
      </c>
      <c r="D3" s="3" t="n">
        <v>330.15</v>
      </c>
      <c r="E3" s="14" t="n">
        <v>44774</v>
      </c>
    </row>
    <row r="4">
      <c r="A4" t="n">
        <v>1103</v>
      </c>
      <c r="B4" t="inlineStr">
        <is>
          <t>Curt Bessler</t>
        </is>
      </c>
      <c r="C4" t="inlineStr">
        <is>
          <t>Forklift operator</t>
        </is>
      </c>
      <c r="D4" s="3" t="n">
        <v>330.15</v>
      </c>
      <c r="E4" s="14" t="n">
        <v>45200</v>
      </c>
    </row>
    <row r="5">
      <c r="A5" t="n">
        <v>1104</v>
      </c>
      <c r="B5" t="inlineStr">
        <is>
          <t>Lou Tran</t>
        </is>
      </c>
      <c r="C5" t="inlineStr">
        <is>
          <t>Forklift operator</t>
        </is>
      </c>
      <c r="D5" s="3" t="n">
        <v>330.15</v>
      </c>
      <c r="E5" s="14" t="n">
        <v>43160</v>
      </c>
    </row>
    <row r="6">
      <c r="A6" t="n">
        <v>1174</v>
      </c>
      <c r="B6" t="inlineStr">
        <is>
          <t>Marco Reyes</t>
        </is>
      </c>
      <c r="C6" t="inlineStr">
        <is>
          <t>Forklift operator</t>
        </is>
      </c>
      <c r="D6" s="3" t="n">
        <v>330.15</v>
      </c>
      <c r="E6" s="14" t="n">
        <v>45139</v>
      </c>
    </row>
    <row r="7">
      <c r="A7" t="n">
        <v>1106</v>
      </c>
      <c r="B7" t="inlineStr">
        <is>
          <t>Tyler Brooks</t>
        </is>
      </c>
      <c r="C7" t="inlineStr">
        <is>
          <t>Loader</t>
        </is>
      </c>
      <c r="D7" s="3" t="n">
        <v>285.4</v>
      </c>
      <c r="E7" s="14" t="n">
        <v>46223</v>
      </c>
    </row>
    <row r="8">
      <c r="A8" t="n">
        <v>1107</v>
      </c>
      <c r="B8" t="inlineStr">
        <is>
          <t>Jenna Kowalski</t>
        </is>
      </c>
      <c r="C8" t="inlineStr">
        <is>
          <t>Loader</t>
        </is>
      </c>
      <c r="D8" s="3" t="n">
        <v>285.4</v>
      </c>
      <c r="E8" s="14" t="n">
        <v>42583</v>
      </c>
      <c r="F8" t="inlineStr">
        <is>
          <t>Light duty</t>
        </is>
      </c>
    </row>
    <row r="9">
      <c r="A9" t="n">
        <v>1108</v>
      </c>
      <c r="B9" t="inlineStr">
        <is>
          <t>Ray Mulcahy</t>
        </is>
      </c>
      <c r="C9" t="inlineStr">
        <is>
          <t>Loader</t>
        </is>
      </c>
      <c r="D9" s="3" t="n">
        <v>285.4</v>
      </c>
      <c r="E9" s="14" t="n">
        <v>43525</v>
      </c>
      <c r="F9" t="inlineStr">
        <is>
          <t>Light duty</t>
        </is>
      </c>
    </row>
    <row r="10">
      <c r="A10" t="n">
        <v>1109</v>
      </c>
      <c r="B10" t="inlineStr">
        <is>
          <t>Sofia Aguilar</t>
        </is>
      </c>
      <c r="C10" t="inlineStr">
        <is>
          <t>Receiving clerk</t>
        </is>
      </c>
      <c r="D10" s="3" t="n">
        <v>298.6</v>
      </c>
      <c r="E10" s="14" t="n">
        <v>42614</v>
      </c>
      <c r="F10" t="inlineStr">
        <is>
          <t>Leave</t>
        </is>
      </c>
    </row>
    <row r="11">
      <c r="A11" t="n">
        <v>1110</v>
      </c>
      <c r="B11" t="inlineStr">
        <is>
          <t>Pete Lindgren</t>
        </is>
      </c>
      <c r="C11" t="inlineStr">
        <is>
          <t>Loader</t>
        </is>
      </c>
      <c r="D11" s="3" t="n">
        <v>285.4</v>
      </c>
      <c r="E11" s="14" t="n">
        <v>42278</v>
      </c>
    </row>
    <row r="12">
      <c r="A12" t="n">
        <v>1111</v>
      </c>
      <c r="B12" t="inlineStr">
        <is>
          <t>Hollis Wade</t>
        </is>
      </c>
      <c r="C12" t="inlineStr">
        <is>
          <t>Loader</t>
        </is>
      </c>
      <c r="D12" s="3" t="n">
        <v>285.4</v>
      </c>
      <c r="E12" s="14" t="n">
        <v>44409</v>
      </c>
    </row>
    <row r="13">
      <c r="A13" t="n">
        <v>1112</v>
      </c>
      <c r="B13" t="inlineStr">
        <is>
          <t>Mei Chen</t>
        </is>
      </c>
      <c r="C13" t="inlineStr">
        <is>
          <t>Forklift operator</t>
        </is>
      </c>
      <c r="D13" s="3" t="n">
        <v>330.15</v>
      </c>
      <c r="E13" s="14" t="n">
        <v>45597</v>
      </c>
    </row>
    <row r="14">
      <c r="A14" t="n">
        <v>1113</v>
      </c>
      <c r="B14" t="inlineStr">
        <is>
          <t>Grant Ruiz</t>
        </is>
      </c>
      <c r="C14" t="inlineStr">
        <is>
          <t>Loader</t>
        </is>
      </c>
      <c r="D14" s="3" t="n">
        <v>285.4</v>
      </c>
      <c r="E14" s="14" t="n">
        <v>43009</v>
      </c>
    </row>
    <row r="15">
      <c r="A15" t="n">
        <v>1114</v>
      </c>
      <c r="B15" t="inlineStr">
        <is>
          <t>Darnell Hayes</t>
        </is>
      </c>
      <c r="C15" t="inlineStr">
        <is>
          <t>Forklift operator</t>
        </is>
      </c>
      <c r="D15" s="3" t="n">
        <v>330.15</v>
      </c>
      <c r="E15" s="14" t="n">
        <v>42248</v>
      </c>
    </row>
    <row r="16">
      <c r="A16" t="n">
        <v>1115</v>
      </c>
      <c r="B16" t="inlineStr">
        <is>
          <t>Kim Sorensen</t>
        </is>
      </c>
      <c r="C16" t="inlineStr">
        <is>
          <t>Loader</t>
        </is>
      </c>
      <c r="D16" s="3" t="n">
        <v>285.4</v>
      </c>
      <c r="E16" s="14" t="n">
        <v>42370</v>
      </c>
    </row>
    <row r="17">
      <c r="A17" t="n">
        <v>1116</v>
      </c>
      <c r="B17" t="inlineStr">
        <is>
          <t>Luis Ortega</t>
        </is>
      </c>
      <c r="C17" t="inlineStr">
        <is>
          <t>Loader</t>
        </is>
      </c>
      <c r="D17" s="3" t="n">
        <v>285.4</v>
      </c>
      <c r="E17" s="14" t="n">
        <v>42095</v>
      </c>
    </row>
    <row r="18">
      <c r="A18" t="n">
        <v>1117</v>
      </c>
      <c r="B18" t="inlineStr">
        <is>
          <t>Bree Halverson</t>
        </is>
      </c>
      <c r="C18" t="inlineStr">
        <is>
          <t>Receiving clerk</t>
        </is>
      </c>
      <c r="D18" s="3" t="n">
        <v>298.6</v>
      </c>
      <c r="E18" s="14" t="n">
        <v>43374</v>
      </c>
    </row>
    <row r="19">
      <c r="A19" t="n">
        <v>1118</v>
      </c>
      <c r="B19" t="inlineStr">
        <is>
          <t>Sam Okonkwo</t>
        </is>
      </c>
      <c r="C19" t="inlineStr">
        <is>
          <t>Loader</t>
        </is>
      </c>
      <c r="D19" s="3" t="n">
        <v>285.4</v>
      </c>
      <c r="E19" s="14" t="n">
        <v>42217</v>
      </c>
    </row>
    <row r="20">
      <c r="A20" t="n">
        <v>1119</v>
      </c>
      <c r="B20" t="inlineStr">
        <is>
          <t>Nate Pierce</t>
        </is>
      </c>
      <c r="C20" t="inlineStr">
        <is>
          <t>Forklift operator</t>
        </is>
      </c>
      <c r="D20" s="3" t="n">
        <v>330.15</v>
      </c>
      <c r="E20" s="14" t="n">
        <v>44044</v>
      </c>
    </row>
    <row r="21">
      <c r="A21" t="n">
        <v>1120</v>
      </c>
      <c r="B21" t="inlineStr">
        <is>
          <t>Jo Whitcomb</t>
        </is>
      </c>
      <c r="C21" t="inlineStr">
        <is>
          <t>Loader</t>
        </is>
      </c>
      <c r="D21" s="3" t="n">
        <v>285.4</v>
      </c>
      <c r="E21" s="14" t="n">
        <v>45383</v>
      </c>
    </row>
    <row r="22">
      <c r="A22" t="n">
        <v>1121</v>
      </c>
      <c r="B22" t="inlineStr">
        <is>
          <t>Arturo Vega</t>
        </is>
      </c>
      <c r="C22" t="inlineStr">
        <is>
          <t>Loader</t>
        </is>
      </c>
      <c r="D22" s="3" t="n">
        <v>285.4</v>
      </c>
      <c r="E22" s="14" t="n">
        <v>45017</v>
      </c>
    </row>
    <row r="23">
      <c r="A23" t="n">
        <v>1122</v>
      </c>
      <c r="B23" t="inlineStr">
        <is>
          <t>Casey Dunn</t>
        </is>
      </c>
      <c r="C23" t="inlineStr">
        <is>
          <t>Loader</t>
        </is>
      </c>
      <c r="D23" s="3" t="n">
        <v>285.4</v>
      </c>
      <c r="E23" s="14" t="n">
        <v>43678</v>
      </c>
    </row>
    <row r="24">
      <c r="A24" t="n">
        <v>1123</v>
      </c>
      <c r="B24" t="inlineStr">
        <is>
          <t>Rich Albers</t>
        </is>
      </c>
      <c r="C24" t="inlineStr">
        <is>
          <t>Forklift operator</t>
        </is>
      </c>
      <c r="D24" s="3" t="n">
        <v>330.15</v>
      </c>
      <c r="E24" s="14" t="n">
        <v>42309</v>
      </c>
    </row>
    <row r="25">
      <c r="A25" t="n">
        <v>1124</v>
      </c>
      <c r="B25" t="inlineStr">
        <is>
          <t>Tess Mahoney</t>
        </is>
      </c>
      <c r="C25" t="inlineStr">
        <is>
          <t>Loader</t>
        </is>
      </c>
      <c r="D25" s="3" t="n">
        <v>285.4</v>
      </c>
      <c r="E25" s="14" t="n">
        <v>42583</v>
      </c>
    </row>
    <row r="26">
      <c r="A26" t="n">
        <v>1125</v>
      </c>
      <c r="B26" t="inlineStr">
        <is>
          <t>Omar Haddad</t>
        </is>
      </c>
      <c r="C26" t="inlineStr">
        <is>
          <t>Loader</t>
        </is>
      </c>
      <c r="D26" s="3" t="n">
        <v>285.4</v>
      </c>
      <c r="E26" s="14" t="n">
        <v>43647</v>
      </c>
    </row>
    <row r="27">
      <c r="A27" t="n">
        <v>1126</v>
      </c>
      <c r="B27" t="inlineStr">
        <is>
          <t>Kyle Banks</t>
        </is>
      </c>
      <c r="C27" t="inlineStr">
        <is>
          <t>Loader</t>
        </is>
      </c>
      <c r="D27" s="3" t="n">
        <v>285.4</v>
      </c>
      <c r="E27" s="14" t="n">
        <v>46209</v>
      </c>
    </row>
    <row r="28">
      <c r="A28" t="n">
        <v>1127</v>
      </c>
      <c r="B28" t="inlineStr">
        <is>
          <t>Lena Novak</t>
        </is>
      </c>
      <c r="C28" t="inlineStr">
        <is>
          <t>Receiving clerk</t>
        </is>
      </c>
      <c r="D28" s="3" t="n">
        <v>298.6</v>
      </c>
      <c r="E28" s="14" t="n">
        <v>46237</v>
      </c>
    </row>
    <row r="29">
      <c r="A29" t="n">
        <v>1128</v>
      </c>
      <c r="B29" t="inlineStr">
        <is>
          <t>Ben Ashby</t>
        </is>
      </c>
      <c r="C29" t="inlineStr">
        <is>
          <t>Loader</t>
        </is>
      </c>
      <c r="D29" s="3" t="n">
        <v>285.4</v>
      </c>
      <c r="E29" s="14" t="n">
        <v>43344</v>
      </c>
    </row>
    <row r="30">
      <c r="A30" t="n">
        <v>1129</v>
      </c>
      <c r="B30" t="inlineStr">
        <is>
          <t>Vic Duran</t>
        </is>
      </c>
      <c r="C30" t="inlineStr">
        <is>
          <t>Forklift operator</t>
        </is>
      </c>
      <c r="D30" s="3" t="n">
        <v>330.15</v>
      </c>
      <c r="E30" s="14" t="n">
        <v>43466</v>
      </c>
    </row>
    <row r="31">
      <c r="A31" t="n">
        <v>1130</v>
      </c>
      <c r="B31" t="inlineStr">
        <is>
          <t>Ruby Clark</t>
        </is>
      </c>
      <c r="C31" t="inlineStr">
        <is>
          <t>Loader</t>
        </is>
      </c>
      <c r="D31" s="3" t="n">
        <v>285.4</v>
      </c>
      <c r="E31" s="14" t="n">
        <v>42644</v>
      </c>
    </row>
    <row r="32">
      <c r="A32" t="n">
        <v>1131</v>
      </c>
      <c r="B32" t="inlineStr">
        <is>
          <t>Gus Petrakis</t>
        </is>
      </c>
      <c r="C32" t="inlineStr">
        <is>
          <t>Loader</t>
        </is>
      </c>
      <c r="D32" s="3" t="n">
        <v>285.4</v>
      </c>
      <c r="E32" s="14" t="n">
        <v>42552</v>
      </c>
    </row>
    <row r="33">
      <c r="A33" t="n">
        <v>1132</v>
      </c>
      <c r="B33" t="inlineStr">
        <is>
          <t>Ivy Nakamura</t>
        </is>
      </c>
      <c r="C33" t="inlineStr">
        <is>
          <t>Loader</t>
        </is>
      </c>
      <c r="D33" s="3" t="n">
        <v>285.4</v>
      </c>
      <c r="E33" s="14" t="n">
        <v>42491</v>
      </c>
    </row>
    <row r="34">
      <c r="A34" t="n">
        <v>1133</v>
      </c>
      <c r="B34" t="inlineStr">
        <is>
          <t>Wes Thornton</t>
        </is>
      </c>
      <c r="C34" t="inlineStr">
        <is>
          <t>Forklift operator</t>
        </is>
      </c>
      <c r="D34" s="3" t="n">
        <v>330.15</v>
      </c>
      <c r="E34" s="14" t="n">
        <v>44228</v>
      </c>
    </row>
    <row r="35">
      <c r="A35" t="n">
        <v>1134</v>
      </c>
      <c r="B35" t="inlineStr">
        <is>
          <t>Dee Fontaine</t>
        </is>
      </c>
      <c r="C35" t="inlineStr">
        <is>
          <t>Loader</t>
        </is>
      </c>
      <c r="D35" s="3" t="n">
        <v>285.4</v>
      </c>
      <c r="E35" s="14" t="n">
        <v>42309</v>
      </c>
    </row>
    <row r="36">
      <c r="A36" t="n">
        <v>1135</v>
      </c>
      <c r="B36" t="inlineStr">
        <is>
          <t>Hector Salas</t>
        </is>
      </c>
      <c r="C36" t="inlineStr">
        <is>
          <t>Loader</t>
        </is>
      </c>
      <c r="D36" s="3" t="n">
        <v>285.4</v>
      </c>
      <c r="E36" s="14" t="n">
        <v>42095</v>
      </c>
    </row>
    <row r="37">
      <c r="A37" t="n">
        <v>1136</v>
      </c>
      <c r="B37" t="inlineStr">
        <is>
          <t>June Albright</t>
        </is>
      </c>
      <c r="C37" t="inlineStr">
        <is>
          <t>Loader</t>
        </is>
      </c>
      <c r="D37" s="3" t="n">
        <v>285.4</v>
      </c>
      <c r="E37" s="14" t="n">
        <v>43101</v>
      </c>
    </row>
    <row r="38">
      <c r="A38" t="n">
        <v>1137</v>
      </c>
      <c r="B38" t="inlineStr">
        <is>
          <t>Paul Engstrom</t>
        </is>
      </c>
      <c r="C38" t="inlineStr">
        <is>
          <t>Day lead</t>
        </is>
      </c>
      <c r="D38" s="3" t="n">
        <v>474.63</v>
      </c>
      <c r="E38" s="14" t="n">
        <v>44743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3" max="3"/>
  </cols>
  <sheetData>
    <row r="1">
      <c r="A1" s="1" t="inlineStr">
        <is>
          <t>Date</t>
        </is>
      </c>
      <c r="B1" s="1" t="inlineStr">
        <is>
          <t>Emp ID</t>
        </is>
      </c>
      <c r="C1" s="1" t="inlineStr">
        <is>
          <t>What happened</t>
        </is>
      </c>
    </row>
    <row r="2">
      <c r="A2" s="14" t="n">
        <v>46231</v>
      </c>
      <c r="B2" t="n">
        <v>1111</v>
      </c>
      <c r="C2" t="inlineStr">
        <is>
          <t>Strained back lifting a torn bag</t>
        </is>
      </c>
    </row>
    <row r="3">
      <c r="A3" s="14" t="n">
        <v>46253</v>
      </c>
      <c r="B3" t="n">
        <v>1116</v>
      </c>
      <c r="C3" t="inlineStr">
        <is>
          <t>Pallet jack ran over foot; first aid only</t>
        </is>
      </c>
    </row>
    <row r="4">
      <c r="A4" s="14" t="n">
        <v>46267</v>
      </c>
      <c r="B4" t="n">
        <v>1111</v>
      </c>
      <c r="C4" t="inlineStr">
        <is>
          <t>Cut hand on banding strap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Pallets/hr at least</t>
        </is>
      </c>
      <c r="B1" s="1" t="inlineStr">
        <is>
          <t>Tier</t>
        </is>
      </c>
      <c r="C1" s="1" t="inlineStr">
        <is>
          <t>Multiplier</t>
        </is>
      </c>
    </row>
    <row r="2">
      <c r="A2" t="n">
        <v>0</v>
      </c>
      <c r="B2" t="n">
        <v>0</v>
      </c>
      <c r="C2" s="18" t="n">
        <v>1</v>
      </c>
    </row>
    <row r="3">
      <c r="A3" t="n">
        <v>38</v>
      </c>
      <c r="B3" t="n">
        <v>1</v>
      </c>
      <c r="C3" s="18" t="n">
        <v>1.1</v>
      </c>
    </row>
    <row r="4">
      <c r="A4" t="n">
        <v>44</v>
      </c>
      <c r="B4" t="n">
        <v>2</v>
      </c>
      <c r="C4" s="18" t="n">
        <v>1.25</v>
      </c>
    </row>
    <row r="5">
      <c r="A5" t="n">
        <v>52</v>
      </c>
      <c r="B5" t="n">
        <v>3</v>
      </c>
      <c r="C5" s="18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2026-10-04T01:32:40Z</dcterms:created>
  <dcterms:modified xsi:type="dcterms:W3CDTF">2026-10-04T01:32:41Z</dcterms:modified>
</cp:coreProperties>
</file>